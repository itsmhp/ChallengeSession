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bri2.sharepoint.com/sites/SquadAnggaranISG/Shared Documents/2026/17 RKA TI Revisi/02 Challenge Session - Investasi TI (Group)/"/>
    </mc:Choice>
  </mc:AlternateContent>
  <xr:revisionPtr revIDLastSave="0" documentId="8_{4F7BD855-38C9-42B2-8656-DE00081B678F}" xr6:coauthVersionLast="47" xr6:coauthVersionMax="47" xr10:uidLastSave="{00000000-0000-0000-0000-000000000000}"/>
  <bookViews>
    <workbookView xWindow="-120" yWindow="-120" windowWidth="20730" windowHeight="11160" firstSheet="2" activeTab="2" xr2:uid="{00000000-000D-0000-FFFF-FFFF00000000}"/>
  </bookViews>
  <sheets>
    <sheet name="List Drop Down" sheetId="2" state="hidden" r:id="rId1"/>
    <sheet name="Catatan" sheetId="4" r:id="rId2"/>
    <sheet name="INF"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d">#N/A</definedName>
    <definedName name="\e">#N/A</definedName>
    <definedName name="\f">#N/A</definedName>
    <definedName name="\g">#N/A</definedName>
    <definedName name="______j5">#N/A</definedName>
    <definedName name="______j50">#N/A</definedName>
    <definedName name="______j55">#N/A</definedName>
    <definedName name="______j88">#N/A</definedName>
    <definedName name="_____j5">#N/A</definedName>
    <definedName name="_____j50">#N/A</definedName>
    <definedName name="_____j55">#N/A</definedName>
    <definedName name="_____j88">#N/A</definedName>
    <definedName name="_____jj7">#N/A</definedName>
    <definedName name="_____RV2">#N/A</definedName>
    <definedName name="_____y8">#N/A</definedName>
    <definedName name="____j4">#N/A</definedName>
    <definedName name="____j40">#N/A</definedName>
    <definedName name="____j5">#N/A</definedName>
    <definedName name="____j50">#N/A</definedName>
    <definedName name="____j55">#N/A</definedName>
    <definedName name="____j88">#N/A</definedName>
    <definedName name="____jj7">#N/A</definedName>
    <definedName name="____RV1" localSheetId="2">#REF!</definedName>
    <definedName name="____RV1">#REF!</definedName>
    <definedName name="____RV2">#N/A</definedName>
    <definedName name="____tc3" localSheetId="2">#REF!</definedName>
    <definedName name="____tc3">#REF!</definedName>
    <definedName name="____y8">#N/A</definedName>
    <definedName name="___thinkcellckMAAAAAAAAAAAAARrKpocpcFUO5xftB6ICMjw" localSheetId="2" hidden="1">#REF!</definedName>
    <definedName name="___thinkcellckMAAAAAAAAAAAAARrKpocpcFUO5xftB6ICMjw" hidden="1">#REF!</definedName>
    <definedName name="___thinkcellckMAAAAAAAABAAAAMboLyTAlpUqd5QpispcilA" localSheetId="2" hidden="1">#REF!</definedName>
    <definedName name="___thinkcellckMAAAAAAAABAAAAMboLyTAlpUqd5QpispcilA" hidden="1">#REF!</definedName>
    <definedName name="___thinkcellckMAAAAAAAAEAAAAcJJGW9TpF0u22uNbgjFXAw" localSheetId="2" hidden="1">#REF!</definedName>
    <definedName name="___thinkcellckMAAAAAAAAEAAAAcJJGW9TpF0u22uNbgjFXAw" hidden="1">#REF!</definedName>
    <definedName name="___thinkcellckMAAAAAAAAEAAAAdXXtUAYzfEyR7HPkAeUOWA" localSheetId="2" hidden="1">#REF!</definedName>
    <definedName name="___thinkcellckMAAAAAAAAEAAAAdXXtUAYzfEyR7HPkAeUOWA" hidden="1">#REF!</definedName>
    <definedName name="___thinkcellckMAAAAAAAAEAAAALvhAJ1qjhE2NUu6j8D3YuQ" localSheetId="2" hidden="1">#REF!</definedName>
    <definedName name="___thinkcellckMAAAAAAAAEAAAALvhAJ1qjhE2NUu6j8D3YuQ" hidden="1">#REF!</definedName>
    <definedName name="___thinkcellckMAAAAAAAAEAAAAXCt0MDXUa0a0R3ugpdJNJQ" localSheetId="2" hidden="1">#REF!</definedName>
    <definedName name="___thinkcellckMAAAAAAAAEAAAAXCt0MDXUa0a0R3ugpdJNJQ" hidden="1">#REF!</definedName>
    <definedName name="___thinkcellckMAAAAAAAALAAAA9aCN.AmDjEaQq4eMYptu3A" localSheetId="2" hidden="1">#REF!</definedName>
    <definedName name="___thinkcellckMAAAAAAAALAAAA9aCN.AmDjEaQq4eMYptu3A" hidden="1">#REF!</definedName>
    <definedName name="___thinkcellckMAAAAAAAALAAAAEVJO81cOFkm13k.q_UVjiA" localSheetId="2" hidden="1">#REF!</definedName>
    <definedName name="___thinkcellckMAAAAAAAALAAAAEVJO81cOFkm13k.q_UVjiA" hidden="1">#REF!</definedName>
    <definedName name="___thinkcellckMAAAAAAAAMAAAA6_DWqm.OtUCKSDWSmvU_lw" localSheetId="2" hidden="1">#REF!</definedName>
    <definedName name="___thinkcellckMAAAAAAAAMAAAA6_DWqm.OtUCKSDWSmvU_lw" hidden="1">#REF!</definedName>
    <definedName name="___thinkcellckMAAAAAAAAMAAAA9jIhUEIGkUW25nXSTVhBgg" localSheetId="2" hidden="1">#REF!</definedName>
    <definedName name="___thinkcellckMAAAAAAAAMAAAA9jIhUEIGkUW25nXSTVhBgg" hidden="1">#REF!</definedName>
    <definedName name="___thinkcellckMAAAAAAAAMAAAAx4_JKSXS20qNMgN_8lNHHQ" localSheetId="2" hidden="1">#REF!</definedName>
    <definedName name="___thinkcellckMAAAAAAAAMAAAAx4_JKSXS20qNMgN_8lNHHQ" hidden="1">#REF!</definedName>
    <definedName name="___thinkcellCsqLKHKdF0OxKCtylG9jyA" localSheetId="2" hidden="1">#REF!</definedName>
    <definedName name="___thinkcellCsqLKHKdF0OxKCtylG9jyA" hidden="1">#REF!</definedName>
    <definedName name="___thinkcelliesc2tpNykeJEwJxC4DSBw" localSheetId="2" hidden="1">#REF!</definedName>
    <definedName name="___thinkcelliesc2tpNykeJEwJxC4DSBw" hidden="1">#REF!</definedName>
    <definedName name="___thinkcellKqzyyt0g.U6l5nKFbIpOzQ" localSheetId="2" hidden="1">#REF!</definedName>
    <definedName name="___thinkcellKqzyyt0g.U6l5nKFbIpOzQ" hidden="1">#REF!</definedName>
    <definedName name="___thinkcellmo3dRUqKgE6bgKKZ_D3cxA" localSheetId="2" hidden="1">#REF!</definedName>
    <definedName name="___thinkcellmo3dRUqKgE6bgKKZ_D3cxA" hidden="1">#REF!</definedName>
    <definedName name="___thinkcellN7.kOpNcaUO8W4vL.YlnCw" localSheetId="2" hidden="1">#REF!</definedName>
    <definedName name="___thinkcellN7.kOpNcaUO8W4vL.YlnCw" hidden="1">#REF!</definedName>
    <definedName name="___thinkcelluawqfESRmUGZJdc6UXogGA" localSheetId="2" hidden="1">#REF!</definedName>
    <definedName name="___thinkcelluawqfESRmUGZJdc6UXogGA" hidden="1">#REF!</definedName>
    <definedName name="___thinkcellyTkIVdOyfEeHKHqdyUk6Mw" localSheetId="2" hidden="1">#REF!</definedName>
    <definedName name="___thinkcellyTkIVdOyfEeHKHqdyUk6Mw" hidden="1">#REF!</definedName>
    <definedName name="__j11">#N/A</definedName>
    <definedName name="__j19">#N/A</definedName>
    <definedName name="__j20">#N/A</definedName>
    <definedName name="__j234">#N/A</definedName>
    <definedName name="__j34">#N/A</definedName>
    <definedName name="__j345">#N/A</definedName>
    <definedName name="__j35">#N/A</definedName>
    <definedName name="__j88">#N/A</definedName>
    <definedName name="__RV1" localSheetId="2">#REF!</definedName>
    <definedName name="__RV1">#REF!</definedName>
    <definedName name="__RV2">#N/A</definedName>
    <definedName name="__tc3" localSheetId="2">#REF!</definedName>
    <definedName name="__tc3">#REF!</definedName>
    <definedName name="_10">#N/A</definedName>
    <definedName name="_11">#N/A</definedName>
    <definedName name="_12">#N/A</definedName>
    <definedName name="_12_Mth" localSheetId="2">#REF!</definedName>
    <definedName name="_12_Mth">#REF!</definedName>
    <definedName name="_2" localSheetId="2">#REF!</definedName>
    <definedName name="_2">#REF!</definedName>
    <definedName name="_2_Mth" localSheetId="2">#REF!</definedName>
    <definedName name="_2_Mth">#REF!</definedName>
    <definedName name="_2_yrs" localSheetId="2">#REF!</definedName>
    <definedName name="_2_yrs">#REF!</definedName>
    <definedName name="_3">#N/A</definedName>
    <definedName name="_3_Mth" localSheetId="2">#REF!</definedName>
    <definedName name="_3_Mth">#REF!</definedName>
    <definedName name="_3_yrs" localSheetId="2">#REF!</definedName>
    <definedName name="_3_yrs">#REF!</definedName>
    <definedName name="_4">#N/A</definedName>
    <definedName name="_4_yrs" localSheetId="2">#REF!</definedName>
    <definedName name="_4_yrs">#REF!</definedName>
    <definedName name="_5">#N/A</definedName>
    <definedName name="_5_yrs" localSheetId="2">#REF!</definedName>
    <definedName name="_5_yrs">#REF!</definedName>
    <definedName name="_6" localSheetId="2">#REF!</definedName>
    <definedName name="_6">#REF!</definedName>
    <definedName name="_6_Mth" localSheetId="2">#REF!</definedName>
    <definedName name="_6_Mth">#REF!</definedName>
    <definedName name="_6_yrs" localSheetId="2">#REF!</definedName>
    <definedName name="_6_yrs">#REF!</definedName>
    <definedName name="_7" localSheetId="2">#REF!</definedName>
    <definedName name="_7">#REF!</definedName>
    <definedName name="_7_yrs" localSheetId="2">#REF!</definedName>
    <definedName name="_7_yrs">#REF!</definedName>
    <definedName name="_8" localSheetId="2">#REF!</definedName>
    <definedName name="_8">#REF!</definedName>
    <definedName name="_9">#N/A</definedName>
    <definedName name="_9_Mth" localSheetId="2">#REF!</definedName>
    <definedName name="_9_Mth">#REF!</definedName>
    <definedName name="_A1" localSheetId="2">#REF!</definedName>
    <definedName name="_A1">#REF!</definedName>
    <definedName name="_xlnm._FilterDatabase" localSheetId="2" hidden="1">INF!$A$11:$FR$240</definedName>
    <definedName name="_PH3" localSheetId="2">#REF!</definedName>
    <definedName name="_PH3" localSheetId="0">'List Drop Down'!#REF!</definedName>
    <definedName name="_PH3">#REF!</definedName>
    <definedName name="_PH31" localSheetId="2">#REF!</definedName>
    <definedName name="_PH31">#REF!</definedName>
    <definedName name="_PH4" localSheetId="2">#REF!</definedName>
    <definedName name="_PH4">#REF!</definedName>
    <definedName name="_RV2">#N/A</definedName>
    <definedName name="A" localSheetId="2">#REF!</definedName>
    <definedName name="A" localSheetId="0">'List Drop Down'!#REF!</definedName>
    <definedName name="A">#REF!</definedName>
    <definedName name="aaa" localSheetId="2">#REF!</definedName>
    <definedName name="aaa">#REF!</definedName>
    <definedName name="abcd" localSheetId="2">#REF!</definedName>
    <definedName name="abcd">#REF!</definedName>
    <definedName name="AC_Hardware">'List Drop Down'!$E$3:$E$8</definedName>
    <definedName name="AC_Software">'List Drop Down'!$E$9:$E$10</definedName>
    <definedName name="ACH" localSheetId="2">#REF!</definedName>
    <definedName name="ACH">#REF!</definedName>
    <definedName name="ACHardware" localSheetId="2">#REF!</definedName>
    <definedName name="ACHardware">#REF!</definedName>
    <definedName name="ACS" localSheetId="2">#REF!</definedName>
    <definedName name="ACS">#REF!</definedName>
    <definedName name="ACSoftware" localSheetId="2">#REF!</definedName>
    <definedName name="ACSoftware">#REF!</definedName>
    <definedName name="AGB" localSheetId="2">#REF!</definedName>
    <definedName name="AGB" localSheetId="0">'List Drop Down'!#REF!</definedName>
    <definedName name="AGB">#REF!</definedName>
    <definedName name="ai" localSheetId="2">#REF!</definedName>
    <definedName name="ai">#REF!</definedName>
    <definedName name="ak" localSheetId="2">#REF!</definedName>
    <definedName name="ak">#REF!</definedName>
    <definedName name="aktep" localSheetId="2">'[1]Lamp1 BS'!#REF!</definedName>
    <definedName name="aktep" localSheetId="0">'List Drop Down'!#REF!</definedName>
    <definedName name="aktep">#REF!</definedName>
    <definedName name="aktiva" localSheetId="2">#REF!</definedName>
    <definedName name="aktiva" localSheetId="0">'List Drop Down'!#REF!</definedName>
    <definedName name="aktiva">#REF!</definedName>
    <definedName name="AKTIVA1" localSheetId="2">#REF!</definedName>
    <definedName name="AKTIVA1">#REF!</definedName>
    <definedName name="aktiva2" localSheetId="2">#REF!</definedName>
    <definedName name="aktiva2">#REF!</definedName>
    <definedName name="ALCCARDVLS" localSheetId="2">#REF!</definedName>
    <definedName name="ALCCARDVLS">#REF!</definedName>
    <definedName name="ALCCIBRP" localSheetId="2">#REF!</definedName>
    <definedName name="ALCCIBRP">#REF!</definedName>
    <definedName name="ALCCIBVLS" localSheetId="2">#REF!</definedName>
    <definedName name="ALCCIBVLS">#REF!</definedName>
    <definedName name="ALCCOOKRP" localSheetId="2">#REF!</definedName>
    <definedName name="ALCCOOKRP">#REF!</definedName>
    <definedName name="ALCCOOKVLS" localSheetId="2">#REF!</definedName>
    <definedName name="ALCCOOKVLS">#REF!</definedName>
    <definedName name="ALCJUANDARP" localSheetId="2">#REF!</definedName>
    <definedName name="ALCJUANDARP">#REF!</definedName>
    <definedName name="ALCJUANDAVLS" localSheetId="2">#REF!</definedName>
    <definedName name="ALCJUANDAVLS">#REF!</definedName>
    <definedName name="ALCKALBESRP" localSheetId="2">#REF!</definedName>
    <definedName name="ALCKALBESRP">#REF!</definedName>
    <definedName name="ALCKALBESVLS" localSheetId="2">#REF!</definedName>
    <definedName name="ALCKALBESVLS">#REF!</definedName>
    <definedName name="alckw1vls" localSheetId="2">#REF!</definedName>
    <definedName name="alckw1vls">#REF!</definedName>
    <definedName name="ALCKWIIIRP" localSheetId="2">#REF!</definedName>
    <definedName name="ALCKWIIIRP">#REF!</definedName>
    <definedName name="ALCKWIIIVLS" localSheetId="2">#REF!</definedName>
    <definedName name="ALCKWIIIVLS">#REF!</definedName>
    <definedName name="ALCKWIIRP" localSheetId="2">#REF!</definedName>
    <definedName name="ALCKWIIRP">#REF!</definedName>
    <definedName name="ALCKWIIVLS" localSheetId="2">#REF!</definedName>
    <definedName name="ALCKWIIVLS">#REF!</definedName>
    <definedName name="ALCKWIRP" localSheetId="2">#REF!</definedName>
    <definedName name="ALCKWIRP">#REF!</definedName>
    <definedName name="ALCMAUTRP" localSheetId="2">#REF!</definedName>
    <definedName name="ALCMAUTRP">#REF!</definedName>
    <definedName name="ALCMAUTVLS" localSheetId="2">#REF!</definedName>
    <definedName name="ALCMAUTVLS">#REF!</definedName>
    <definedName name="ALCMCHANGERRP" localSheetId="2">#REF!</definedName>
    <definedName name="ALCMCHANGERRP">#REF!</definedName>
    <definedName name="ALCMCHANGERVLS" localSheetId="2">#REF!</definedName>
    <definedName name="ALCMCHANGERVLS">#REF!</definedName>
    <definedName name="ALCMDUARP" localSheetId="2">#REF!</definedName>
    <definedName name="ALCMDUARP">#REF!</definedName>
    <definedName name="ALCMDUAVLS" localSheetId="2">#REF!</definedName>
    <definedName name="ALCMDUAVLS">#REF!</definedName>
    <definedName name="ALCMUMBAIRP" localSheetId="2">#REF!</definedName>
    <definedName name="ALCMUMBAIRP">#REF!</definedName>
    <definedName name="ALCMUMBAIVLS" localSheetId="2">#REF!</definedName>
    <definedName name="ALCMUMBAIVLS">#REF!</definedName>
    <definedName name="ALCPOLIMRP" localSheetId="2">#REF!</definedName>
    <definedName name="ALCPOLIMRP">#REF!</definedName>
    <definedName name="ALCPOLIMVLS" localSheetId="2">#REF!</definedName>
    <definedName name="ALCPOLIMVLS">#REF!</definedName>
    <definedName name="ALCPUSATRP" localSheetId="2">#REF!</definedName>
    <definedName name="ALCPUSATRP">#REF!</definedName>
    <definedName name="ALCPUSATVLS" localSheetId="2">#REF!</definedName>
    <definedName name="ALCPUSATVLS">#REF!</definedName>
    <definedName name="ALCTCRP" localSheetId="2">#REF!</definedName>
    <definedName name="ALCTCRP">#REF!</definedName>
    <definedName name="ALCTCVLS" localSheetId="2">#REF!</definedName>
    <definedName name="ALCTCVLS">#REF!</definedName>
    <definedName name="ALCTHAMRINRP" localSheetId="2">#REF!</definedName>
    <definedName name="ALCTHAMRINRP">#REF!</definedName>
    <definedName name="ALCTHAMRINVLS" localSheetId="2">#REF!</definedName>
    <definedName name="ALCTHAMRINVLS">#REF!</definedName>
    <definedName name="ALL" localSheetId="2">#REF!</definedName>
    <definedName name="ALL">#REF!</definedName>
    <definedName name="Angkatan" localSheetId="2">#REF!</definedName>
    <definedName name="Angkatan">#REF!</definedName>
    <definedName name="Approach" localSheetId="2">#REF!</definedName>
    <definedName name="Approach">#REF!</definedName>
    <definedName name="APR" localSheetId="2">#REF!</definedName>
    <definedName name="APR">#REF!</definedName>
    <definedName name="ari" localSheetId="2">#REF!</definedName>
    <definedName name="ari">#REF!</definedName>
    <definedName name="arsitektur" localSheetId="2">OFFSET([2]!parameter_aplikasi[arsitektur],0,0,COUNTA([2]!parameter_aplikasi[arsitektur]),1)</definedName>
    <definedName name="arsitektur">OFFSET(#REF!,0,0,COUNTA(#REF!),1)</definedName>
    <definedName name="asd" localSheetId="2">#REF!</definedName>
    <definedName name="asd" localSheetId="0">'List Drop Down'!#REF!</definedName>
    <definedName name="asd">#REF!</definedName>
    <definedName name="asdad" localSheetId="2">#REF!</definedName>
    <definedName name="asdad">#REF!</definedName>
    <definedName name="asdf" localSheetId="2">#REF!</definedName>
    <definedName name="asdf" localSheetId="0">'List Drop Down'!#REF!</definedName>
    <definedName name="asdf">#REF!</definedName>
    <definedName name="Asset_Class">'List Drop Down'!$E$3:$E$10</definedName>
    <definedName name="Asum_giroRp" localSheetId="2">[3]InAsumsi!$I$84:$AR$84</definedName>
    <definedName name="Asum_giroRp" localSheetId="0">'List Drop Down'!#REF!</definedName>
    <definedName name="Asum_giroRp">#REF!</definedName>
    <definedName name="AUG" localSheetId="2">#REF!</definedName>
    <definedName name="AUG">#REF!</definedName>
    <definedName name="Availability" localSheetId="2">#REF!</definedName>
    <definedName name="Availability">#REF!</definedName>
    <definedName name="AverageBalance1" localSheetId="2">#REF!</definedName>
    <definedName name="AverageBalance1">#REF!</definedName>
    <definedName name="b" localSheetId="2">#REF!</definedName>
    <definedName name="b" localSheetId="0">'List Drop Down'!#REF!</definedName>
    <definedName name="b">#REF!</definedName>
    <definedName name="b_month" localSheetId="2">[4]WKrates!$I$7:$AR$7</definedName>
    <definedName name="b_month" localSheetId="0">'List Drop Down'!#REF!</definedName>
    <definedName name="b_month">#REF!</definedName>
    <definedName name="b_year" localSheetId="2">[4]Opening!$N$8</definedName>
    <definedName name="b_year" localSheetId="0">'List Drop Down'!#REF!</definedName>
    <definedName name="b_year">#REF!</definedName>
    <definedName name="bahasa_pemrograman" localSheetId="2">OFFSET([2]!parameter_aplikasi[bahasa_pemrograman],0,0,COUNTA([2]!parameter_aplikasi[bahasa_pemrograman]),1)</definedName>
    <definedName name="bahasa_pemrograman">OFFSET(#REF!,0,0,COUNTA(#REF!),1)</definedName>
    <definedName name="BASE_YEAR" localSheetId="2">[5]opening!$B$24</definedName>
    <definedName name="BASE_YEAR" localSheetId="0">'List Drop Down'!#REF!</definedName>
    <definedName name="BASE_YEAR">#REF!</definedName>
    <definedName name="bc" localSheetId="2">#REF!</definedName>
    <definedName name="bc">#REF!</definedName>
    <definedName name="BI" localSheetId="2">'[1]Lamp1 BS'!#REF!</definedName>
    <definedName name="BI" localSheetId="0">'List Drop Down'!#REF!</definedName>
    <definedName name="BI">#REF!</definedName>
    <definedName name="BNBNMBNMBM" localSheetId="2">#REF!</definedName>
    <definedName name="BNBNMBNMBM">#REF!</definedName>
    <definedName name="briguna_karya" localSheetId="2">#REF!</definedName>
    <definedName name="briguna_karya">#REF!</definedName>
    <definedName name="briguna_purna" localSheetId="2">#REF!</definedName>
    <definedName name="briguna_purna">#REF!</definedName>
    <definedName name="Bulan" localSheetId="2">#REF!</definedName>
    <definedName name="Bulan">#REF!</definedName>
    <definedName name="CA_otherbanks" localSheetId="2">'[1]Lamp1 BS'!#REF!</definedName>
    <definedName name="CA_otherbanks" localSheetId="0">'List Drop Down'!#REF!</definedName>
    <definedName name="CA_otherbanks">#REF!</definedName>
    <definedName name="CALON_KCP" localSheetId="2">#REF!</definedName>
    <definedName name="CALON_KCP">#REF!</definedName>
    <definedName name="cambon" localSheetId="2">#REF!</definedName>
    <definedName name="cambon">#REF!</definedName>
    <definedName name="card1" localSheetId="2">#REF!</definedName>
    <definedName name="card1">#REF!</definedName>
    <definedName name="card2" localSheetId="2">#REF!</definedName>
    <definedName name="card2">#REF!</definedName>
    <definedName name="card3" localSheetId="2">#REF!</definedName>
    <definedName name="card3">#REF!</definedName>
    <definedName name="cardpasiva" localSheetId="2">#REF!</definedName>
    <definedName name="cardpasiva">#REF!</definedName>
    <definedName name="CASA" localSheetId="2">#REF!</definedName>
    <definedName name="CASA">#REF!</definedName>
    <definedName name="cash" localSheetId="2">'[1]Lamp1 BS'!#REF!</definedName>
    <definedName name="cash" localSheetId="0">'List Drop Down'!#REF!</definedName>
    <definedName name="cash">#REF!</definedName>
    <definedName name="cash_Col" localSheetId="2">#REF!</definedName>
    <definedName name="cash_Col">#REF!</definedName>
    <definedName name="Cashratio" localSheetId="2">#REF!</definedName>
    <definedName name="Cashratio">#REF!</definedName>
    <definedName name="cayman1" localSheetId="2">#REF!</definedName>
    <definedName name="cayman1">#REF!</definedName>
    <definedName name="cayman2" localSheetId="2">#REF!</definedName>
    <definedName name="cayman2">#REF!</definedName>
    <definedName name="caymanpasiva" localSheetId="2">#REF!</definedName>
    <definedName name="caymanpasiva">#REF!</definedName>
    <definedName name="cbaceh" localSheetId="2">#REF!</definedName>
    <definedName name="cbaceh">#REF!</definedName>
    <definedName name="cbalikpapan" localSheetId="2">#REF!</definedName>
    <definedName name="cbalikpapan">#REF!</definedName>
    <definedName name="cbandung" localSheetId="2">#REF!</definedName>
    <definedName name="cbandung">#REF!</definedName>
    <definedName name="cbanjarmasin" localSheetId="2">#REF!</definedName>
    <definedName name="cbanjarmasin">#REF!</definedName>
    <definedName name="cbatam" localSheetId="2">#REF!</definedName>
    <definedName name="cbatam">#REF!</definedName>
    <definedName name="cbkttinggi" localSheetId="2">#REF!</definedName>
    <definedName name="cbkttinggi">#REF!</definedName>
    <definedName name="cblampung" localSheetId="2">#REF!</definedName>
    <definedName name="cblampung">#REF!</definedName>
    <definedName name="cbogor" localSheetId="2">#REF!</definedName>
    <definedName name="cbogor">#REF!</definedName>
    <definedName name="ccardcenter" localSheetId="2">#REF!</definedName>
    <definedName name="ccardcenter">#REF!</definedName>
    <definedName name="ccib" localSheetId="2">#REF!</definedName>
    <definedName name="ccib">#REF!</definedName>
    <definedName name="ccilegon" localSheetId="2">#REF!</definedName>
    <definedName name="ccilegon">#REF!</definedName>
    <definedName name="ccirebon" localSheetId="2">#REF!</definedName>
    <definedName name="ccirebon">#REF!</definedName>
    <definedName name="ccook" localSheetId="2">#REF!</definedName>
    <definedName name="ccook">#REF!</definedName>
    <definedName name="CCY" localSheetId="2">#REF!</definedName>
    <definedName name="CCY">#REF!</definedName>
    <definedName name="cdenpasar" localSheetId="2">#REF!</definedName>
    <definedName name="cdenpasar">#REF!</definedName>
    <definedName name="cjayapura" localSheetId="2">#REF!</definedName>
    <definedName name="cjayapura">#REF!</definedName>
    <definedName name="cjember" localSheetId="2">#REF!</definedName>
    <definedName name="cjember">#REF!</definedName>
    <definedName name="cjuanda" localSheetId="2">#REF!</definedName>
    <definedName name="cjuanda">#REF!</definedName>
    <definedName name="ckalbes" localSheetId="2">#REF!</definedName>
    <definedName name="ckalbes">#REF!</definedName>
    <definedName name="ckarawang" localSheetId="2">#REF!</definedName>
    <definedName name="ckarawang">#REF!</definedName>
    <definedName name="ckediri" localSheetId="2">#REF!</definedName>
    <definedName name="ckediri">#REF!</definedName>
    <definedName name="ckendari" localSheetId="2">#REF!</definedName>
    <definedName name="ckendari">#REF!</definedName>
    <definedName name="ckpusat" localSheetId="2">#REF!</definedName>
    <definedName name="ckpusat">#REF!</definedName>
    <definedName name="ckudus" localSheetId="2">#REF!</definedName>
    <definedName name="ckudus">#REF!</definedName>
    <definedName name="clhokseumawe" localSheetId="2">#REF!</definedName>
    <definedName name="clhokseumawe">#REF!</definedName>
    <definedName name="cmalang" localSheetId="2">#REF!</definedName>
    <definedName name="cmalang">#REF!</definedName>
    <definedName name="cmanado" localSheetId="2">#REF!</definedName>
    <definedName name="cmanado">#REF!</definedName>
    <definedName name="cmataram" localSheetId="2">#REF!</definedName>
    <definedName name="cmataram">#REF!</definedName>
    <definedName name="cmauritius" localSheetId="2">#REF!</definedName>
    <definedName name="cmauritius">#REF!</definedName>
    <definedName name="cmdua" localSheetId="2">#REF!</definedName>
    <definedName name="cmdua">#REF!</definedName>
    <definedName name="cmedan" localSheetId="2">#REF!</definedName>
    <definedName name="cmedan">#REF!</definedName>
    <definedName name="cmojokerto" localSheetId="2">#REF!</definedName>
    <definedName name="cmojokerto">#REF!</definedName>
    <definedName name="cmumbai" localSheetId="2">#REF!</definedName>
    <definedName name="cmumbai">#REF!</definedName>
    <definedName name="Coachingmentoring" localSheetId="2">#REF!</definedName>
    <definedName name="Coachingmentoring">#REF!</definedName>
    <definedName name="cook1" localSheetId="2">#REF!</definedName>
    <definedName name="cook1">#REF!</definedName>
    <definedName name="cook2" localSheetId="2">#REF!</definedName>
    <definedName name="cook2">#REF!</definedName>
    <definedName name="cookpasiva" localSheetId="2">#REF!</definedName>
    <definedName name="cookpasiva">#REF!</definedName>
    <definedName name="cpadang" localSheetId="2">#REF!</definedName>
    <definedName name="cpadang">#REF!</definedName>
    <definedName name="cpalembang" localSheetId="2">#REF!</definedName>
    <definedName name="cpalembang">#REF!</definedName>
    <definedName name="cpalu" localSheetId="2">#REF!</definedName>
    <definedName name="cpalu">#REF!</definedName>
    <definedName name="cpekalongan" localSheetId="2">#REF!</definedName>
    <definedName name="cpekalongan">#REF!</definedName>
    <definedName name="cpekanbaru" localSheetId="2">#REF!</definedName>
    <definedName name="cpekanbaru">#REF!</definedName>
    <definedName name="cpolim" localSheetId="2">#REF!</definedName>
    <definedName name="cpolim">#REF!</definedName>
    <definedName name="cpontianak" localSheetId="2">#REF!</definedName>
    <definedName name="cpontianak">#REF!</definedName>
    <definedName name="cprobolinggo" localSheetId="2">#REF!</definedName>
    <definedName name="cprobolinggo">#REF!</definedName>
    <definedName name="cpurwokerto" localSheetId="2">#REF!</definedName>
    <definedName name="cpurwokerto">#REF!</definedName>
    <definedName name="crantau" localSheetId="2">#REF!</definedName>
    <definedName name="crantau">#REF!</definedName>
    <definedName name="_xlnm.Criteria" localSheetId="2">#REF!</definedName>
    <definedName name="_xlnm.Criteria">#REF!</definedName>
    <definedName name="csalatiga" localSheetId="2">#REF!</definedName>
    <definedName name="csalatiga">#REF!</definedName>
    <definedName name="csamarinda" localSheetId="2">#REF!</definedName>
    <definedName name="csamarinda">#REF!</definedName>
    <definedName name="csampit" localSheetId="2">#REF!</definedName>
    <definedName name="csampit">#REF!</definedName>
    <definedName name="csemarang" localSheetId="2">#REF!</definedName>
    <definedName name="csemarang">#REF!</definedName>
    <definedName name="csiantar" localSheetId="2">#REF!</definedName>
    <definedName name="csiantar">#REF!</definedName>
    <definedName name="csingaraja" localSheetId="2">#REF!</definedName>
    <definedName name="csingaraja">#REF!</definedName>
    <definedName name="csolo" localSheetId="2">#REF!</definedName>
    <definedName name="csolo">#REF!</definedName>
    <definedName name="csorong" localSheetId="2">#REF!</definedName>
    <definedName name="csorong">#REF!</definedName>
    <definedName name="csurabaya" localSheetId="2">#REF!</definedName>
    <definedName name="csurabaya">#REF!</definedName>
    <definedName name="ctasik" localSheetId="2">#REF!</definedName>
    <definedName name="ctasik">#REF!</definedName>
    <definedName name="ctegal" localSheetId="2">#REF!</definedName>
    <definedName name="ctegal">#REF!</definedName>
    <definedName name="cthamrin" localSheetId="2">#REF!</definedName>
    <definedName name="cthamrin">#REF!</definedName>
    <definedName name="ctpinang" localSheetId="2">#REF!</definedName>
    <definedName name="ctpinang">#REF!</definedName>
    <definedName name="cujungpandang" localSheetId="2">#REF!</definedName>
    <definedName name="cujungpandang">#REF!</definedName>
    <definedName name="cuk" localSheetId="2">#REF!</definedName>
    <definedName name="cuk" localSheetId="0">'List Drop Down'!#REF!</definedName>
    <definedName name="cuk">#REF!</definedName>
    <definedName name="curr_fund_scenario" localSheetId="2">[6]InFund!$U$15:$BD$177</definedName>
    <definedName name="curr_fund_scenario" localSheetId="0">'List Drop Down'!#REF!</definedName>
    <definedName name="curr_fund_scenario">#REF!</definedName>
    <definedName name="CURRDATE" localSheetId="2">#REF!</definedName>
    <definedName name="CURRDATE">#REF!</definedName>
    <definedName name="CurrencyUnit" localSheetId="2">#REF!</definedName>
    <definedName name="CurrencyUnit">#REF!</definedName>
    <definedName name="CurrentDate" localSheetId="2">#REF!</definedName>
    <definedName name="CurrentDate">#REF!</definedName>
    <definedName name="cyogya" localSheetId="2">#REF!</definedName>
    <definedName name="cyogya">#REF!</definedName>
    <definedName name="D" localSheetId="2">#REF!</definedName>
    <definedName name="D" localSheetId="0">'List Drop Down'!#REF!</definedName>
    <definedName name="D">#REF!</definedName>
    <definedName name="d1mumbairp" localSheetId="2">#REF!</definedName>
    <definedName name="d1mumbairp">#REF!</definedName>
    <definedName name="d1mumbaivls" localSheetId="2">#REF!</definedName>
    <definedName name="d1mumbaivls">#REF!</definedName>
    <definedName name="d2mumbaivls" localSheetId="2">#REF!</definedName>
    <definedName name="d2mumbaivls">#REF!</definedName>
    <definedName name="DABRP" localSheetId="2">#REF!</definedName>
    <definedName name="DABRP">#REF!</definedName>
    <definedName name="DABVLS" localSheetId="2">#REF!</definedName>
    <definedName name="DABVLS">#REF!</definedName>
    <definedName name="DANATOTAL" localSheetId="2">#REF!</definedName>
    <definedName name="DANATOTAL">#REF!</definedName>
    <definedName name="data_center" localSheetId="2">OFFSET([2]!parameter_aplikasi[data_center],0,0,COUNTA([2]!parameter_aplikasi[data_center]),1)</definedName>
    <definedName name="data_center">OFFSET(#REF!,0,0,COUNTA(#REF!),1)</definedName>
    <definedName name="data_center_organizer" localSheetId="2">OFFSET([2]!parameter_aplikasi[data_center_organizer],0,0,COUNTA([2]!parameter_aplikasi[data_center_organizer]),1)</definedName>
    <definedName name="data_center_organizer">OFFSET(#REF!,0,0,COUNTA(#REF!),1)</definedName>
    <definedName name="_xlnm.Database" localSheetId="2">#REF!</definedName>
    <definedName name="_xlnm.Database">#REF!</definedName>
    <definedName name="dbfeed" localSheetId="2">#REF!</definedName>
    <definedName name="dbfeed">#REF!</definedName>
    <definedName name="dbms" localSheetId="2">OFFSET([2]!parameter_aplikasi[dbms],0,0,COUNTA([2]!parameter_aplikasi[dbms]),1)</definedName>
    <definedName name="dbms">OFFSET(#REF!,0,0,COUNTA(#REF!),1)</definedName>
    <definedName name="deb_briguna_karya" localSheetId="2">#REF!</definedName>
    <definedName name="deb_briguna_karya">#REF!</definedName>
    <definedName name="deb_briguna_purna" localSheetId="2">#REF!</definedName>
    <definedName name="deb_briguna_purna">#REF!</definedName>
    <definedName name="deb_cash_col" localSheetId="2">#REF!</definedName>
    <definedName name="deb_cash_col">#REF!</definedName>
    <definedName name="deb_komersial" localSheetId="2">#REF!</definedName>
    <definedName name="deb_komersial">#REF!</definedName>
    <definedName name="def_exch" localSheetId="2">#REF!</definedName>
    <definedName name="def_exch">#REF!</definedName>
    <definedName name="def_feed" localSheetId="2">#REF!</definedName>
    <definedName name="def_feed">#REF!</definedName>
    <definedName name="def_link_exch" localSheetId="2">#REF!</definedName>
    <definedName name="def_link_exch">#REF!</definedName>
    <definedName name="def_link_feed" localSheetId="2">#REF!</definedName>
    <definedName name="def_link_feed">#REF!</definedName>
    <definedName name="def_link_mkt" localSheetId="2">#REF!</definedName>
    <definedName name="def_link_mkt">#REF!</definedName>
    <definedName name="def_mkt" localSheetId="2">#REF!</definedName>
    <definedName name="def_mkt">#REF!</definedName>
    <definedName name="depmumbairp" localSheetId="2">#REF!</definedName>
    <definedName name="depmumbairp">#REF!</definedName>
    <definedName name="Deposito_JK_Waktu_Rp_VA" localSheetId="2">#REF!</definedName>
    <definedName name="Deposito_JK_Waktu_Rp_VA">#REF!</definedName>
    <definedName name="DEPOSITORP" localSheetId="2">#REF!</definedName>
    <definedName name="DEPOSITORP">#REF!</definedName>
    <definedName name="DEPOSITOVLS" localSheetId="2">#REF!</definedName>
    <definedName name="DEPOSITOVLS">#REF!</definedName>
    <definedName name="dfa" localSheetId="2">#REF!</definedName>
    <definedName name="dfa">#REF!</definedName>
    <definedName name="dfafa" localSheetId="2">#REF!</definedName>
    <definedName name="dfafa">#REF!</definedName>
    <definedName name="DIV" localSheetId="2">#REF!</definedName>
    <definedName name="DIV">#REF!</definedName>
    <definedName name="DIVALL" localSheetId="2">#REF!</definedName>
    <definedName name="DIVALL">#REF!</definedName>
    <definedName name="Divisi" localSheetId="2">#REF!</definedName>
    <definedName name="Divisi">#REF!</definedName>
    <definedName name="DNCIB" localSheetId="2">#REF!</definedName>
    <definedName name="DNCIB">#REF!</definedName>
    <definedName name="DNCOOK" localSheetId="2">#REF!</definedName>
    <definedName name="DNCOOK">#REF!</definedName>
    <definedName name="dnjuanda" localSheetId="2">#REF!</definedName>
    <definedName name="dnjuanda">#REF!</definedName>
    <definedName name="dnkalbes" localSheetId="2">#REF!</definedName>
    <definedName name="dnkalbes">#REF!</definedName>
    <definedName name="DNKWI" localSheetId="2">#REF!</definedName>
    <definedName name="DNKWI">#REF!</definedName>
    <definedName name="DNKWII" localSheetId="2">#REF!</definedName>
    <definedName name="DNKWII">#REF!</definedName>
    <definedName name="DNKWIII" localSheetId="2">#REF!</definedName>
    <definedName name="DNKWIII">#REF!</definedName>
    <definedName name="DNMAUT" localSheetId="2">#REF!</definedName>
    <definedName name="DNMAUT">#REF!</definedName>
    <definedName name="DNMCHANGER" localSheetId="2">#REF!</definedName>
    <definedName name="DNMCHANGER">#REF!</definedName>
    <definedName name="dnmdua" localSheetId="2">#REF!</definedName>
    <definedName name="dnmdua">#REF!</definedName>
    <definedName name="DNMUMBAI" localSheetId="2">#REF!</definedName>
    <definedName name="DNMUMBAI">#REF!</definedName>
    <definedName name="dnpolim" localSheetId="2">#REF!</definedName>
    <definedName name="dnpolim">#REF!</definedName>
    <definedName name="DNPUSAT" localSheetId="2">#REF!</definedName>
    <definedName name="DNPUSAT">#REF!</definedName>
    <definedName name="DNTC" localSheetId="2">#REF!</definedName>
    <definedName name="DNTC">#REF!</definedName>
    <definedName name="dnthamrin" localSheetId="2">#REF!</definedName>
    <definedName name="dnthamrin">#REF!</definedName>
    <definedName name="dpk_briguna_karya" localSheetId="2">#REF!</definedName>
    <definedName name="dpk_briguna_karya">#REF!</definedName>
    <definedName name="dpk_briguna_purna" localSheetId="2">#REF!</definedName>
    <definedName name="dpk_briguna_purna">#REF!</definedName>
    <definedName name="dpk_briguna_umum" localSheetId="2">#REF!</definedName>
    <definedName name="dpk_briguna_umum">#REF!</definedName>
    <definedName name="dpk_cash_col" localSheetId="2">#REF!</definedName>
    <definedName name="dpk_cash_col">#REF!</definedName>
    <definedName name="dpk_komersial" localSheetId="2">#REF!</definedName>
    <definedName name="dpk_komersial">#REF!</definedName>
    <definedName name="dpk_menengah" localSheetId="2">#REF!</definedName>
    <definedName name="dpk_menengah">#REF!</definedName>
    <definedName name="DPKFNJKT" localSheetId="2">#REF!</definedName>
    <definedName name="DPKFNJKT">#REF!</definedName>
    <definedName name="drc" localSheetId="2">OFFSET([2]!parameter_aplikasi[drc],0,0,COUNTA([2]!parameter_aplikasi[drc]),1)</definedName>
    <definedName name="drc">OFFSET(#REF!,0,0,COUNTA(#REF!),1)</definedName>
    <definedName name="drc_organizer" localSheetId="2">OFFSET([2]!parameter_aplikasi[drc_organizer],0,0,COUNTA([2]!parameter_aplikasi[drc_organizer]),1)</definedName>
    <definedName name="drc_organizer">OFFSET(#REF!,0,0,COUNTA(#REF!),1)</definedName>
    <definedName name="e" localSheetId="2">#REF!</definedName>
    <definedName name="e">#REF!</definedName>
    <definedName name="eeeeeeee" localSheetId="2">#REF!</definedName>
    <definedName name="eeeeeeee">#REF!</definedName>
    <definedName name="eksp._exist._Teras" localSheetId="2">#REF!</definedName>
    <definedName name="eksp._exist._Teras">#REF!</definedName>
    <definedName name="eksp._existing_unit" localSheetId="2">#REF!</definedName>
    <definedName name="eksp._existing_unit">#REF!</definedName>
    <definedName name="Eksp._KC_Exist." localSheetId="2">#REF!</definedName>
    <definedName name="Eksp._KC_Exist.">#REF!</definedName>
    <definedName name="eksp._KCP_exist." localSheetId="2">#REF!</definedName>
    <definedName name="eksp._KCP_exist.">#REF!</definedName>
    <definedName name="Eksploitasi" localSheetId="2">#REF!</definedName>
    <definedName name="Eksploitasi">#REF!</definedName>
    <definedName name="Eksploitasi_TI">'List Drop Down'!$C$3:$C$14</definedName>
    <definedName name="EPMWorkbookOptions_1">"UzcAAB+LCAAAAAAABADtm+9vokgYx99vsv+D4b3yW21D3dApvZJTIYjtbpqNQRkrWQVuwNreX38jCgKix7Z3hFKStpqZ53lm5svnmRntjPDtZbVsPEPkWY59RdAtimhAe+aYlv10Raz9eZNuE996X78IDw76NXWcX4rrY1Ovgf1s7/LFM6+Ihe+7lyS52WxaG7bloCeSoSia/D7oj2YLuDKIyNj6d+OmZXu+Yc8ggVttNATg2DacbdvUHbBG"</definedName>
    <definedName name="EPMWorkbookOptions_2" hidden="1">"CNr+vQU3QWWi+sbwjX0pLh8aK7hrNmrShyt3jaygzbEHkYrgHOJ4M9jCwyB6k1t1MLlWwfCBpiaPeye6w7Tobotm+RbDMZfdbV89wyWn7oz8OXm81mT8V1Gl7/hlbiw9GL0K5LYPhx6Jrru0ZkZMvdw9C2Mko8SK9wPubTuSanen0kG4Bnmy6s4yTWjfWCtoe0EvT5seeuglbLDVaOFsohjAWTqo56M1FMiMinOuwSgyPI9Gt3fEJPjwxb81"</definedName>
    <definedName name="EPMWorkbookOptions_3" hidden="1">"nh1k+bhfwWPYOR/VpfzvrKfFEv/6I7jENEHzzoLIQLOFdYhz1iZHf24t5PmxAWXXpwJFoz4teF6ruN3Ytv5aw0BJEQBlPNQFMqvyXIzdE8TzA0/RbJeOBch6toGvgkyIepRA7t5kRvfcpfGqIseFyH/t0Xybn8PpvMm3Ta7JMfOLZpeHsEkZkOHMaYfrTNlty0mvjMB9w4se3ACupnjGyzBLQp5pgE12/jGZHvci/mw9qqImDfU7Gr+9HlEU"</definedName>
    <definedName name="EPMWorkbookOptions_4" hidden="1">"haeBI/MTYUOeXg+mDTxlXtrW8orYckOkEvL8k83nK5DnByyQ+ZTDunm+s7L+hmYyUyO+Thkc0UwWAP1Q7P/QZTB6O/YUxeHFID/1dAWpD1VMci8OJ0NlKNXkHyArJfvMm+FnWZ7nOC4//EyF4WfS9DM1/mnOSsk/+2b+2x2a6nY7+flnK8w/m+afrflPc1Yq/sc3sq5rotx/z+an3WbZ39j9cBVMgEjHVAIE5You9usUiKFWphQAoi79oWg/"</definedName>
    <definedName name="EPMWorkbookOptions_5" hidden="1">"CvzQy1cvAUIVMfP4R/tTVBmKoeWhPKHoj47+f6OJCPRxPQ3E0q1Uk4Ay0gGetCWtwGmgXcFpINIxuQ4CMBFppov3Cgxz8dFz4H8Sh6nFOSUOzdfinBanXYtzUhyKouiJ+tGlef+qG1vfyrTu4i7JepFb70711tydhin2R8qnZz5kq0y8q5pyKxe/0+xWj/q4kkn21XrejxhP8lamTNAkIMn3kjYBoMBEuKheIsSETOaBhjdA9ZfvadRKlQOq"</definedName>
    <definedName name="EPMWorkbookOptions_6" hidden="1">"DsYafmCgyC0QXcEzNzEld9+2SWOt5j6OV5m41+WBVCTwFTxus5UwOd0zFNVu1f9qOvBVJuLxPuxmDIo8WElX8JjNXsUk9wHyYc1nJz/irEzwP1y/42jl74NfwfM1WMEk9Lig3ttHbJUJ9oEkjsaaVCjxFTxQE8q4282rkiYrNzL4HLjnwjSHUaI3J40SNs7K9WNZlLz1I5BZF44SpWFs3PTxXax44fH9LUGDcwS9hWIrLrTDizbJwsAOLKGB"</definedName>
    <definedName name="EPMWorkbookOptions_7" hidden="1">"tkEVe2Q8w9AyXRzYhhfV8Mj8QPPQ+rgiab8x90MXZO/eQJYxXcIBRE+HCEflX78cwu4vxvX+AYsbq+dTNwAA"</definedName>
    <definedName name="ER" localSheetId="2">#REF!</definedName>
    <definedName name="ER">#REF!</definedName>
    <definedName name="etl_engine" localSheetId="2">OFFSET([2]!parameter_aplikasi[etl_engine],0,0,COUNTA([2]!parameter_aplikasi[etl_engine]),1)</definedName>
    <definedName name="etl_engine">OFFSET(#REF!,0,0,COUNTA(#REF!),1)</definedName>
    <definedName name="Excel_BuiltIn_Print_Area_1_1" localSheetId="2">#REF!</definedName>
    <definedName name="Excel_BuiltIn_Print_Area_1_1" localSheetId="0">'List Drop Down'!#REF!</definedName>
    <definedName name="Excel_BuiltIn_Print_Area_1_1">#REF!</definedName>
    <definedName name="Excel_BuiltIn_Print_Area_1_1_1" localSheetId="2">#REF!</definedName>
    <definedName name="Excel_BuiltIn_Print_Area_1_1_1" localSheetId="0">'List Drop Down'!#REF!</definedName>
    <definedName name="Excel_BuiltIn_Print_Area_1_1_1">#REF!</definedName>
    <definedName name="Excel_BuiltIn_Print_Area_1_1_1_1" localSheetId="2">#REF!</definedName>
    <definedName name="Excel_BuiltIn_Print_Area_1_1_1_1" localSheetId="0">'List Drop Down'!#REF!</definedName>
    <definedName name="Excel_BuiltIn_Print_Area_1_1_1_1">#REF!</definedName>
    <definedName name="Excel_BuiltIn_Print_Area_2" localSheetId="2">#REF!</definedName>
    <definedName name="Excel_BuiltIn_Print_Area_2" localSheetId="0">'List Drop Down'!#REF!</definedName>
    <definedName name="Excel_BuiltIn_Print_Area_2">#REF!</definedName>
    <definedName name="Excel_BuiltIn_Print_Area_2_1" localSheetId="2">#REF!,#REF!,#REF!</definedName>
    <definedName name="Excel_BuiltIn_Print_Area_2_1" localSheetId="0">'List Drop Down'!#REF!,'List Drop Down'!#REF!,'List Drop Down'!#REF!</definedName>
    <definedName name="Excel_BuiltIn_Print_Area_2_1">#REF!,#REF!,#REF!</definedName>
    <definedName name="Excel_BuiltIn_Print_Area_2_1_1" localSheetId="2">#REF!,#REF!,#REF!</definedName>
    <definedName name="Excel_BuiltIn_Print_Area_2_1_1">#REF!,#REF!,#REF!</definedName>
    <definedName name="Excel_BuiltIn_Print_Area_3" localSheetId="2">#REF!</definedName>
    <definedName name="Excel_BuiltIn_Print_Area_3" localSheetId="0">'List Drop Down'!#REF!</definedName>
    <definedName name="Excel_BuiltIn_Print_Area_3">#REF!</definedName>
    <definedName name="Excel_BuiltIn_Print_Area_5" localSheetId="2">#REF!</definedName>
    <definedName name="Excel_BuiltIn_Print_Area_5" localSheetId="0">'List Drop Down'!#REF!</definedName>
    <definedName name="Excel_BuiltIn_Print_Area_5">#REF!</definedName>
    <definedName name="Excel_BuiltIn_Print_Area_5_1" localSheetId="2">#REF!</definedName>
    <definedName name="Excel_BuiltIn_Print_Area_5_1" localSheetId="0">'List Drop Down'!#REF!</definedName>
    <definedName name="Excel_BuiltIn_Print_Area_5_1">#REF!</definedName>
    <definedName name="Excel_BuiltIn_Print_Area_6" localSheetId="2">#REF!</definedName>
    <definedName name="Excel_BuiltIn_Print_Area_6" localSheetId="0">'List Drop Down'!#REF!</definedName>
    <definedName name="Excel_BuiltIn_Print_Area_6">#REF!</definedName>
    <definedName name="Excel_BuiltIn_Print_Area_9" localSheetId="2">#REF!</definedName>
    <definedName name="Excel_BuiltIn_Print_Area_9" localSheetId="0">'List Drop Down'!#REF!</definedName>
    <definedName name="Excel_BuiltIn_Print_Area_9">#REF!</definedName>
    <definedName name="Excel_BuiltIn_Print_Titles_2_1" localSheetId="2">#REF!</definedName>
    <definedName name="Excel_BuiltIn_Print_Titles_2_1" localSheetId="0">'List Drop Down'!#REF!</definedName>
    <definedName name="Excel_BuiltIn_Print_Titles_2_1">#REF!</definedName>
    <definedName name="Excel_BuiltIn_Print_Titles_2_1_1" localSheetId="2">#REF!</definedName>
    <definedName name="Excel_BuiltIn_Print_Titles_2_1_1" localSheetId="0">'List Drop Down'!#REF!</definedName>
    <definedName name="Excel_BuiltIn_Print_Titles_2_1_1">#REF!</definedName>
    <definedName name="Excel_BuiltIn_Print_Titles_5" localSheetId="2">#REF!</definedName>
    <definedName name="Excel_BuiltIn_Print_Titles_5" localSheetId="0">'List Drop Down'!#REF!</definedName>
    <definedName name="Excel_BuiltIn_Print_Titles_5">#REF!</definedName>
    <definedName name="exist._KCP" localSheetId="2">#REF!</definedName>
    <definedName name="exist._KCP">#REF!</definedName>
    <definedName name="exist_Teras" localSheetId="2">#REF!</definedName>
    <definedName name="exist_Teras">#REF!</definedName>
    <definedName name="Existing_KC" localSheetId="2">#REF!</definedName>
    <definedName name="Existing_KC">#REF!</definedName>
    <definedName name="existing_unit" localSheetId="2">#REF!</definedName>
    <definedName name="existing_unit">#REF!</definedName>
    <definedName name="F" localSheetId="2">#REF!</definedName>
    <definedName name="F" localSheetId="0">'List Drop Down'!#REF!</definedName>
    <definedName name="F">#REF!</definedName>
    <definedName name="FBI" localSheetId="2">#REF!</definedName>
    <definedName name="FBI">#REF!</definedName>
    <definedName name="FBIa" localSheetId="2">#REF!</definedName>
    <definedName name="FBIa">#REF!</definedName>
    <definedName name="FEB" localSheetId="2">#REF!</definedName>
    <definedName name="FEB">#REF!</definedName>
    <definedName name="februari" localSheetId="2">#REF!</definedName>
    <definedName name="februari">#REF!</definedName>
    <definedName name="fee" localSheetId="2">'[7]Income Statement'!#REF!</definedName>
    <definedName name="fee" localSheetId="0">'List Drop Down'!#REF!</definedName>
    <definedName name="fee">#REF!</definedName>
    <definedName name="field_defaults" localSheetId="2">#REF!</definedName>
    <definedName name="field_defaults">#REF!</definedName>
    <definedName name="fix" localSheetId="2">#REF!</definedName>
    <definedName name="fix">#REF!</definedName>
    <definedName name="framework" localSheetId="2">OFFSET([2]!parameter_aplikasi[framework],0,0,COUNTA([2]!parameter_aplikasi[framework]),1)</definedName>
    <definedName name="framework">OFFSET(#REF!,0,0,COUNTA(#REF!),1)</definedName>
    <definedName name="FullQuoteNames" localSheetId="2">#REF!</definedName>
    <definedName name="FullQuoteNames">#REF!</definedName>
    <definedName name="fund_history" localSheetId="2">[6]fund_History!$A$12:$BB$634</definedName>
    <definedName name="fund_history" localSheetId="0">'List Drop Down'!#REF!</definedName>
    <definedName name="fund_history">#REF!</definedName>
    <definedName name="fund_scnr_1" localSheetId="2">[6]InFund!$U$188:$BD$350</definedName>
    <definedName name="fund_scnr_1" localSheetId="0">'List Drop Down'!#REF!</definedName>
    <definedName name="fund_scnr_1">#REF!</definedName>
    <definedName name="fund_scnr_2" localSheetId="2">[6]InFund!$U$359:$BD$522</definedName>
    <definedName name="fund_scnr_2" localSheetId="0">'List Drop Down'!#REF!</definedName>
    <definedName name="fund_scnr_2">#REF!</definedName>
    <definedName name="fund_scnr_3" localSheetId="2">[6]InFund!$U$531:$BD$694</definedName>
    <definedName name="fund_scnr_3" localSheetId="0">'List Drop Down'!#REF!</definedName>
    <definedName name="fund_scnr_3">#REF!</definedName>
    <definedName name="giro" localSheetId="2">[8]Funds!$G$39:$M$43</definedName>
    <definedName name="giro" localSheetId="0">'List Drop Down'!#REF!</definedName>
    <definedName name="giro">#REF!</definedName>
    <definedName name="GIROVLS" localSheetId="2">#REF!</definedName>
    <definedName name="GIROVLS">#REF!</definedName>
    <definedName name="Google_Sheet_Link_813552804" localSheetId="2" hidden="1">INF!Y</definedName>
    <definedName name="Google_Sheet_Link_813552804" hidden="1">Y</definedName>
    <definedName name="Group" localSheetId="2">#REF!</definedName>
    <definedName name="Group">#REF!</definedName>
    <definedName name="GROUPING_SEG" localSheetId="2">#REF!</definedName>
    <definedName name="GROUPING_SEG">#REF!</definedName>
    <definedName name="gw_MikrobebansertibriRp" localSheetId="2">[6]InFund!$I$64:$BD$64</definedName>
    <definedName name="gw_MikrobebansertibriRp" localSheetId="0">'List Drop Down'!#REF!</definedName>
    <definedName name="gw_MikrobebansertibriRp">#REF!</definedName>
    <definedName name="gw_MikrobebansertibriVLS" localSheetId="2">[6]InFund!$I$149:$BD$149</definedName>
    <definedName name="gw_MikrobebansertibriVLS" localSheetId="0">'List Drop Down'!#REF!</definedName>
    <definedName name="gw_MikrobebansertibriVLS">#REF!</definedName>
    <definedName name="gw_MikroBritamaRP" localSheetId="2">[6]InFund!$I$48:$BD$48</definedName>
    <definedName name="gw_MikroBritamaRP" localSheetId="0">'List Drop Down'!#REF!</definedName>
    <definedName name="gw_MikroBritamaRP">#REF!</definedName>
    <definedName name="gw_MikroBritamaVLS" localSheetId="2">[6]InFund!$I$133:$BD$133</definedName>
    <definedName name="gw_MikroBritamaVLS" localSheetId="0">'List Drop Down'!#REF!</definedName>
    <definedName name="gw_MikroBritamaVLS">#REF!</definedName>
    <definedName name="gw_MikroDep_12Rp" localSheetId="2">[6]InFund!$I$62:$BD$62</definedName>
    <definedName name="gw_MikroDep_12Rp" localSheetId="0">'List Drop Down'!#REF!</definedName>
    <definedName name="gw_MikroDep_12Rp">#REF!</definedName>
    <definedName name="gw_MikroDep_12VLS" localSheetId="2">[6]InFund!$I$147:$BD$147</definedName>
    <definedName name="gw_MikroDep_12VLS" localSheetId="0">'List Drop Down'!#REF!</definedName>
    <definedName name="gw_MikroDep_12VLS">#REF!</definedName>
    <definedName name="gw_MikroDep12Rp" localSheetId="2">[6]InFund!$I$61:$BD$61</definedName>
    <definedName name="gw_MikroDep12Rp" localSheetId="0">'List Drop Down'!#REF!</definedName>
    <definedName name="gw_MikroDep12Rp">#REF!</definedName>
    <definedName name="gw_MikroDep12VLS" localSheetId="2">[6]InFund!$I$146:$BD$146</definedName>
    <definedName name="gw_MikroDep12VLS" localSheetId="0">'List Drop Down'!#REF!</definedName>
    <definedName name="gw_MikroDep12VLS">#REF!</definedName>
    <definedName name="gw_MikroDep1Rp" localSheetId="2">[6]InFund!$I$58:$BD$58</definedName>
    <definedName name="gw_MikroDep1Rp" localSheetId="0">'List Drop Down'!#REF!</definedName>
    <definedName name="gw_MikroDep1Rp">#REF!</definedName>
    <definedName name="gw_MikroDep1VLS" localSheetId="2">[6]InFund!$I$143:$BD$143</definedName>
    <definedName name="gw_MikroDep1VLS" localSheetId="0">'List Drop Down'!#REF!</definedName>
    <definedName name="gw_MikroDep1VLS">#REF!</definedName>
    <definedName name="gw_MikroDep3Rp" localSheetId="2">[6]InFund!$I$59:$BD$59</definedName>
    <definedName name="gw_MikroDep3Rp" localSheetId="0">'List Drop Down'!#REF!</definedName>
    <definedName name="gw_MikroDep3Rp">#REF!</definedName>
    <definedName name="gw_MikroDep3VLS" localSheetId="2">[6]InFund!$I$144:$BD$144</definedName>
    <definedName name="gw_MikroDep3VLS" localSheetId="0">'List Drop Down'!#REF!</definedName>
    <definedName name="gw_MikroDep3VLS">#REF!</definedName>
    <definedName name="gw_MikroDep6Rp" localSheetId="2">[6]InFund!$I$60:$BD$60</definedName>
    <definedName name="gw_MikroDep6Rp" localSheetId="0">'List Drop Down'!#REF!</definedName>
    <definedName name="gw_MikroDep6Rp">#REF!</definedName>
    <definedName name="gw_MikroDep6VLS" localSheetId="2">[6]InFund!$I$145:$BD$145</definedName>
    <definedName name="gw_MikroDep6VLS" localSheetId="0">'List Drop Down'!#REF!</definedName>
    <definedName name="gw_MikroDep6VLS">#REF!</definedName>
    <definedName name="gw_MikroDOCRp" localSheetId="2">[6]InFund!$I$56:$BD$56</definedName>
    <definedName name="gw_MikroDOCRp" localSheetId="0">'List Drop Down'!#REF!</definedName>
    <definedName name="gw_MikroDOCRp">#REF!</definedName>
    <definedName name="gw_MikroDOCVLS" localSheetId="2">[6]InFund!$I$141:$BD$141</definedName>
    <definedName name="gw_MikroDOCVLS" localSheetId="0">'List Drop Down'!#REF!</definedName>
    <definedName name="gw_MikroDOCVLS">#REF!</definedName>
    <definedName name="gw_MikroGiroNYARp" localSheetId="2">[6]InFund!$I$44:$BD$44</definedName>
    <definedName name="gw_MikroGiroNYARp" localSheetId="0">'List Drop Down'!#REF!</definedName>
    <definedName name="gw_MikroGiroNYARp">#REF!</definedName>
    <definedName name="gw_MikroGiroNYAVLS" localSheetId="2">[6]InFund!$I$129:$BD$129</definedName>
    <definedName name="gw_MikroGiroNYAVLS" localSheetId="0">'List Drop Down'!#REF!</definedName>
    <definedName name="gw_MikroGiroNYAVLS">#REF!</definedName>
    <definedName name="gw_MikroGiroRp" localSheetId="2">[6]InFund!$I$43:$BD$43</definedName>
    <definedName name="gw_MikroGiroRp" localSheetId="0">'List Drop Down'!#REF!</definedName>
    <definedName name="gw_MikroGiroRp">#REF!</definedName>
    <definedName name="gw_MikroGiroVLS" localSheetId="2">[6]InFund!$I$128:$BD$128</definedName>
    <definedName name="gw_MikroGiroVLS" localSheetId="0">'List Drop Down'!#REF!</definedName>
    <definedName name="gw_MikroGiroVLS">#REF!</definedName>
    <definedName name="gw_MikroPinjKredit" localSheetId="2">[6]InFund!$I$45:$BD$45</definedName>
    <definedName name="gw_MikroPinjKredit" localSheetId="0">'List Drop Down'!#REF!</definedName>
    <definedName name="gw_MikroPinjKredit">#REF!</definedName>
    <definedName name="gw_MikroPinjKreditRP" localSheetId="2">[6]InFund!$I$45:$BD$45</definedName>
    <definedName name="gw_MikroPinjKreditRP" localSheetId="0">'List Drop Down'!#REF!</definedName>
    <definedName name="gw_MikroPinjKreditRP">#REF!</definedName>
    <definedName name="gw_MikroPinjKreditVLS" localSheetId="2">[6]InFund!$I$130:$BD$130</definedName>
    <definedName name="gw_MikroPinjKreditVLS" localSheetId="0">'List Drop Down'!#REF!</definedName>
    <definedName name="gw_MikroPinjKreditVLS">#REF!</definedName>
    <definedName name="gw_MikroSerDepRp" localSheetId="2">[6]InFund!$I$63:$BD$63</definedName>
    <definedName name="gw_MikroSerDepRp" localSheetId="0">'List Drop Down'!#REF!</definedName>
    <definedName name="gw_MikroSerDepRp">#REF!</definedName>
    <definedName name="gw_MikroSerDepVLS" localSheetId="2">[6]InFund!$I$148:$BD$148</definedName>
    <definedName name="gw_MikroSerDepVLS" localSheetId="0">'List Drop Down'!#REF!</definedName>
    <definedName name="gw_MikroSerDepVLS">#REF!</definedName>
    <definedName name="gw_MikroSimaskotRP" localSheetId="2">[6]InFund!$I$49:$BD$49</definedName>
    <definedName name="gw_MikroSimaskotRP" localSheetId="0">'List Drop Down'!#REF!</definedName>
    <definedName name="gw_MikroSimaskotRP">#REF!</definedName>
    <definedName name="gw_MikroSimaskotVLS" localSheetId="2">[6]InFund!$I$134:$BD$134</definedName>
    <definedName name="gw_MikroSimaskotVLS" localSheetId="0">'List Drop Down'!#REF!</definedName>
    <definedName name="gw_MikroSimaskotVLS">#REF!</definedName>
    <definedName name="gw_MikroSimpedesRP" localSheetId="2">[6]InFund!$I$50:$BD$50</definedName>
    <definedName name="gw_MikroSimpedesRP" localSheetId="0">'List Drop Down'!#REF!</definedName>
    <definedName name="gw_MikroSimpedesRP">#REF!</definedName>
    <definedName name="gw_MikroSimpedesVLS" localSheetId="2">[6]InFund!$I$135:$BD$135</definedName>
    <definedName name="gw_MikroSimpedesVLS" localSheetId="0">'List Drop Down'!#REF!</definedName>
    <definedName name="gw_MikroSimpedesVLS">#REF!</definedName>
    <definedName name="gw_MikroTabanasbriRP" localSheetId="2">[6]InFund!$I$51:$BD$51</definedName>
    <definedName name="gw_MikroTabanasbriRP" localSheetId="0">'List Drop Down'!#REF!</definedName>
    <definedName name="gw_MikroTabanasbriRP">#REF!</definedName>
    <definedName name="gw_MikroTabanasbriVLS" localSheetId="2">[6]InFund!$I$136:$BD$136</definedName>
    <definedName name="gw_MikroTabanasbriVLS" localSheetId="0">'List Drop Down'!#REF!</definedName>
    <definedName name="gw_MikroTabanasbriVLS">#REF!</definedName>
    <definedName name="gw_MikroTabHajiRp" localSheetId="2">[6]InFund!$I$52:$BD$52</definedName>
    <definedName name="gw_MikroTabHajiRp" localSheetId="0">'List Drop Down'!#REF!</definedName>
    <definedName name="gw_MikroTabHajiRp">#REF!</definedName>
    <definedName name="gw_MikroTabHajiVLS" localSheetId="2">[6]InFund!$I$137:$BD$137</definedName>
    <definedName name="gw_MikroTabHajiVLS" localSheetId="0">'List Drop Down'!#REF!</definedName>
    <definedName name="gw_MikroTabHajiVLS">#REF!</definedName>
    <definedName name="gw_MikroTabungankuRP" localSheetId="2">[6]InFund!$I$47:$BD$47</definedName>
    <definedName name="gw_MikroTabungankuRP" localSheetId="0">'List Drop Down'!#REF!</definedName>
    <definedName name="gw_MikroTabungankuRP">#REF!</definedName>
    <definedName name="gw_MikroTakesraRp" localSheetId="2">[6]InFund!$I$53:$BD$53</definedName>
    <definedName name="gw_MikroTakesraRp" localSheetId="0">'List Drop Down'!#REF!</definedName>
    <definedName name="gw_MikroTakesraRp">#REF!</definedName>
    <definedName name="gw_MikroTakesraVLS" localSheetId="2">[6]InFund!$I$138:$BD$138</definedName>
    <definedName name="gw_MikroTakesraVLS" localSheetId="0">'List Drop Down'!#REF!</definedName>
    <definedName name="gw_MikroTakesraVLS">#REF!</definedName>
    <definedName name="gw_RAPCallmoneyRp" localSheetId="2">[6]InFund!$I$85:$BD$85</definedName>
    <definedName name="gw_RAPCallmoneyRp" localSheetId="0">'List Drop Down'!#REF!</definedName>
    <definedName name="gw_RAPCallmoneyRp">#REF!</definedName>
    <definedName name="gw_RAPCallmoneyVLS" localSheetId="2">[6]InFund!$I$170:$BD$170</definedName>
    <definedName name="gw_RAPCallmoneyVLS" localSheetId="0">'List Drop Down'!#REF!</definedName>
    <definedName name="gw_RAPCallmoneyVLS">#REF!</definedName>
    <definedName name="gw_RAPDepberjangkaRp" localSheetId="2">[6]InFund!$I$88:$BD$88</definedName>
    <definedName name="gw_RAPDepberjangkaRp" localSheetId="0">'List Drop Down'!#REF!</definedName>
    <definedName name="gw_RAPDepberjangkaRp">#REF!</definedName>
    <definedName name="gw_RAPDepberjangkaVLS" localSheetId="2">[6]InFund!$I$173:$BD$173</definedName>
    <definedName name="gw_RAPDepberjangkaVLS" localSheetId="0">'List Drop Down'!#REF!</definedName>
    <definedName name="gw_RAPDepberjangkaVLS">#REF!</definedName>
    <definedName name="gw_RAPDepositoRp" localSheetId="2">[6]InFund!$I$87:$BD$87</definedName>
    <definedName name="gw_RAPDepositoRp" localSheetId="0">'List Drop Down'!#REF!</definedName>
    <definedName name="gw_RAPDepositoRp">#REF!</definedName>
    <definedName name="gw_RAPDepositoVLS" localSheetId="2">[6]InFund!$I$172:$BD$172</definedName>
    <definedName name="gw_RAPDepositoVLS" localSheetId="0">'List Drop Down'!#REF!</definedName>
    <definedName name="gw_RAPDepositoVLS">#REF!</definedName>
    <definedName name="gw_RAPGiroRp" localSheetId="2">[6]InFund!$I$84:$BD$84</definedName>
    <definedName name="gw_RAPGiroRp" localSheetId="0">'List Drop Down'!#REF!</definedName>
    <definedName name="gw_RAPGiroRp">#REF!</definedName>
    <definedName name="gw_RAPGiroVLS" localSheetId="2">[6]InFund!$I$169:$BD$169</definedName>
    <definedName name="gw_RAPGiroVLS" localSheetId="0">'List Drop Down'!#REF!</definedName>
    <definedName name="gw_RAPGiroVLS">#REF!</definedName>
    <definedName name="gw_RAPSertifikatDepRp" localSheetId="2">[6]InFund!$I$89:$BD$89</definedName>
    <definedName name="gw_RAPSertifikatDepRp" localSheetId="0">'List Drop Down'!#REF!</definedName>
    <definedName name="gw_RAPSertifikatDepRp">#REF!</definedName>
    <definedName name="gw_RAPSertifikatDepVLS" localSheetId="2">[6]InFund!$I$174:$BD$174</definedName>
    <definedName name="gw_RAPSertifikatDepVLS" localSheetId="0">'List Drop Down'!#REF!</definedName>
    <definedName name="gw_RAPSertifikatDepVLS">#REF!</definedName>
    <definedName name="gw_RAPSimpNYARp" localSheetId="2">[6]InFund!$I$90:$BD$90</definedName>
    <definedName name="gw_RAPSimpNYARp" localSheetId="0">'List Drop Down'!#REF!</definedName>
    <definedName name="gw_RAPSimpNYARp">#REF!</definedName>
    <definedName name="gw_RAPSimpNYAVLS" localSheetId="2">[6]InFund!$I$175:$BD$175</definedName>
    <definedName name="gw_RAPSimpNYAVLS" localSheetId="0">'List Drop Down'!#REF!</definedName>
    <definedName name="gw_RAPSimpNYAVLS">#REF!</definedName>
    <definedName name="gw_RAPTabunganRp" localSheetId="2">[6]InFund!$I$86:$BD$86</definedName>
    <definedName name="gw_RAPTabunganRp" localSheetId="0">'List Drop Down'!#REF!</definedName>
    <definedName name="gw_RAPTabunganRp">#REF!</definedName>
    <definedName name="gw_RAPTabunganVLS" localSheetId="2">[6]InFund!$I$171:$BD$171</definedName>
    <definedName name="gw_RAPTabunganVLS" localSheetId="0">'List Drop Down'!#REF!</definedName>
    <definedName name="gw_RAPTabunganVLS">#REF!</definedName>
    <definedName name="gw_RitelbebansertibriRp" localSheetId="2">[6]InFund!$I$36:$BD$36</definedName>
    <definedName name="gw_RitelbebansertibriRp" localSheetId="0">'List Drop Down'!#REF!</definedName>
    <definedName name="gw_RitelbebansertibriRp">#REF!</definedName>
    <definedName name="gw_RitelbebansertibriVLS" localSheetId="2">[6]InFund!$I$121:$BD$121</definedName>
    <definedName name="gw_RitelbebansertibriVLS" localSheetId="0">'List Drop Down'!#REF!</definedName>
    <definedName name="gw_RitelbebansertibriVLS">#REF!</definedName>
    <definedName name="gw_ritelBritamaRP" localSheetId="2">[6]InFund!$I$20:$BD$20</definedName>
    <definedName name="gw_ritelBritamaRP" localSheetId="0">'List Drop Down'!#REF!</definedName>
    <definedName name="gw_ritelBritamaRP">#REF!</definedName>
    <definedName name="gw_ritelBritamaVLS" localSheetId="2">[6]InFund!$I$105:$BD$105</definedName>
    <definedName name="gw_ritelBritamaVLS" localSheetId="0">'List Drop Down'!#REF!</definedName>
    <definedName name="gw_ritelBritamaVLS">#REF!</definedName>
    <definedName name="gw_RitelDep_12Rp" localSheetId="2">[6]InFund!$I$34:$BD$34</definedName>
    <definedName name="gw_RitelDep_12Rp" localSheetId="0">'List Drop Down'!#REF!</definedName>
    <definedName name="gw_RitelDep_12Rp">#REF!</definedName>
    <definedName name="gw_RitelDep_12VLS" localSheetId="2">[6]InFund!$I$119:$BD$119</definedName>
    <definedName name="gw_RitelDep_12VLS" localSheetId="0">'List Drop Down'!#REF!</definedName>
    <definedName name="gw_RitelDep_12VLS">#REF!</definedName>
    <definedName name="gw_RitelDep12Rp" localSheetId="2">[6]InFund!$I$33:$BD$33</definedName>
    <definedName name="gw_RitelDep12Rp" localSheetId="0">'List Drop Down'!#REF!</definedName>
    <definedName name="gw_RitelDep12Rp">#REF!</definedName>
    <definedName name="gw_RitelDep12VLS" localSheetId="2">[6]InFund!$I$118:$BD$118</definedName>
    <definedName name="gw_RitelDep12VLS" localSheetId="0">'List Drop Down'!#REF!</definedName>
    <definedName name="gw_RitelDep12VLS">#REF!</definedName>
    <definedName name="gw_RitelDep1Rp" localSheetId="2">[6]InFund!$I$30:$BD$30</definedName>
    <definedName name="gw_RitelDep1Rp" localSheetId="0">'List Drop Down'!#REF!</definedName>
    <definedName name="gw_RitelDep1Rp">#REF!</definedName>
    <definedName name="gw_RitelDep1VLS" localSheetId="2">[6]InFund!$I$115:$BD$115</definedName>
    <definedName name="gw_RitelDep1VLS" localSheetId="0">'List Drop Down'!#REF!</definedName>
    <definedName name="gw_RitelDep1VLS">#REF!</definedName>
    <definedName name="gw_RitelDep3Rp" localSheetId="2">[6]InFund!$I$31:$BD$31</definedName>
    <definedName name="gw_RitelDep3Rp" localSheetId="0">'List Drop Down'!#REF!</definedName>
    <definedName name="gw_RitelDep3Rp">#REF!</definedName>
    <definedName name="gw_RitelDep3VLS" localSheetId="2">[6]InFund!$I$116:$BD$116</definedName>
    <definedName name="gw_RitelDep3VLS" localSheetId="0">'List Drop Down'!#REF!</definedName>
    <definedName name="gw_RitelDep3VLS">#REF!</definedName>
    <definedName name="gw_RitelDep6Rp" localSheetId="2">[6]InFund!$I$32:$BD$32</definedName>
    <definedName name="gw_RitelDep6Rp" localSheetId="0">'List Drop Down'!#REF!</definedName>
    <definedName name="gw_RitelDep6Rp">#REF!</definedName>
    <definedName name="gw_RitelDep6VLS" localSheetId="2">[6]InFund!$I$117:$BD$117</definedName>
    <definedName name="gw_RitelDep6VLS" localSheetId="0">'List Drop Down'!#REF!</definedName>
    <definedName name="gw_RitelDep6VLS">#REF!</definedName>
    <definedName name="gw_RitelDOCRp" localSheetId="2">[6]InFund!$I$28:$BD$28</definedName>
    <definedName name="gw_RitelDOCRp" localSheetId="0">'List Drop Down'!#REF!</definedName>
    <definedName name="gw_RitelDOCRp">#REF!</definedName>
    <definedName name="gw_RitelDOCVLS" localSheetId="2">[6]InFund!$I$113:$BD$113</definedName>
    <definedName name="gw_RitelDOCVLS" localSheetId="0">'List Drop Down'!#REF!</definedName>
    <definedName name="gw_RitelDOCVLS">#REF!</definedName>
    <definedName name="gw_ritelGiroNYARp" localSheetId="2">[6]InFund!$I$16:$BD$16</definedName>
    <definedName name="gw_ritelGiroNYARp" localSheetId="0">'List Drop Down'!#REF!</definedName>
    <definedName name="gw_ritelGiroNYARp">#REF!</definedName>
    <definedName name="gw_ritelGiroNYAVLS" localSheetId="2">[6]InFund!$I$101:$BD$101</definedName>
    <definedName name="gw_ritelGiroNYAVLS" localSheetId="0">'List Drop Down'!#REF!</definedName>
    <definedName name="gw_ritelGiroNYAVLS">#REF!</definedName>
    <definedName name="gw_ritelGiroRp" localSheetId="2">[6]InFund!$I$15:$BD$15</definedName>
    <definedName name="gw_ritelGiroRp" localSheetId="0">'List Drop Down'!#REF!</definedName>
    <definedName name="gw_ritelGiroRp">#REF!</definedName>
    <definedName name="gw_ritelGiroVLS" localSheetId="2">[6]InFund!$I$100:$BD$100</definedName>
    <definedName name="gw_ritelGiroVLS" localSheetId="0">'List Drop Down'!#REF!</definedName>
    <definedName name="gw_ritelGiroVLS">#REF!</definedName>
    <definedName name="gw_ritelPinjKredit" localSheetId="2">[6]InFund!$I$17:$BD$17</definedName>
    <definedName name="gw_ritelPinjKredit" localSheetId="0">'List Drop Down'!#REF!</definedName>
    <definedName name="gw_ritelPinjKredit">#REF!</definedName>
    <definedName name="gw_ritelPinjKreditRp" localSheetId="2">[6]InFund!$I$17:$BD$17</definedName>
    <definedName name="gw_ritelPinjKreditRp" localSheetId="0">'List Drop Down'!#REF!</definedName>
    <definedName name="gw_ritelPinjKreditRp">#REF!</definedName>
    <definedName name="gw_ritelPinjKreditVLS" localSheetId="2">[6]InFund!$I$102:$BD$102</definedName>
    <definedName name="gw_ritelPinjKreditVLS" localSheetId="0">'List Drop Down'!#REF!</definedName>
    <definedName name="gw_ritelPinjKreditVLS">#REF!</definedName>
    <definedName name="gw_RitelSerDepRp" localSheetId="2">[6]InFund!$I$35:$BD$35</definedName>
    <definedName name="gw_RitelSerDepRp" localSheetId="0">'List Drop Down'!#REF!</definedName>
    <definedName name="gw_RitelSerDepRp">#REF!</definedName>
    <definedName name="gw_RitelSerDepVLS" localSheetId="2">[6]InFund!$I$120:$BD$120</definedName>
    <definedName name="gw_RitelSerDepVLS" localSheetId="0">'List Drop Down'!#REF!</definedName>
    <definedName name="gw_RitelSerDepVLS">#REF!</definedName>
    <definedName name="gw_RitelSimaskotRP" localSheetId="2">[6]InFund!$I$21:$BD$21</definedName>
    <definedName name="gw_RitelSimaskotRP" localSheetId="0">'List Drop Down'!#REF!</definedName>
    <definedName name="gw_RitelSimaskotRP">#REF!</definedName>
    <definedName name="gw_RitelSimaskotVLS" localSheetId="2">[6]InFund!$I$106:$BD$106</definedName>
    <definedName name="gw_RitelSimaskotVLS" localSheetId="0">'List Drop Down'!#REF!</definedName>
    <definedName name="gw_RitelSimaskotVLS">#REF!</definedName>
    <definedName name="gw_RitelSimpedesRP" localSheetId="2">[6]InFund!$I$22:$BD$22</definedName>
    <definedName name="gw_RitelSimpedesRP" localSheetId="0">'List Drop Down'!#REF!</definedName>
    <definedName name="gw_RitelSimpedesRP">#REF!</definedName>
    <definedName name="gw_RitelSimpedesVLS" localSheetId="2">[6]InFund!$I$107:$BD$107</definedName>
    <definedName name="gw_RitelSimpedesVLS" localSheetId="0">'List Drop Down'!#REF!</definedName>
    <definedName name="gw_RitelSimpedesVLS">#REF!</definedName>
    <definedName name="gw_RitelTabanasbriRP" localSheetId="2">[6]InFund!$I$23:$BD$23</definedName>
    <definedName name="gw_RitelTabanasbriRP" localSheetId="0">'List Drop Down'!#REF!</definedName>
    <definedName name="gw_RitelTabanasbriRP">#REF!</definedName>
    <definedName name="gw_RitelTabanasbriVLS" localSheetId="2">[6]InFund!$I$108:$BD$108</definedName>
    <definedName name="gw_RitelTabanasbriVLS" localSheetId="0">'List Drop Down'!#REF!</definedName>
    <definedName name="gw_RitelTabanasbriVLS">#REF!</definedName>
    <definedName name="gw_RitelTabHajiRp" localSheetId="2">[6]InFund!$I$24:$BD$24</definedName>
    <definedName name="gw_RitelTabHajiRp" localSheetId="0">'List Drop Down'!#REF!</definedName>
    <definedName name="gw_RitelTabHajiRp">#REF!</definedName>
    <definedName name="gw_RitelTabHajiVLS" localSheetId="2">[6]InFund!$I$109:$BD$109</definedName>
    <definedName name="gw_RitelTabHajiVLS" localSheetId="0">'List Drop Down'!#REF!</definedName>
    <definedName name="gw_RitelTabHajiVLS">#REF!</definedName>
    <definedName name="gw_ritelTabungankuRP" localSheetId="2">[6]InFund!$I$19:$BD$19</definedName>
    <definedName name="gw_ritelTabungankuRP" localSheetId="0">'List Drop Down'!#REF!</definedName>
    <definedName name="gw_ritelTabungankuRP">#REF!</definedName>
    <definedName name="gw_RitelTakesraRp" localSheetId="2">[6]InFund!$I$25:$BD$25</definedName>
    <definedName name="gw_RitelTakesraRp" localSheetId="0">'List Drop Down'!#REF!</definedName>
    <definedName name="gw_RitelTakesraRp">#REF!</definedName>
    <definedName name="gw_RitelTakesraVLS" localSheetId="2">[6]InFund!$I$110:$BD$110</definedName>
    <definedName name="gw_RitelTakesraVLS" localSheetId="0">'List Drop Down'!#REF!</definedName>
    <definedName name="gw_RitelTakesraVLS">#REF!</definedName>
    <definedName name="gw_syariahDepMudharabahRp" localSheetId="2">[6]InFund!$I$77:$BD$77</definedName>
    <definedName name="gw_syariahDepMudharabahRp" localSheetId="0">'List Drop Down'!#REF!</definedName>
    <definedName name="gw_syariahDepMudharabahRp">#REF!</definedName>
    <definedName name="gw_syariahDepMudharabahVLS" localSheetId="2">[6]InFund!$I$162:$BD$162</definedName>
    <definedName name="gw_syariahDepMudharabahVLS" localSheetId="0">'List Drop Down'!#REF!</definedName>
    <definedName name="gw_syariahDepMudharabahVLS">#REF!</definedName>
    <definedName name="gw_syariahGiroRp" localSheetId="2">[6]InFund!$I$73:$BD$73</definedName>
    <definedName name="gw_syariahGiroRp" localSheetId="0">'List Drop Down'!#REF!</definedName>
    <definedName name="gw_syariahGiroRp">#REF!</definedName>
    <definedName name="gw_syariahGiroVLS" localSheetId="2">[6]InFund!$I$158:$BD$158</definedName>
    <definedName name="gw_syariahGiroVLS" localSheetId="0">'List Drop Down'!#REF!</definedName>
    <definedName name="gw_syariahGiroVLS">#REF!</definedName>
    <definedName name="gw_syariahTabMudharabahRp" localSheetId="2">[6]InFund!$I$76:$BD$76</definedName>
    <definedName name="gw_syariahTabMudharabahRp" localSheetId="0">'List Drop Down'!#REF!</definedName>
    <definedName name="gw_syariahTabMudharabahRp">#REF!</definedName>
    <definedName name="gw_syariahTabMudharabahVLS" localSheetId="2">[6]InFund!$I$161:$BD$161</definedName>
    <definedName name="gw_syariahTabMudharabahVLS" localSheetId="0">'List Drop Down'!#REF!</definedName>
    <definedName name="gw_syariahTabMudharabahVLS">#REF!</definedName>
    <definedName name="h_status" localSheetId="2">[4]WKrates!$I$6:$AR$6</definedName>
    <definedName name="h_status" localSheetId="0">'List Drop Down'!#REF!</definedName>
    <definedName name="h_status">#REF!</definedName>
    <definedName name="heri1" localSheetId="2">#REF!</definedName>
    <definedName name="heri1">#REF!</definedName>
    <definedName name="History_BD" localSheetId="2">#REF!</definedName>
    <definedName name="History_BD">#REF!</definedName>
    <definedName name="History_BD_1" localSheetId="2">#REF!</definedName>
    <definedName name="History_BD_1">#REF!</definedName>
    <definedName name="History_CKPN" localSheetId="2">#REF!</definedName>
    <definedName name="History_CKPN">#REF!</definedName>
    <definedName name="History_NT" localSheetId="2">#REF!</definedName>
    <definedName name="History_NT">#REF!</definedName>
    <definedName name="History_Rate" localSheetId="2">#REF!</definedName>
    <definedName name="History_Rate">#REF!</definedName>
    <definedName name="HTML_Email" hidden="1">""</definedName>
    <definedName name="HTML_Header" hidden="1">""</definedName>
    <definedName name="HTML_LastUpdate" hidden="1">"5/11/99"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"C:\coba\HTML\intrate.htm"</definedName>
    <definedName name="HTML_Title" hidden="1">""</definedName>
    <definedName name="i" localSheetId="2">#REF!</definedName>
    <definedName name="i">#REF!</definedName>
    <definedName name="IDRJUN" localSheetId="2">#REF!</definedName>
    <definedName name="IDRJUN">#REF!</definedName>
    <definedName name="IDRMAR" localSheetId="2">#REF!</definedName>
    <definedName name="IDRMAR">#REF!</definedName>
    <definedName name="IDRMAY" localSheetId="2">#REF!</definedName>
    <definedName name="IDRMAY">#REF!</definedName>
    <definedName name="IDRNOV" localSheetId="2">#REF!</definedName>
    <definedName name="IDRNOV">#REF!</definedName>
    <definedName name="IDROCT" localSheetId="2">#REF!</definedName>
    <definedName name="IDROCT">#REF!</definedName>
    <definedName name="IDRRATE" localSheetId="2">#REF!</definedName>
    <definedName name="IDRRATE">#REF!</definedName>
    <definedName name="IDRSEP" localSheetId="2">#REF!</definedName>
    <definedName name="IDRSEP">#REF!</definedName>
    <definedName name="In_BI_rate" localSheetId="2">[3]InAsumsi!$U$20:$BD$20</definedName>
    <definedName name="In_BI_rate" localSheetId="0">'List Drop Down'!#REF!</definedName>
    <definedName name="In_BI_rate">#REF!</definedName>
    <definedName name="In_Kurs_USD" localSheetId="2">[3]InAsumsi!$U$19:$BD$19</definedName>
    <definedName name="In_Kurs_USD" localSheetId="0">'List Drop Down'!#REF!</definedName>
    <definedName name="In_Kurs_USD">#REF!</definedName>
    <definedName name="In_LiqPremSBI" localSheetId="2">[3]InAsumsi!$U$25:$BD$25</definedName>
    <definedName name="In_LiqPremSBI" localSheetId="0">'List Drop Down'!#REF!</definedName>
    <definedName name="In_LiqPremSBI">#REF!</definedName>
    <definedName name="InBeneRate" localSheetId="2">#REF!</definedName>
    <definedName name="InBeneRate">#REF!</definedName>
    <definedName name="InBldgDM" localSheetId="2">#REF!</definedName>
    <definedName name="InBldgDM">#REF!</definedName>
    <definedName name="InBldgLife" localSheetId="2">#REF!</definedName>
    <definedName name="InBldgLife">#REF!</definedName>
    <definedName name="InBldgPur" localSheetId="2">#REF!</definedName>
    <definedName name="InBldgPur">#REF!</definedName>
    <definedName name="InCAPEXDaysPay" localSheetId="2">#REF!</definedName>
    <definedName name="InCAPEXDaysPay">#REF!</definedName>
    <definedName name="InCAPEXPct" localSheetId="2">#REF!</definedName>
    <definedName name="InCAPEXPct">#REF!</definedName>
    <definedName name="InCAPEXPur" localSheetId="2">#REF!</definedName>
    <definedName name="InCAPEXPur">#REF!</definedName>
    <definedName name="InCashPct" localSheetId="2">#REF!</definedName>
    <definedName name="InCashPct">#REF!</definedName>
    <definedName name="InCashPurch" localSheetId="2">#REF!</definedName>
    <definedName name="InCashPurch">#REF!</definedName>
    <definedName name="InDaysInv" localSheetId="2">#REF!</definedName>
    <definedName name="InDaysInv">#REF!</definedName>
    <definedName name="InDaysPay" localSheetId="2">#REF!</definedName>
    <definedName name="InDaysPay">#REF!</definedName>
    <definedName name="InDaysRec" localSheetId="2">#REF!</definedName>
    <definedName name="InDaysRec">#REF!</definedName>
    <definedName name="InEqptDM" localSheetId="2">#REF!</definedName>
    <definedName name="InEqptDM">#REF!</definedName>
    <definedName name="InEqptLife" localSheetId="2">#REF!</definedName>
    <definedName name="InEqptLife">#REF!</definedName>
    <definedName name="InEqptPur" localSheetId="2">#REF!</definedName>
    <definedName name="InEqptPur">#REF!</definedName>
    <definedName name="InEqtInv" localSheetId="2">#REF!</definedName>
    <definedName name="InEqtInv">#REF!</definedName>
    <definedName name="InExtBldg" localSheetId="2">#REF!</definedName>
    <definedName name="InExtBldg">#REF!</definedName>
    <definedName name="InExtBldgDep" localSheetId="2">#REF!</definedName>
    <definedName name="InExtBldgDep">#REF!</definedName>
    <definedName name="InExtEqpt" localSheetId="2">#REF!</definedName>
    <definedName name="InExtEqpt">#REF!</definedName>
    <definedName name="InExtEqptDep" localSheetId="2">#REF!</definedName>
    <definedName name="InExtEqptDep">#REF!</definedName>
    <definedName name="InExtFix" localSheetId="2">#REF!</definedName>
    <definedName name="InExtFix">#REF!</definedName>
    <definedName name="InExtFixDep" localSheetId="2">#REF!</definedName>
    <definedName name="InExtFixDep">#REF!</definedName>
    <definedName name="InFCastPeriod" localSheetId="2">#REF!</definedName>
    <definedName name="InFCastPeriod">#REF!</definedName>
    <definedName name="InFixDM" localSheetId="2">#REF!</definedName>
    <definedName name="InFixDM">#REF!</definedName>
    <definedName name="InFixLife" localSheetId="2">#REF!</definedName>
    <definedName name="InFixLife">#REF!</definedName>
    <definedName name="InFixPur" localSheetId="2">#REF!</definedName>
    <definedName name="InFixPur">#REF!</definedName>
    <definedName name="InLabor" localSheetId="2">#REF!</definedName>
    <definedName name="InLabor">#REF!</definedName>
    <definedName name="InLTIntAnnual" localSheetId="2">#REF!</definedName>
    <definedName name="InLTIntAnnual">#REF!</definedName>
    <definedName name="InLTIntPer" localSheetId="2">#REF!</definedName>
    <definedName name="InLTIntPer">#REF!</definedName>
    <definedName name="InLTLoanIncr" localSheetId="2">#REF!</definedName>
    <definedName name="InLTLoanIncr">#REF!</definedName>
    <definedName name="InLTLoanRepay" localSheetId="2">#REF!</definedName>
    <definedName name="InLTLoanRepay">#REF!</definedName>
    <definedName name="InLTLoanVal" localSheetId="2">#REF!</definedName>
    <definedName name="InLTLoanVal">#REF!</definedName>
    <definedName name="InMaintPct" localSheetId="2">#REF!</definedName>
    <definedName name="InMaintPct">#REF!</definedName>
    <definedName name="InMinCash" localSheetId="2">#REF!</definedName>
    <definedName name="InMinCash">#REF!</definedName>
    <definedName name="InMiscPct" localSheetId="2">#REF!</definedName>
    <definedName name="InMiscPct">#REF!</definedName>
    <definedName name="inMonthInfl" localSheetId="2">[3]InAsumsi!$U$9:$BD$9</definedName>
    <definedName name="inMonthInfl" localSheetId="0">'List Drop Down'!#REF!</definedName>
    <definedName name="inMonthInfl">#REF!</definedName>
    <definedName name="InNoAA" localSheetId="2">#REF!</definedName>
    <definedName name="InNoAA">#REF!</definedName>
    <definedName name="InNoCA" localSheetId="2">#REF!</definedName>
    <definedName name="InNoCA">#REF!</definedName>
    <definedName name="InNoCEO" localSheetId="2">#REF!</definedName>
    <definedName name="InNoCEO">#REF!</definedName>
    <definedName name="InNoCFO" localSheetId="2">#REF!</definedName>
    <definedName name="InNoCFO">#REF!</definedName>
    <definedName name="InNoEmp" localSheetId="2">#REF!</definedName>
    <definedName name="InNoEmp">#REF!</definedName>
    <definedName name="InNoEng" localSheetId="2">#REF!</definedName>
    <definedName name="InNoEng">#REF!</definedName>
    <definedName name="InNoSP" localSheetId="2">#REF!</definedName>
    <definedName name="InNoSP">#REF!</definedName>
    <definedName name="InNoVPBD" localSheetId="2">#REF!</definedName>
    <definedName name="InNoVPBD">#REF!</definedName>
    <definedName name="InNoVPME" localSheetId="2">#REF!</definedName>
    <definedName name="InNoVPME">#REF!</definedName>
    <definedName name="InNoVPSM" localSheetId="2">#REF!</definedName>
    <definedName name="InNoVPSM">#REF!</definedName>
    <definedName name="InOilPrcGrowthRt" localSheetId="2">#REF!</definedName>
    <definedName name="InOilPrcGrowthRt">#REF!</definedName>
    <definedName name="InOilPrice" localSheetId="2">#REF!</definedName>
    <definedName name="InOilPrice">#REF!</definedName>
    <definedName name="InOtherRaw" localSheetId="2">#REF!</definedName>
    <definedName name="InOtherRaw">#REF!</definedName>
    <definedName name="InPeriodUts" localSheetId="2">#REF!</definedName>
    <definedName name="InPeriodUts">#REF!</definedName>
    <definedName name="InPrice1" localSheetId="2">#REF!</definedName>
    <definedName name="InPrice1">#REF!</definedName>
    <definedName name="InPrice2" localSheetId="2">#REF!</definedName>
    <definedName name="InPrice2">#REF!</definedName>
    <definedName name="InPriceInpMeth" localSheetId="2">#REF!</definedName>
    <definedName name="InPriceInpMeth">#REF!</definedName>
    <definedName name="INPUT2" localSheetId="2">#REF!</definedName>
    <definedName name="INPUT2">#REF!</definedName>
    <definedName name="InRentperArea" localSheetId="2">#REF!</definedName>
    <definedName name="InRentperArea">#REF!</definedName>
    <definedName name="InRentPeriod" localSheetId="2">#REF!</definedName>
    <definedName name="InRentPeriod">#REF!</definedName>
    <definedName name="InRentSpace" localSheetId="2">#REF!</definedName>
    <definedName name="InRentSpace">#REF!</definedName>
    <definedName name="InRubber_OilCorr" localSheetId="2">#REF!</definedName>
    <definedName name="InRubber_OilCorr">#REF!</definedName>
    <definedName name="InRubberCost1" localSheetId="2">#REF!</definedName>
    <definedName name="InRubberCost1">#REF!</definedName>
    <definedName name="InRubberCost2" localSheetId="2">#REF!</definedName>
    <definedName name="InRubberCost2">#REF!</definedName>
    <definedName name="InRubberCostGR" localSheetId="2">#REF!</definedName>
    <definedName name="InRubberCostGR">#REF!</definedName>
    <definedName name="InRubberInpMeth" localSheetId="2">#REF!</definedName>
    <definedName name="InRubberInpMeth">#REF!</definedName>
    <definedName name="InSalAA" localSheetId="2">#REF!</definedName>
    <definedName name="InSalAA">#REF!</definedName>
    <definedName name="InSalCA" localSheetId="2">#REF!</definedName>
    <definedName name="InSalCA">#REF!</definedName>
    <definedName name="InSalCEO" localSheetId="2">#REF!</definedName>
    <definedName name="InSalCEO">#REF!</definedName>
    <definedName name="InSalCFO" localSheetId="2">#REF!</definedName>
    <definedName name="InSalCFO">#REF!</definedName>
    <definedName name="InSalEng" localSheetId="2">#REF!</definedName>
    <definedName name="InSalEng">#REF!</definedName>
    <definedName name="InSalSP" localSheetId="2">#REF!</definedName>
    <definedName name="InSalSP">#REF!</definedName>
    <definedName name="InSalVPBD" localSheetId="2">#REF!</definedName>
    <definedName name="InSalVPBD">#REF!</definedName>
    <definedName name="InSalVPME" localSheetId="2">#REF!</definedName>
    <definedName name="InSalVPME">#REF!</definedName>
    <definedName name="InSalVPSM" localSheetId="2">#REF!</definedName>
    <definedName name="InSalVPSM">#REF!</definedName>
    <definedName name="InSTIntAnnual" localSheetId="2">#REF!</definedName>
    <definedName name="InSTIntAnnual">#REF!</definedName>
    <definedName name="InSTIntPer" localSheetId="2">#REF!</definedName>
    <definedName name="InSTIntPer">#REF!</definedName>
    <definedName name="InSTLoanIncr" localSheetId="2">#REF!</definedName>
    <definedName name="InSTLoanIncr">#REF!</definedName>
    <definedName name="InSTLoanRepay" localSheetId="2">#REF!</definedName>
    <definedName name="InSTLoanRepay">#REF!</definedName>
    <definedName name="InSTLoanVal" localSheetId="2">#REF!</definedName>
    <definedName name="InSTLoanVal">#REF!</definedName>
    <definedName name="INT" localSheetId="2">#REF!</definedName>
    <definedName name="INT">#REF!</definedName>
    <definedName name="InTaxPct" localSheetId="2">#REF!</definedName>
    <definedName name="InTaxPct">#REF!</definedName>
    <definedName name="InUnits" localSheetId="2">#REF!</definedName>
    <definedName name="InUnits">#REF!</definedName>
    <definedName name="InUpperLmt" localSheetId="2">#REF!</definedName>
    <definedName name="InUpperLmt">#REF!</definedName>
    <definedName name="Investasi" localSheetId="2">#REF!</definedName>
    <definedName name="Investasi">#REF!</definedName>
    <definedName name="Investasi_TI">'List Drop Down'!$B$3:$B$4</definedName>
    <definedName name="ITEA" localSheetId="2">OFFSET([2]!parameter_aplikasi[ITEA],0,0,COUNTA([2]!parameter_aplikasi[ITEA]),1)</definedName>
    <definedName name="ITEA">OFFSET(#REF!,0,0,COUNTA(#REF!),1)</definedName>
    <definedName name="Jabatan" localSheetId="2">#REF!</definedName>
    <definedName name="Jabatan">#REF!</definedName>
    <definedName name="JAN" localSheetId="2">#REF!</definedName>
    <definedName name="JAN">#REF!</definedName>
    <definedName name="JauhDekat" localSheetId="2">#REF!</definedName>
    <definedName name="JauhDekat">#REF!</definedName>
    <definedName name="Jenis_Anggaran">'List Drop Down'!$A$3:$A$4</definedName>
    <definedName name="jenis_aplikasi" localSheetId="2">OFFSET([2]!parameter_aplikasi[jenis_aplikasi],0,0,COUNTA([2]!parameter_aplikasi[jenis_aplikasi]),1)</definedName>
    <definedName name="jenis_aplikasi">OFFSET(#REF!,0,0,COUNTA(#REF!),1)</definedName>
    <definedName name="jsampurna.id" localSheetId="2">#REF!</definedName>
    <definedName name="jsampurna.id">#REF!</definedName>
    <definedName name="Judgments_CY" localSheetId="2">#REF!</definedName>
    <definedName name="Judgments_CY">#REF!</definedName>
    <definedName name="Judgments_PY" localSheetId="2">#REF!</definedName>
    <definedName name="Judgments_PY">#REF!</definedName>
    <definedName name="JUL" localSheetId="2">#REF!</definedName>
    <definedName name="JUL">#REF!</definedName>
    <definedName name="JUN" localSheetId="2">#REF!</definedName>
    <definedName name="JUN">#REF!</definedName>
    <definedName name="k" localSheetId="2">#REF!</definedName>
    <definedName name="k">#REF!</definedName>
    <definedName name="Kantor" localSheetId="2">#REF!</definedName>
    <definedName name="Kantor">#REF!</definedName>
    <definedName name="Kategori" localSheetId="2">#REF!</definedName>
    <definedName name="Kategori">#REF!</definedName>
    <definedName name="KBK" localSheetId="2">[9]KBK!$B$2:$H$176</definedName>
    <definedName name="KBK" localSheetId="0">'List Drop Down'!#REF!</definedName>
    <definedName name="KBK">#REF!</definedName>
    <definedName name="KERAGAAN" localSheetId="2">#REF!</definedName>
    <definedName name="KERAGAAN">#REF!</definedName>
    <definedName name="kontr._exist._Teras" localSheetId="2">#REF!</definedName>
    <definedName name="kontr._exist._Teras">#REF!</definedName>
    <definedName name="kontr._existing_unit" localSheetId="2">#REF!</definedName>
    <definedName name="kontr._existing_unit">#REF!</definedName>
    <definedName name="Kontr._KC_Exist." localSheetId="2">#REF!</definedName>
    <definedName name="Kontr._KC_Exist.">#REF!</definedName>
    <definedName name="kontr._KCP_exist." localSheetId="2">#REF!</definedName>
    <definedName name="kontr._KCP_exist.">#REF!</definedName>
    <definedName name="kontr._Teras_baru" localSheetId="2">#REF!</definedName>
    <definedName name="kontr._Teras_baru">#REF!</definedName>
    <definedName name="kontr._unit_baru" localSheetId="2">#REF!</definedName>
    <definedName name="kontr._unit_baru">#REF!</definedName>
    <definedName name="Konversi_BD_NT" localSheetId="2">#REF!</definedName>
    <definedName name="Konversi_BD_NT">#REF!</definedName>
    <definedName name="Konversi_NT_CKPN" localSheetId="2">#REF!</definedName>
    <definedName name="Konversi_NT_CKPN">#REF!</definedName>
    <definedName name="Kota" localSheetId="2">#REF!</definedName>
    <definedName name="Kota">#REF!</definedName>
    <definedName name="kpno1" localSheetId="2">#REF!</definedName>
    <definedName name="kpno1">#REF!</definedName>
    <definedName name="kpno2" localSheetId="2">#REF!</definedName>
    <definedName name="kpno2">#REF!</definedName>
    <definedName name="kpno3" localSheetId="2">#REF!</definedName>
    <definedName name="kpno3">#REF!</definedName>
    <definedName name="kpnopasiva" localSheetId="2">#REF!</definedName>
    <definedName name="kpnopasiva">#REF!</definedName>
    <definedName name="KRDCARDRP" localSheetId="2">#REF!</definedName>
    <definedName name="KRDCARDRP">#REF!</definedName>
    <definedName name="KRDCARDVLS" localSheetId="2">#REF!</definedName>
    <definedName name="KRDCARDVLS">#REF!</definedName>
    <definedName name="KRDCIBRP" localSheetId="2">#REF!</definedName>
    <definedName name="KRDCIBRP">#REF!</definedName>
    <definedName name="KRDCIBVLS" localSheetId="2">#REF!</definedName>
    <definedName name="KRDCIBVLS">#REF!</definedName>
    <definedName name="KRDCOOKRP" localSheetId="2">#REF!</definedName>
    <definedName name="KRDCOOKRP">#REF!</definedName>
    <definedName name="KRDCOOKVLS" localSheetId="2">#REF!</definedName>
    <definedName name="KRDCOOKVLS">#REF!</definedName>
    <definedName name="krdkw1rp" localSheetId="2">#REF!</definedName>
    <definedName name="krdkw1rp">#REF!</definedName>
    <definedName name="krdkw1vls" localSheetId="2">#REF!</definedName>
    <definedName name="krdkw1vls">#REF!</definedName>
    <definedName name="krdkw2rp" localSheetId="2">#REF!</definedName>
    <definedName name="krdkw2rp">#REF!</definedName>
    <definedName name="krdkw2vls" localSheetId="2">#REF!</definedName>
    <definedName name="krdkw2vls">#REF!</definedName>
    <definedName name="krdkw3rp" localSheetId="2">#REF!</definedName>
    <definedName name="krdkw3rp">#REF!</definedName>
    <definedName name="krdkw3vls" localSheetId="2">#REF!</definedName>
    <definedName name="krdkw3vls">#REF!</definedName>
    <definedName name="KRDMAUTRP" localSheetId="2">#REF!</definedName>
    <definedName name="KRDMAUTRP">#REF!</definedName>
    <definedName name="KRDMAUTVLS" localSheetId="2">#REF!</definedName>
    <definedName name="KRDMAUTVLS">#REF!</definedName>
    <definedName name="KRDMCHANGERRP" localSheetId="2">#REF!</definedName>
    <definedName name="KRDMCHANGERRP">#REF!</definedName>
    <definedName name="KRDMCHANGERVLS" localSheetId="2">#REF!</definedName>
    <definedName name="KRDMCHANGERVLS">#REF!</definedName>
    <definedName name="KRDMUMBAIRP" localSheetId="2">#REF!</definedName>
    <definedName name="KRDMUMBAIRP">#REF!</definedName>
    <definedName name="KRDMUMBAIVLS" localSheetId="2">#REF!</definedName>
    <definedName name="KRDMUMBAIVLS">#REF!</definedName>
    <definedName name="KRDPUSATRP" localSheetId="2">#REF!</definedName>
    <definedName name="KRDPUSATRP">#REF!</definedName>
    <definedName name="KRDPUSATVLS" localSheetId="2">#REF!</definedName>
    <definedName name="KRDPUSATVLS">#REF!</definedName>
    <definedName name="KRDTCRP" localSheetId="2">#REF!</definedName>
    <definedName name="KRDTCRP">#REF!</definedName>
    <definedName name="KRDTCVLS" localSheetId="2">#REF!</definedName>
    <definedName name="KRDTCVLS">#REF!</definedName>
    <definedName name="KREDITTOTAL" localSheetId="2">#REF!</definedName>
    <definedName name="KREDITTOTAL">#REF!</definedName>
    <definedName name="Kualitasdatanasabah" localSheetId="2">#REF!</definedName>
    <definedName name="Kualitasdatanasabah">#REF!</definedName>
    <definedName name="Kualitaslayanan" localSheetId="2">#REF!</definedName>
    <definedName name="Kualitaslayanan">#REF!</definedName>
    <definedName name="laba" localSheetId="2">#REF!</definedName>
    <definedName name="laba">#REF!</definedName>
    <definedName name="LABATOTAL" localSheetId="2">#REF!</definedName>
    <definedName name="LABATOTAL">#REF!</definedName>
    <definedName name="LAMBON" localSheetId="2">#REF!</definedName>
    <definedName name="LAMBON">#REF!</definedName>
    <definedName name="LBACEH" localSheetId="2">#REF!</definedName>
    <definedName name="LBACEH">#REF!</definedName>
    <definedName name="LBALIKPAPAN" localSheetId="2">#REF!</definedName>
    <definedName name="LBALIKPAPAN">#REF!</definedName>
    <definedName name="LBANDUNG" localSheetId="2">#REF!</definedName>
    <definedName name="LBANDUNG">#REF!</definedName>
    <definedName name="LBANJARMASIN" localSheetId="2">#REF!</definedName>
    <definedName name="LBANJARMASIN">#REF!</definedName>
    <definedName name="LBATAM" localSheetId="2">#REF!</definedName>
    <definedName name="LBATAM">#REF!</definedName>
    <definedName name="LBENGKULU" localSheetId="2">#REF!</definedName>
    <definedName name="LBENGKULU">#REF!</definedName>
    <definedName name="LBLAMPUNG" localSheetId="2">#REF!</definedName>
    <definedName name="LBLAMPUNG">#REF!</definedName>
    <definedName name="LBOGOR" localSheetId="2">#REF!</definedName>
    <definedName name="LBOGOR">#REF!</definedName>
    <definedName name="LBUKITTINGGI" localSheetId="2">#REF!</definedName>
    <definedName name="LBUKITTINGGI">#REF!</definedName>
    <definedName name="LCARDCENTER" localSheetId="2">#REF!</definedName>
    <definedName name="LCARDCENTER">#REF!</definedName>
    <definedName name="LCIB" localSheetId="2">#REF!</definedName>
    <definedName name="LCIB">#REF!</definedName>
    <definedName name="LCILEGON" localSheetId="2">#REF!</definedName>
    <definedName name="LCILEGON">#REF!</definedName>
    <definedName name="LCIREBON" localSheetId="2">#REF!</definedName>
    <definedName name="LCIREBON">#REF!</definedName>
    <definedName name="LCMARKET" localSheetId="2">#REF!</definedName>
    <definedName name="LCMARKET">#REF!</definedName>
    <definedName name="LCOOK" localSheetId="2">#REF!</definedName>
    <definedName name="LCOOK">#REF!</definedName>
    <definedName name="LCRP" localSheetId="2">#REF!</definedName>
    <definedName name="LCRP">#REF!</definedName>
    <definedName name="LCVLS" localSheetId="2">#REF!</definedName>
    <definedName name="LCVLS">#REF!</definedName>
    <definedName name="LDENPASAR" localSheetId="2">#REF!</definedName>
    <definedName name="LDENPASAR">#REF!</definedName>
    <definedName name="Lelang_AT" localSheetId="2">#REF!</definedName>
    <definedName name="Lelang_AT" localSheetId="0">'List Drop Down'!#REF!</definedName>
    <definedName name="Lelang_AT">#REF!</definedName>
    <definedName name="Lembar_CAPEX" localSheetId="2">#REF!</definedName>
    <definedName name="Lembar_CAPEX">#REF!</definedName>
    <definedName name="LFNHK" localSheetId="2">#REF!</definedName>
    <definedName name="LFNHK">#REF!</definedName>
    <definedName name="LFNJKT" localSheetId="2">#REF!</definedName>
    <definedName name="LFNJKT">#REF!</definedName>
    <definedName name="LIBG" localSheetId="2">#REF!</definedName>
    <definedName name="LIBG">#REF!</definedName>
    <definedName name="LJAMBI" localSheetId="2">#REF!</definedName>
    <definedName name="LJAMBI">#REF!</definedName>
    <definedName name="LJAYAPURA" localSheetId="2">#REF!</definedName>
    <definedName name="LJAYAPURA">#REF!</definedName>
    <definedName name="LJEMBER" localSheetId="2">#REF!</definedName>
    <definedName name="LJEMBER">#REF!</definedName>
    <definedName name="LJOMBANG" localSheetId="2">#REF!</definedName>
    <definedName name="LJOMBANG">#REF!</definedName>
    <definedName name="LJUANDA" localSheetId="2">#REF!</definedName>
    <definedName name="LJUANDA">#REF!</definedName>
    <definedName name="LKALBES" localSheetId="2">#REF!</definedName>
    <definedName name="LKALBES">#REF!</definedName>
    <definedName name="LKARAWANG" localSheetId="2">#REF!</definedName>
    <definedName name="LKARAWANG">#REF!</definedName>
    <definedName name="LKEDIRI" localSheetId="2">#REF!</definedName>
    <definedName name="LKEDIRI">#REF!</definedName>
    <definedName name="LKENDARI" localSheetId="2">#REF!</definedName>
    <definedName name="LKENDARI">#REF!</definedName>
    <definedName name="LKPUSAT" localSheetId="2">#REF!</definedName>
    <definedName name="LKPUSAT">#REF!</definedName>
    <definedName name="LKUDUS" localSheetId="2">#REF!</definedName>
    <definedName name="LKUDUS">#REF!</definedName>
    <definedName name="LKUPANG" localSheetId="2">#REF!</definedName>
    <definedName name="LKUPANG">#REF!</definedName>
    <definedName name="LKWI" localSheetId="2">#REF!</definedName>
    <definedName name="LKWI">#REF!</definedName>
    <definedName name="LKWII" localSheetId="2">#REF!</definedName>
    <definedName name="LKWII">#REF!</definedName>
    <definedName name="LKWIII" localSheetId="2">#REF!</definedName>
    <definedName name="LKWIII">#REF!</definedName>
    <definedName name="LL" localSheetId="2">#REF!</definedName>
    <definedName name="LL" localSheetId="0">'List Drop Down'!#REF!</definedName>
    <definedName name="LL">#REF!</definedName>
    <definedName name="LMALANG" localSheetId="2">#REF!</definedName>
    <definedName name="LMALANG">#REF!</definedName>
    <definedName name="LMANADO" localSheetId="2">#REF!</definedName>
    <definedName name="LMANADO">#REF!</definedName>
    <definedName name="LMATARAM" localSheetId="2">#REF!</definedName>
    <definedName name="LMATARAM">#REF!</definedName>
    <definedName name="LMAURITIUS" localSheetId="2">#REF!</definedName>
    <definedName name="LMAURITIUS">#REF!</definedName>
    <definedName name="LMCHANGER" localSheetId="2">#REF!</definedName>
    <definedName name="LMCHANGER">#REF!</definedName>
    <definedName name="LMDUA" localSheetId="2">#REF!</definedName>
    <definedName name="LMDUA">#REF!</definedName>
    <definedName name="LMEDAN" localSheetId="2">#REF!</definedName>
    <definedName name="LMEDAN">#REF!</definedName>
    <definedName name="LMLAMPUNG" localSheetId="2">#REF!</definedName>
    <definedName name="LMLAMPUNG">#REF!</definedName>
    <definedName name="LMOJOKERTO" localSheetId="2">#REF!</definedName>
    <definedName name="LMOJOKERTO">#REF!</definedName>
    <definedName name="LMUMBAI" localSheetId="2">#REF!</definedName>
    <definedName name="LMUMBAI">#REF!</definedName>
    <definedName name="LNINGBO" localSheetId="2">#REF!</definedName>
    <definedName name="LNINGBO">#REF!</definedName>
    <definedName name="loan_history" localSheetId="2">[10]Loan_history!$AS$366:$BZ$936</definedName>
    <definedName name="loan_history" localSheetId="0">'List Drop Down'!#REF!</definedName>
    <definedName name="loan_history">#REF!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PALEMBANG" localSheetId="2">#REF!</definedName>
    <definedName name="LPALEMBANG">#REF!</definedName>
    <definedName name="LPALU" localSheetId="2">#REF!</definedName>
    <definedName name="LPALU">#REF!</definedName>
    <definedName name="LPEKALONGAN" localSheetId="2">#REF!</definedName>
    <definedName name="LPEKALONGAN">#REF!</definedName>
    <definedName name="LPEKANBARU" localSheetId="2">#REF!</definedName>
    <definedName name="LPEKANBARU">#REF!</definedName>
    <definedName name="LPONTIANAK" localSheetId="2">#REF!</definedName>
    <definedName name="LPONTIANAK">#REF!</definedName>
    <definedName name="LPROBOLINGGO" localSheetId="2">#REF!</definedName>
    <definedName name="LPROBOLINGGO">#REF!</definedName>
    <definedName name="LPURWOKERTO" localSheetId="2">#REF!</definedName>
    <definedName name="LPURWOKERTO">#REF!</definedName>
    <definedName name="LRANTAU" localSheetId="2">#REF!</definedName>
    <definedName name="LRANTAU">#REF!</definedName>
    <definedName name="lrkpno" localSheetId="2">#REF!</definedName>
    <definedName name="lrkpno">#REF!</definedName>
    <definedName name="lrtreas" localSheetId="2">#REF!</definedName>
    <definedName name="lrtreas">#REF!</definedName>
    <definedName name="LSALATIGA" localSheetId="2">#REF!</definedName>
    <definedName name="LSALATIGA">#REF!</definedName>
    <definedName name="LSAMARINDA" localSheetId="2">#REF!</definedName>
    <definedName name="LSAMARINDA">#REF!</definedName>
    <definedName name="LSAMPIT" localSheetId="2">#REF!</definedName>
    <definedName name="LSAMPIT">#REF!</definedName>
    <definedName name="LSEMARANG" localSheetId="2">#REF!</definedName>
    <definedName name="LSEMARANG">#REF!</definedName>
    <definedName name="LSIANTAR" localSheetId="2">#REF!</definedName>
    <definedName name="LSIANTAR">#REF!</definedName>
    <definedName name="LSINGARAJA" localSheetId="2">#REF!</definedName>
    <definedName name="LSINGARAJA">#REF!</definedName>
    <definedName name="LSOLO" localSheetId="2">#REF!</definedName>
    <definedName name="LSOLO">#REF!</definedName>
    <definedName name="LSORONG" localSheetId="2">#REF!</definedName>
    <definedName name="LSORONG">#REF!</definedName>
    <definedName name="LSURABAYA" localSheetId="2">#REF!</definedName>
    <definedName name="LSURABAYA">#REF!</definedName>
    <definedName name="LTASIK" localSheetId="2">#REF!</definedName>
    <definedName name="LTASIK">#REF!</definedName>
    <definedName name="LTCCENTER" localSheetId="2">#REF!</definedName>
    <definedName name="LTCCENTER">#REF!</definedName>
    <definedName name="LTEGAL" localSheetId="2">#REF!</definedName>
    <definedName name="LTEGAL">#REF!</definedName>
    <definedName name="LTHAMRIN" localSheetId="2">#REF!</definedName>
    <definedName name="LTHAMRIN">#REF!</definedName>
    <definedName name="LTIntAnnual" localSheetId="2">#REF!</definedName>
    <definedName name="LTIntAnnual">#REF!</definedName>
    <definedName name="LTPINANG" localSheetId="2">#REF!</definedName>
    <definedName name="LTPINANG">#REF!</definedName>
    <definedName name="LYOGYA" localSheetId="2">#REF!</definedName>
    <definedName name="LYOGYA">#REF!</definedName>
    <definedName name="m" localSheetId="2">'[1]Lamp1 BS'!#REF!</definedName>
    <definedName name="m" localSheetId="0">'List Drop Down'!#REF!</definedName>
    <definedName name="m">#REF!</definedName>
    <definedName name="MAR" localSheetId="2">#REF!</definedName>
    <definedName name="MAR">#REF!</definedName>
    <definedName name="MARET" localSheetId="2">#REF!</definedName>
    <definedName name="MARET">#REF!</definedName>
    <definedName name="mauritius1" localSheetId="2">#REF!</definedName>
    <definedName name="mauritius1">#REF!</definedName>
    <definedName name="mauritius2" localSheetId="2">#REF!</definedName>
    <definedName name="mauritius2">#REF!</definedName>
    <definedName name="mauritius3" localSheetId="2">#REF!</definedName>
    <definedName name="mauritius3">#REF!</definedName>
    <definedName name="mauritiuspasiva" localSheetId="2">#REF!</definedName>
    <definedName name="mauritiuspasiva">#REF!</definedName>
    <definedName name="MAY" localSheetId="2">#REF!</definedName>
    <definedName name="MAY">#REF!</definedName>
    <definedName name="MCEC1">'List Drop Down'!$I$3:$I$8</definedName>
    <definedName name="MCEC2">'List Drop Down'!$J$3:$J$4</definedName>
    <definedName name="MCH.2">'List Drop Down'!$H$3:$H$4</definedName>
    <definedName name="MCH1A">'List Drop Down'!$F$3:$F$96</definedName>
    <definedName name="MCH1B">'List Drop Down'!$G$3:$G$7</definedName>
    <definedName name="mchanger1" localSheetId="2">#REF!</definedName>
    <definedName name="mchanger1">#REF!</definedName>
    <definedName name="mchanger2" localSheetId="2">#REF!</definedName>
    <definedName name="mchanger2">#REF!</definedName>
    <definedName name="mchanger3" localSheetId="2">#REF!</definedName>
    <definedName name="mchanger3">#REF!</definedName>
    <definedName name="mchangerpasiva" localSheetId="2">#REF!</definedName>
    <definedName name="mchangerpasiva">#REF!</definedName>
    <definedName name="MCHardware1A" localSheetId="2">'[11]List Drop Down'!$F$3:$F$35</definedName>
    <definedName name="MCHardware1A" localSheetId="0">'List Drop Down'!#REF!</definedName>
    <definedName name="MCHardware1A">#REF!</definedName>
    <definedName name="MCHardware1B" localSheetId="2">'[11]List Drop Down'!$G$3:$G$8</definedName>
    <definedName name="MCHardware1B" localSheetId="0">'List Drop Down'!#REF!</definedName>
    <definedName name="MCHardware1B">#REF!</definedName>
    <definedName name="MCS">'List Drop Down'!$K$3</definedName>
    <definedName name="MCS.1">'List Drop Down'!$L$3</definedName>
    <definedName name="MCS.2">'List Drop Down'!$M$3</definedName>
    <definedName name="MCSoftware1" localSheetId="2">'[11]List Drop Down'!$H$3</definedName>
    <definedName name="MCSoftware1" localSheetId="0">'List Drop Down'!#REF!</definedName>
    <definedName name="MCSoftware1">#REF!</definedName>
    <definedName name="MCSoftware2" localSheetId="2">'[11]List Drop Down'!$I$3</definedName>
    <definedName name="MCSoftware2" localSheetId="0">'List Drop Down'!#REF!</definedName>
    <definedName name="MCSoftware2">#REF!</definedName>
    <definedName name="MD_LISTGL" localSheetId="2">INDIRECT(#REF!)</definedName>
    <definedName name="MD_LISTGL">INDIRECT(#REF!)</definedName>
    <definedName name="menengah" localSheetId="2">#REF!</definedName>
    <definedName name="menengah">#REF!</definedName>
    <definedName name="menkorr5112014" localSheetId="2">#REF!</definedName>
    <definedName name="menkorr5112014">#REF!</definedName>
    <definedName name="mikro" localSheetId="2">#REF!</definedName>
    <definedName name="mikro">#REF!</definedName>
    <definedName name="mikro1" localSheetId="2">#REF!</definedName>
    <definedName name="mikro1" localSheetId="0">'List Drop Down'!#REF!</definedName>
    <definedName name="mikro1">#REF!</definedName>
    <definedName name="mikro2" localSheetId="2">#REF!</definedName>
    <definedName name="mikro2" localSheetId="0">'List Drop Down'!#REF!</definedName>
    <definedName name="mikro2">#REF!</definedName>
    <definedName name="MKM_Total" localSheetId="2">#REF!</definedName>
    <definedName name="MKM_Total">#REF!</definedName>
    <definedName name="MODALRP" localSheetId="2">#REF!</definedName>
    <definedName name="MODALRP">#REF!</definedName>
    <definedName name="MODALVLS" localSheetId="2">#REF!</definedName>
    <definedName name="MODALVLS">#REF!</definedName>
    <definedName name="MORE3" localSheetId="2">#REF!</definedName>
    <definedName name="MORE3">#REF!</definedName>
    <definedName name="MORE6" localSheetId="2">#REF!</definedName>
    <definedName name="MORE6">#REF!</definedName>
    <definedName name="morning" localSheetId="2">#REF!</definedName>
    <definedName name="morning">#REF!</definedName>
    <definedName name="MS" localSheetId="2">'[1]Lamp1 BS'!#REF!</definedName>
    <definedName name="MS" localSheetId="0">'List Drop Down'!#REF!</definedName>
    <definedName name="MS">#REF!</definedName>
    <definedName name="ms_entry" localSheetId="2">'[1]Lamp1 BS'!#REF!</definedName>
    <definedName name="ms_entry" localSheetId="0">'List Drop Down'!#REF!</definedName>
    <definedName name="ms_entry">#REF!</definedName>
    <definedName name="mumbai2" localSheetId="2">#REF!</definedName>
    <definedName name="mumbai2">#REF!</definedName>
    <definedName name="mumbai3" localSheetId="2">#REF!</definedName>
    <definedName name="mumbai3">#REF!</definedName>
    <definedName name="mumbaipasiva" localSheetId="2">#REF!</definedName>
    <definedName name="mumbaipasiva">#REF!</definedName>
    <definedName name="MY_IRR" localSheetId="2">OFFSET(#REF!,0,0,1,#REF!)</definedName>
    <definedName name="MY_IRR">OFFSET(#REF!,0,0,1,#REF!)</definedName>
    <definedName name="MYHERI" localSheetId="2">#REF!</definedName>
    <definedName name="MYHERI">#REF!</definedName>
    <definedName name="n" localSheetId="2">#REF!</definedName>
    <definedName name="n" localSheetId="0">'List Drop Down'!#REF!</definedName>
    <definedName name="n">#REF!</definedName>
    <definedName name="Namabank" localSheetId="2">#REF!</definedName>
    <definedName name="Namabank">#REF!</definedName>
    <definedName name="ncdmumbairp" localSheetId="2">#REF!</definedName>
    <definedName name="ncdmumbairp">#REF!</definedName>
    <definedName name="NERACA_1" localSheetId="2">#REF!</definedName>
    <definedName name="NERACA_1">#REF!</definedName>
    <definedName name="NERACA_HISTRY" localSheetId="2">[12]Nrc_History!$A$12:$AA$1273</definedName>
    <definedName name="NERACA_HISTRY" localSheetId="0">'List Drop Down'!#REF!</definedName>
    <definedName name="NERACA_HISTRY">#REF!</definedName>
    <definedName name="NNNN" localSheetId="2">#REF!</definedName>
    <definedName name="NNNN">#REF!</definedName>
    <definedName name="NONSI" localSheetId="2">#REF!</definedName>
    <definedName name="NONSI">#REF!</definedName>
    <definedName name="npl_briguna_karya" localSheetId="2">#REF!</definedName>
    <definedName name="npl_briguna_karya">#REF!</definedName>
    <definedName name="npl_briguna_purna" localSheetId="2">#REF!</definedName>
    <definedName name="npl_briguna_purna">#REF!</definedName>
    <definedName name="npl_cash_col" localSheetId="2">#REF!</definedName>
    <definedName name="npl_cash_col">#REF!</definedName>
    <definedName name="npl_komersial" localSheetId="2">#REF!</definedName>
    <definedName name="npl_komersial">#REF!</definedName>
    <definedName name="npl_menengah" localSheetId="2">#REF!</definedName>
    <definedName name="npl_menengah">#REF!</definedName>
    <definedName name="NPLPERCENT" localSheetId="2">#REF!</definedName>
    <definedName name="NPLPERCENT">#REF!</definedName>
    <definedName name="nrc" localSheetId="2">'[1]Lamp1 BS'!#REF!</definedName>
    <definedName name="nrc" localSheetId="0">'List Drop Down'!#REF!</definedName>
    <definedName name="nrc">#REF!</definedName>
    <definedName name="o" localSheetId="2">#REF!</definedName>
    <definedName name="o">#REF!</definedName>
    <definedName name="OBLVLS" localSheetId="2">#REF!</definedName>
    <definedName name="OBLVLS">#REF!</definedName>
    <definedName name="OJK" localSheetId="2">OFFSET([2]!parameter_aplikasi[OJK],0,0,COUNTA([2]!parameter_aplikasi[OJK]),1)</definedName>
    <definedName name="OJK">OFFSET(#REF!,0,0,COUNTA(#REF!),1)</definedName>
    <definedName name="OKT" localSheetId="2">#REF!</definedName>
    <definedName name="OKT">#REF!</definedName>
    <definedName name="operating_system" localSheetId="2">OFFSET([2]!parameter_aplikasi[operating_system],0,0,COUNTA([2]!parameter_aplikasi[operating_system]),1)</definedName>
    <definedName name="operating_system">OFFSET(#REF!,0,0,COUNTA(#REF!),1)</definedName>
    <definedName name="OpRiskApproach" localSheetId="2">#REF!</definedName>
    <definedName name="OpRiskApproach">#REF!</definedName>
    <definedName name="OS_FI" localSheetId="2">#REF!</definedName>
    <definedName name="OS_FI">#REF!</definedName>
    <definedName name="OS_FIXED_INCOME" localSheetId="2">#REF!</definedName>
    <definedName name="OS_FIXED_INCOME">#REF!</definedName>
    <definedName name="OutBEU" localSheetId="2">#REF!</definedName>
    <definedName name="OutBEU">#REF!</definedName>
    <definedName name="OutBSCheck" localSheetId="2">#REF!</definedName>
    <definedName name="OutBSCheck">#REF!</definedName>
    <definedName name="OutBSCheck_A" localSheetId="2">#REF!</definedName>
    <definedName name="OutBSCheck_A">#REF!</definedName>
    <definedName name="OutCashBF" localSheetId="2">#REF!</definedName>
    <definedName name="OutCashBF">#REF!</definedName>
    <definedName name="OutCashBOP" localSheetId="2">#REF!</definedName>
    <definedName name="OutCashBOP">#REF!</definedName>
    <definedName name="OutCashBOP_A" localSheetId="2">#REF!</definedName>
    <definedName name="OutCashBOP_A">#REF!</definedName>
    <definedName name="OutCashBS" localSheetId="2">#REF!</definedName>
    <definedName name="OutCashBS">#REF!</definedName>
    <definedName name="OutCashBS_A" localSheetId="2">#REF!</definedName>
    <definedName name="OutCashBS_A">#REF!</definedName>
    <definedName name="OutCashEOP" localSheetId="2">#REF!</definedName>
    <definedName name="OutCashEOP">#REF!</definedName>
    <definedName name="OutCashEOP_A" localSheetId="2">#REF!</definedName>
    <definedName name="OutCashEOP_A">#REF!</definedName>
    <definedName name="OutCashInvAc" localSheetId="2">#REF!</definedName>
    <definedName name="OutCashInvAc">#REF!</definedName>
    <definedName name="OutCashInvAc_A" localSheetId="2">#REF!</definedName>
    <definedName name="OutCashInvAc_A">#REF!</definedName>
    <definedName name="OutCashOpAc" localSheetId="2">#REF!</definedName>
    <definedName name="OutCashOpAc">#REF!</definedName>
    <definedName name="OutCashOpAc_A" localSheetId="2">#REF!</definedName>
    <definedName name="OutCashOpAc_A">#REF!</definedName>
    <definedName name="OutCAsset" localSheetId="2">#REF!</definedName>
    <definedName name="OutCAsset">#REF!</definedName>
    <definedName name="OutCAsset_A" localSheetId="2">#REF!</definedName>
    <definedName name="OutCAsset_A">#REF!</definedName>
    <definedName name="OutCFCheck" localSheetId="2">#REF!</definedName>
    <definedName name="OutCFCheck">#REF!</definedName>
    <definedName name="OutCFCheck_A" localSheetId="2">#REF!</definedName>
    <definedName name="OutCFCheck_A">#REF!</definedName>
    <definedName name="OutChgCash" localSheetId="2">#REF!</definedName>
    <definedName name="OutChgCash">#REF!</definedName>
    <definedName name="OutChgCash_A" localSheetId="2">#REF!</definedName>
    <definedName name="OutChgCash_A">#REF!</definedName>
    <definedName name="OutChgNWC" localSheetId="2">#REF!</definedName>
    <definedName name="OutChgNWC">#REF!</definedName>
    <definedName name="OutChgNWC_A" localSheetId="2">#REF!</definedName>
    <definedName name="OutChgNWC_A">#REF!</definedName>
    <definedName name="OutCL" localSheetId="2">#REF!</definedName>
    <definedName name="OutCL">#REF!</definedName>
    <definedName name="OutCL_A" localSheetId="2">#REF!</definedName>
    <definedName name="OutCL_A">#REF!</definedName>
    <definedName name="OutCM" localSheetId="2">#REF!</definedName>
    <definedName name="OutCM">#REF!</definedName>
    <definedName name="OutCMPU" localSheetId="2">#REF!</definedName>
    <definedName name="OutCMPU">#REF!</definedName>
    <definedName name="OutCOGS" localSheetId="2">#REF!</definedName>
    <definedName name="OutCOGS">#REF!</definedName>
    <definedName name="OutCOGS_A" localSheetId="2">#REF!</definedName>
    <definedName name="OutCOGS_A">#REF!</definedName>
    <definedName name="OutCOGSYr" localSheetId="2">#REF!</definedName>
    <definedName name="OutCOGSYr">#REF!</definedName>
    <definedName name="OutEndCash" localSheetId="2">#REF!</definedName>
    <definedName name="OutEndCash">#REF!</definedName>
    <definedName name="OutEqtInvYr" localSheetId="2">#REF!</definedName>
    <definedName name="OutEqtInvYr">#REF!</definedName>
    <definedName name="OutFinCashChg" localSheetId="2">#REF!</definedName>
    <definedName name="OutFinCashChg">#REF!</definedName>
    <definedName name="OutFixCosts" localSheetId="2">#REF!</definedName>
    <definedName name="OutFixCosts">#REF!</definedName>
    <definedName name="OutFlashActual" localSheetId="2">#REF!</definedName>
    <definedName name="OutFlashActual">#REF!</definedName>
    <definedName name="OutFlashBudget" localSheetId="2">#REF!</definedName>
    <definedName name="OutFlashBudget">#REF!</definedName>
    <definedName name="OutGrMar" localSheetId="2">#REF!</definedName>
    <definedName name="OutGrMar">#REF!</definedName>
    <definedName name="OutGrossP" localSheetId="2">#REF!</definedName>
    <definedName name="OutGrossP">#REF!</definedName>
    <definedName name="OutGrossP_A" localSheetId="2">#REF!</definedName>
    <definedName name="OutGrossP_A">#REF!</definedName>
    <definedName name="OutIncEmp" localSheetId="2">#REF!</definedName>
    <definedName name="OutIncEmp">#REF!</definedName>
    <definedName name="OutIntExp" localSheetId="2">#REF!</definedName>
    <definedName name="OutIntExp">#REF!</definedName>
    <definedName name="OutInvTurn" localSheetId="2">#REF!</definedName>
    <definedName name="OutInvTurn">#REF!</definedName>
    <definedName name="OutLTIntExp" localSheetId="2">#REF!</definedName>
    <definedName name="OutLTIntExp">#REF!</definedName>
    <definedName name="OutLTLoan" localSheetId="2">#REF!</definedName>
    <definedName name="OutLTLoan">#REF!</definedName>
    <definedName name="OutNetInc" localSheetId="2">#REF!</definedName>
    <definedName name="OutNetInc">#REF!</definedName>
    <definedName name="OutNetInc_A" localSheetId="2">#REF!</definedName>
    <definedName name="OutNetInc_A">#REF!</definedName>
    <definedName name="OutNetIncYr" localSheetId="2">#REF!</definedName>
    <definedName name="OutNetIncYr">#REF!</definedName>
    <definedName name="OutNPMar" localSheetId="2">#REF!</definedName>
    <definedName name="OutNPMar">#REF!</definedName>
    <definedName name="OutNWC" localSheetId="2">#REF!</definedName>
    <definedName name="OutNWC">#REF!</definedName>
    <definedName name="OutNWC_A" localSheetId="2">#REF!</definedName>
    <definedName name="OutNWC_A">#REF!</definedName>
    <definedName name="OutOpInc" localSheetId="2">#REF!</definedName>
    <definedName name="OutOpInc">#REF!</definedName>
    <definedName name="OutOpInc_A" localSheetId="2">#REF!</definedName>
    <definedName name="OutOpInc_A">#REF!</definedName>
    <definedName name="OutOpIncYr" localSheetId="2">#REF!</definedName>
    <definedName name="OutOpIncYr">#REF!</definedName>
    <definedName name="OutPlug" localSheetId="2">#REF!</definedName>
    <definedName name="OutPlug">#REF!</definedName>
    <definedName name="OutPrcperUnit" localSheetId="2">#REF!</definedName>
    <definedName name="OutPrcperUnit">#REF!</definedName>
    <definedName name="OutPTMar" localSheetId="2">#REF!</definedName>
    <definedName name="OutPTMar">#REF!</definedName>
    <definedName name="OutRE" localSheetId="2">#REF!</definedName>
    <definedName name="OutRE">#REF!</definedName>
    <definedName name="OutRE_A" localSheetId="2">#REF!</definedName>
    <definedName name="OutRE_A">#REF!</definedName>
    <definedName name="OutRecTurn" localSheetId="2">#REF!</definedName>
    <definedName name="OutRecTurn">#REF!</definedName>
    <definedName name="OutRevEmp" localSheetId="2">#REF!</definedName>
    <definedName name="OutRevEmp">#REF!</definedName>
    <definedName name="OutROA" localSheetId="2">#REF!</definedName>
    <definedName name="OutROA">#REF!</definedName>
    <definedName name="OutROC" localSheetId="2">#REF!</definedName>
    <definedName name="OutROC">#REF!</definedName>
    <definedName name="OutROE" localSheetId="2">#REF!</definedName>
    <definedName name="OutROE">#REF!</definedName>
    <definedName name="OutSales" localSheetId="2">#REF!</definedName>
    <definedName name="OutSales">#REF!</definedName>
    <definedName name="OutSales_A" localSheetId="2">#REF!</definedName>
    <definedName name="OutSales_A">#REF!</definedName>
    <definedName name="OutSalesYr" localSheetId="2">#REF!</definedName>
    <definedName name="OutSalesYr">#REF!</definedName>
    <definedName name="OutSTFin" localSheetId="2">#REF!</definedName>
    <definedName name="OutSTFin">#REF!</definedName>
    <definedName name="OutSTLoan" localSheetId="2">#REF!</definedName>
    <definedName name="OutSTLoan">#REF!</definedName>
    <definedName name="OutTaxExp" localSheetId="2">#REF!</definedName>
    <definedName name="OutTaxExp">#REF!</definedName>
    <definedName name="OutTaxExp_A" localSheetId="2">#REF!</definedName>
    <definedName name="OutTaxExp_A">#REF!</definedName>
    <definedName name="OutTaxInc" localSheetId="2">#REF!</definedName>
    <definedName name="OutTaxInc">#REF!</definedName>
    <definedName name="OutTaxInc_A" localSheetId="2">#REF!</definedName>
    <definedName name="OutTaxInc_A">#REF!</definedName>
    <definedName name="OutTotalOE" localSheetId="2">#REF!</definedName>
    <definedName name="OutTotalOE">#REF!</definedName>
    <definedName name="OutTotalOE_A" localSheetId="2">#REF!</definedName>
    <definedName name="OutTotalOE_A">#REF!</definedName>
    <definedName name="OutTotAsset" localSheetId="2">#REF!</definedName>
    <definedName name="OutTotAsset">#REF!</definedName>
    <definedName name="OutTotAsset_A" localSheetId="2">#REF!</definedName>
    <definedName name="OutTotAsset_A">#REF!</definedName>
    <definedName name="OutTotAssetYr" localSheetId="2">#REF!</definedName>
    <definedName name="OutTotAssetYr">#REF!</definedName>
    <definedName name="OutTotCosts" localSheetId="2">#REF!</definedName>
    <definedName name="OutTotCosts">#REF!</definedName>
    <definedName name="OutTotLiabs" localSheetId="2">#REF!</definedName>
    <definedName name="OutTotLiabs">#REF!</definedName>
    <definedName name="OutTotLiabs_A" localSheetId="2">#REF!</definedName>
    <definedName name="OutTotLiabs_A">#REF!</definedName>
    <definedName name="OutVarCosts" localSheetId="2">#REF!</definedName>
    <definedName name="OutVarCosts">#REF!</definedName>
    <definedName name="OutVCperUnit" localSheetId="2">#REF!</definedName>
    <definedName name="OutVCperUnit">#REF!</definedName>
    <definedName name="p" localSheetId="2">#REF!</definedName>
    <definedName name="p" localSheetId="0">'List Drop Down'!#REF!</definedName>
    <definedName name="p">#REF!</definedName>
    <definedName name="PA" localSheetId="2">'[9]REFERENCE ZONA PREMIUM'!$AF$4:$AI$11</definedName>
    <definedName name="PA" localSheetId="0">'List Drop Down'!#REF!</definedName>
    <definedName name="PA">#REF!</definedName>
    <definedName name="pasiva" localSheetId="2">#REF!</definedName>
    <definedName name="pasiva" localSheetId="0">'List Drop Down'!#REF!</definedName>
    <definedName name="pasiva">#REF!</definedName>
    <definedName name="PENEMPATANPDRP" localSheetId="2">#REF!</definedName>
    <definedName name="PENEMPATANPDRP">#REF!</definedName>
    <definedName name="PENEMPATANPDVLS" localSheetId="2">#REF!</definedName>
    <definedName name="PENEMPATANPDVLS">#REF!</definedName>
    <definedName name="penempmumbai1" localSheetId="2">#REF!</definedName>
    <definedName name="penempmumbai1">#REF!</definedName>
    <definedName name="penempmumbai2" localSheetId="2">#REF!</definedName>
    <definedName name="penempmumbai2">#REF!</definedName>
    <definedName name="PENJABARANKURS" localSheetId="2">#REF!</definedName>
    <definedName name="PENJABARANKURS">#REF!</definedName>
    <definedName name="Penyediaan_Dana" localSheetId="2">#REF!</definedName>
    <definedName name="Penyediaan_Dana">#REF!</definedName>
    <definedName name="Per_EA" localSheetId="2">#REF!</definedName>
    <definedName name="Per_EA">#REF!</definedName>
    <definedName name="Per_TPF" localSheetId="2">#REF!</definedName>
    <definedName name="Per_TPF">#REF!</definedName>
    <definedName name="Perantara_AT" localSheetId="2">#REF!</definedName>
    <definedName name="Perantara_AT" localSheetId="0">'List Drop Down'!#REF!</definedName>
    <definedName name="Perantara_AT">#REF!</definedName>
    <definedName name="periode" localSheetId="2">#REF!</definedName>
    <definedName name="periode">#REF!</definedName>
    <definedName name="Periods" localSheetId="2">#REF!</definedName>
    <definedName name="Periods">#REF!</definedName>
    <definedName name="Pert._eks._KC_exist." localSheetId="2">#REF!</definedName>
    <definedName name="Pert._eks._KC_exist.">#REF!</definedName>
    <definedName name="pert._eksp._exist._Teras" localSheetId="2">#REF!</definedName>
    <definedName name="pert._eksp._exist._Teras">#REF!</definedName>
    <definedName name="Pert._eksp._existing_unit" localSheetId="2">#REF!</definedName>
    <definedName name="Pert._eksp._existing_unit">#REF!</definedName>
    <definedName name="Pert._eksp._KCP_exist" localSheetId="2">#REF!</definedName>
    <definedName name="Pert._eksp._KCP_exist">#REF!</definedName>
    <definedName name="pg_labels_ven1" localSheetId="2">#REF!</definedName>
    <definedName name="pg_labels_ven1">#REF!</definedName>
    <definedName name="pg_labels_ven2" localSheetId="2">#REF!</definedName>
    <definedName name="pg_labels_ven2">#REF!</definedName>
    <definedName name="pg_pages_ven1" localSheetId="2">#REF!</definedName>
    <definedName name="pg_pages_ven1">#REF!</definedName>
    <definedName name="pg_pages_ven2" localSheetId="2">#REF!</definedName>
    <definedName name="pg_pages_ven2">#REF!</definedName>
    <definedName name="PINJAMANRP" localSheetId="2">#REF!</definedName>
    <definedName name="PINJAMANRP">#REF!</definedName>
    <definedName name="PINJAMANVLS" localSheetId="2">#REF!</definedName>
    <definedName name="PINJAMANVLS">#REF!</definedName>
    <definedName name="pinjditmumbai" localSheetId="2">#REF!</definedName>
    <definedName name="pinjditmumbai">#REF!</definedName>
    <definedName name="PINJDTRMRP" localSheetId="2">#REF!</definedName>
    <definedName name="PINJDTRMRP">#REF!</definedName>
    <definedName name="PINJDTRMVLS" localSheetId="2">#REF!</definedName>
    <definedName name="PINJDTRMVLS">#REF!</definedName>
    <definedName name="pinjfat" localSheetId="2">#REF!</definedName>
    <definedName name="pinjfat">#REF!</definedName>
    <definedName name="pinjjua" localSheetId="2">#REF!</definedName>
    <definedName name="pinjjua">#REF!</definedName>
    <definedName name="pinjkb" localSheetId="2">#REF!</definedName>
    <definedName name="pinjkb">#REF!</definedName>
    <definedName name="pinjmg" localSheetId="2">#REF!</definedName>
    <definedName name="pinjmg">#REF!</definedName>
    <definedName name="PINJSUBORDINASI" localSheetId="2">#REF!</definedName>
    <definedName name="PINJSUBORDINASI">#REF!</definedName>
    <definedName name="pinjthm" localSheetId="2">#REF!</definedName>
    <definedName name="pinjthm">#REF!</definedName>
    <definedName name="place_otherbanks" localSheetId="2">'[1]Lamp1 BS'!#REF!</definedName>
    <definedName name="place_otherbanks" localSheetId="0">'List Drop Down'!#REF!</definedName>
    <definedName name="place_otherbanks">#REF!</definedName>
    <definedName name="PNP1KALBES" localSheetId="2">#REF!</definedName>
    <definedName name="PNP1KALBES">#REF!</definedName>
    <definedName name="PNP1KWI" localSheetId="2">#REF!</definedName>
    <definedName name="PNP1KWI">#REF!</definedName>
    <definedName name="PNP1KWII" localSheetId="2">#REF!</definedName>
    <definedName name="PNP1KWII">#REF!</definedName>
    <definedName name="PNP1KWIII" localSheetId="2">#REF!</definedName>
    <definedName name="PNP1KWIII">#REF!</definedName>
    <definedName name="PNP1MDUA" localSheetId="2">#REF!</definedName>
    <definedName name="PNP1MDUA">#REF!</definedName>
    <definedName name="PNP1POLIM" localSheetId="2">#REF!</definedName>
    <definedName name="PNP1POLIM">#REF!</definedName>
    <definedName name="PNP1TC" localSheetId="2">#REF!</definedName>
    <definedName name="PNP1TC">#REF!</definedName>
    <definedName name="PNP1THAMRIN" localSheetId="2">#REF!</definedName>
    <definedName name="PNP1THAMRIN">#REF!</definedName>
    <definedName name="PNP2JUANDA" localSheetId="2">#REF!</definedName>
    <definedName name="PNP2JUANDA">#REF!</definedName>
    <definedName name="PNP2KALBES" localSheetId="2">#REF!</definedName>
    <definedName name="PNP2KALBES">#REF!</definedName>
    <definedName name="PNP2KWI" localSheetId="2">#REF!</definedName>
    <definedName name="PNP2KWI">#REF!</definedName>
    <definedName name="PNP2KWII" localSheetId="2">#REF!</definedName>
    <definedName name="PNP2KWII">#REF!</definedName>
    <definedName name="PNP2KWIII" localSheetId="2">#REF!</definedName>
    <definedName name="PNP2KWIII">#REF!</definedName>
    <definedName name="PNP2MDUA" localSheetId="2">#REF!</definedName>
    <definedName name="PNP2MDUA">#REF!</definedName>
    <definedName name="PNP2POLIM" localSheetId="2">#REF!</definedName>
    <definedName name="PNP2POLIM">#REF!</definedName>
    <definedName name="PNP2TC" localSheetId="2">#REF!</definedName>
    <definedName name="PNP2TC">#REF!</definedName>
    <definedName name="PNP2THAMRIN" localSheetId="2">#REF!</definedName>
    <definedName name="PNP2THAMRIN">#REF!</definedName>
    <definedName name="PNPDR1" localSheetId="2">#REF!</definedName>
    <definedName name="PNPDR1">#REF!</definedName>
    <definedName name="PNPDR2" localSheetId="2">#REF!</definedName>
    <definedName name="PNPDR2">#REF!</definedName>
    <definedName name="Porsi_KC" localSheetId="2">#REF!</definedName>
    <definedName name="Porsi_KC">#REF!</definedName>
    <definedName name="Porsi_KCP" localSheetId="2">#REF!</definedName>
    <definedName name="Porsi_KCP">#REF!</definedName>
    <definedName name="Porsi_Kecil_Menengah" localSheetId="2">#REF!</definedName>
    <definedName name="Porsi_Kecil_Menengah">#REF!</definedName>
    <definedName name="Porsi_Mikro" localSheetId="2">#REF!</definedName>
    <definedName name="Porsi_Mikro">#REF!</definedName>
    <definedName name="Porsi_Teras" localSheetId="2">#REF!</definedName>
    <definedName name="Porsi_Teras">#REF!</definedName>
    <definedName name="Porsi_Unit" localSheetId="2">#REF!</definedName>
    <definedName name="Porsi_Unit">#REF!</definedName>
    <definedName name="_xlnm.Print_Area" localSheetId="2">#REF!</definedName>
    <definedName name="_xlnm.Print_Area">#REF!</definedName>
    <definedName name="_xlnm.Print_Titles">#N/A</definedName>
    <definedName name="profilrisiko" localSheetId="2">#REF!</definedName>
    <definedName name="profilrisiko">#REF!</definedName>
    <definedName name="Profilrisiko1" localSheetId="2">#REF!</definedName>
    <definedName name="Profilrisiko1">#REF!</definedName>
    <definedName name="PROG_GIRO" localSheetId="2">[8]Funds!$AG$60:$AL$64</definedName>
    <definedName name="PROG_GIRO" localSheetId="0">'List Drop Down'!#REF!</definedName>
    <definedName name="PROG_GIRO">#REF!</definedName>
    <definedName name="Project_Start" localSheetId="2">#REF!</definedName>
    <definedName name="Project_Start">#REF!</definedName>
    <definedName name="Propinsi" localSheetId="2">#REF!</definedName>
    <definedName name="Propinsi">#REF!</definedName>
    <definedName name="provisi" localSheetId="2">'[3]Income Statement'!#REF!</definedName>
    <definedName name="provisi" localSheetId="0">'List Drop Down'!#REF!</definedName>
    <definedName name="provisi">#REF!</definedName>
    <definedName name="provision_otherbanks" localSheetId="2">'[1]Lamp1 BS'!#REF!</definedName>
    <definedName name="provision_otherbanks" localSheetId="0">'List Drop Down'!#REF!</definedName>
    <definedName name="provision_otherbanks">#REF!</definedName>
    <definedName name="ps" localSheetId="2">#REF!</definedName>
    <definedName name="ps">#REF!</definedName>
    <definedName name="PSJUANDA" localSheetId="2">#REF!</definedName>
    <definedName name="PSJUANDA">#REF!</definedName>
    <definedName name="PSKALBES" localSheetId="2">#REF!</definedName>
    <definedName name="PSKALBES">#REF!</definedName>
    <definedName name="PSKWI" localSheetId="2">#REF!</definedName>
    <definedName name="PSKWI">#REF!</definedName>
    <definedName name="PSKWII" localSheetId="2">#REF!</definedName>
    <definedName name="PSKWII">#REF!</definedName>
    <definedName name="PSKWIII" localSheetId="2">#REF!</definedName>
    <definedName name="PSKWIII">#REF!</definedName>
    <definedName name="PSMDUA" localSheetId="2">#REF!</definedName>
    <definedName name="PSMDUA">#REF!</definedName>
    <definedName name="psmumbai1" localSheetId="2">#REF!</definedName>
    <definedName name="psmumbai1">#REF!</definedName>
    <definedName name="psmumbai2" localSheetId="2">#REF!</definedName>
    <definedName name="psmumbai2">#REF!</definedName>
    <definedName name="psmumbai3" localSheetId="2">#REF!</definedName>
    <definedName name="psmumbai3">#REF!</definedName>
    <definedName name="PSPOLIM" localSheetId="2">#REF!</definedName>
    <definedName name="PSPOLIM">#REF!</definedName>
    <definedName name="PSTHAMRIN" localSheetId="2">#REF!</definedName>
    <definedName name="PSTHAMRIN">#REF!</definedName>
    <definedName name="PSVJUANDA" localSheetId="2">#REF!</definedName>
    <definedName name="PSVJUANDA">#REF!</definedName>
    <definedName name="PSVKALBES" localSheetId="2">#REF!</definedName>
    <definedName name="PSVKALBES">#REF!</definedName>
    <definedName name="PSVKWI" localSheetId="2">#REF!</definedName>
    <definedName name="PSVKWI">#REF!</definedName>
    <definedName name="PSVKWII" localSheetId="2">#REF!</definedName>
    <definedName name="PSVKWII">#REF!</definedName>
    <definedName name="PSVKWIII" localSheetId="2">#REF!</definedName>
    <definedName name="PSVKWIII">#REF!</definedName>
    <definedName name="PSVMDUA" localSheetId="2">#REF!</definedName>
    <definedName name="PSVMDUA">#REF!</definedName>
    <definedName name="psvmumbai" localSheetId="2">#REF!</definedName>
    <definedName name="psvmumbai">#REF!</definedName>
    <definedName name="PSVPOLIM" localSheetId="2">#REF!</definedName>
    <definedName name="PSVPOLIM">#REF!</definedName>
    <definedName name="PSVTHAMRIN" localSheetId="2">#REF!</definedName>
    <definedName name="PSVTHAMRIN">#REF!</definedName>
    <definedName name="rasio_history" localSheetId="2">[3]Ratio_history!$A$7:$CY$228</definedName>
    <definedName name="rasio_history" localSheetId="0">'List Drop Down'!#REF!</definedName>
    <definedName name="rasio_history">#REF!</definedName>
    <definedName name="rasiopemenuhanformasi" localSheetId="2">#REF!</definedName>
    <definedName name="rasiopemenuhanformasi">#REF!</definedName>
    <definedName name="RatasSKO" localSheetId="2">#REF!</definedName>
    <definedName name="RatasSKO">#REF!</definedName>
    <definedName name="rate_antarbankRp" localSheetId="2">[3]WKrates!$I$80:$AR$80</definedName>
    <definedName name="rate_antarbankRp" localSheetId="0">'List Drop Down'!#REF!</definedName>
    <definedName name="rate_antarbankRp">#REF!</definedName>
    <definedName name="rate_antarbankVls" localSheetId="2">[3]WKrates!$I$81:$AR$81</definedName>
    <definedName name="rate_antarbankVls" localSheetId="0">'List Drop Down'!#REF!</definedName>
    <definedName name="rate_antarbankVls">#REF!</definedName>
    <definedName name="rate_britama" localSheetId="2">[3]WKrates!$I$53:$AR$53</definedName>
    <definedName name="rate_britama" localSheetId="0">'List Drop Down'!#REF!</definedName>
    <definedName name="rate_britama">#REF!</definedName>
    <definedName name="rate_Depo12Rp" localSheetId="2">[3]WKrates!$I$67:$AR$67</definedName>
    <definedName name="rate_Depo12Rp" localSheetId="0">'List Drop Down'!#REF!</definedName>
    <definedName name="rate_Depo12Rp">#REF!</definedName>
    <definedName name="rate_Depo12vls" localSheetId="2">[3]WKrates!$I$112:$AR$112</definedName>
    <definedName name="rate_Depo12vls" localSheetId="0">'List Drop Down'!#REF!</definedName>
    <definedName name="rate_Depo12vls">#REF!</definedName>
    <definedName name="rate_Depo1Rp" localSheetId="2">[3]WKrates!$I$63:$AR$63</definedName>
    <definedName name="rate_Depo1Rp" localSheetId="0">'List Drop Down'!#REF!</definedName>
    <definedName name="rate_Depo1Rp">#REF!</definedName>
    <definedName name="rate_Depo1vls" localSheetId="2">[3]WKrates!$I$108:$AR$108</definedName>
    <definedName name="rate_Depo1vls" localSheetId="0">'List Drop Down'!#REF!</definedName>
    <definedName name="rate_Depo1vls">#REF!</definedName>
    <definedName name="rate_Depo3Rp" localSheetId="2">[3]WKrates!$I$65:$AR$65</definedName>
    <definedName name="rate_Depo3Rp" localSheetId="0">'List Drop Down'!#REF!</definedName>
    <definedName name="rate_Depo3Rp">#REF!</definedName>
    <definedName name="rate_Depo3vls" localSheetId="2">[3]WKrates!$I$110:$AR$110</definedName>
    <definedName name="rate_Depo3vls" localSheetId="0">'List Drop Down'!#REF!</definedName>
    <definedName name="rate_Depo3vls">#REF!</definedName>
    <definedName name="rate_Depo6Rp" localSheetId="2">[3]WKrates!$I$66:$AR$66</definedName>
    <definedName name="rate_Depo6Rp" localSheetId="0">'List Drop Down'!#REF!</definedName>
    <definedName name="rate_Depo6Rp">#REF!</definedName>
    <definedName name="rate_Depo6vls" localSheetId="2">[3]WKrates!$I$111:$AR$111</definedName>
    <definedName name="rate_Depo6vls" localSheetId="0">'List Drop Down'!#REF!</definedName>
    <definedName name="rate_Depo6vls">#REF!</definedName>
    <definedName name="rate_DepoMudha" localSheetId="2">[3]WKrates!$I$70:$AR$70</definedName>
    <definedName name="rate_DepoMudha" localSheetId="0">'List Drop Down'!#REF!</definedName>
    <definedName name="rate_DepoMudha">#REF!</definedName>
    <definedName name="rate_giroRp" localSheetId="2">[3]WKrates!$I$50:$AR$50</definedName>
    <definedName name="rate_giroRp" localSheetId="0">'List Drop Down'!#REF!</definedName>
    <definedName name="rate_giroRp">#REF!</definedName>
    <definedName name="rate_girovls" localSheetId="2">[3]WKrates!$I$102:$AR$102</definedName>
    <definedName name="rate_girovls" localSheetId="0">'List Drop Down'!#REF!</definedName>
    <definedName name="rate_girovls">#REF!</definedName>
    <definedName name="rate_giroWad" localSheetId="2">[3]WKrates!$I$51:$AR$51</definedName>
    <definedName name="rate_giroWad" localSheetId="0">'List Drop Down'!#REF!</definedName>
    <definedName name="rate_giroWad">#REF!</definedName>
    <definedName name="rate_history" localSheetId="2">[3]rates_History!$B$8:$CY$524</definedName>
    <definedName name="rate_history" localSheetId="0">'List Drop Down'!#REF!</definedName>
    <definedName name="rate_history">#REF!</definedName>
    <definedName name="rate_simaskot" localSheetId="2">[3]WKrates!$I$54:$AR$54</definedName>
    <definedName name="rate_simaskot" localSheetId="0">'List Drop Down'!#REF!</definedName>
    <definedName name="rate_simaskot">#REF!</definedName>
    <definedName name="rate_simpedes" localSheetId="2">[3]WKrates!$I$55:$AR$55</definedName>
    <definedName name="rate_simpedes" localSheetId="0">'List Drop Down'!#REF!</definedName>
    <definedName name="rate_simpedes">#REF!</definedName>
    <definedName name="rate_tabanasbri" localSheetId="2">[3]WKrates!$I$56:$AR$56</definedName>
    <definedName name="rate_tabanasbri" localSheetId="0">'List Drop Down'!#REF!</definedName>
    <definedName name="rate_tabanasbri">#REF!</definedName>
    <definedName name="rate_tabhaj" localSheetId="2">[3]WKrates!$I$57:$AR$57</definedName>
    <definedName name="rate_tabhaj" localSheetId="0">'List Drop Down'!#REF!</definedName>
    <definedName name="rate_tabhaj">#REF!</definedName>
    <definedName name="rate_TabMudha" localSheetId="2">[3]WKrates!$I$58:$AR$58</definedName>
    <definedName name="rate_TabMudha" localSheetId="0">'List Drop Down'!#REF!</definedName>
    <definedName name="rate_TabMudha">#REF!</definedName>
    <definedName name="rate_tabvls" localSheetId="2">[3]WKrates!$I$104:$AR$104</definedName>
    <definedName name="rate_tabvls" localSheetId="0">'List Drop Down'!#REF!</definedName>
    <definedName name="rate_tabvls">#REF!</definedName>
    <definedName name="ratingaudit" localSheetId="2">#REF!</definedName>
    <definedName name="ratingaudit">#REF!</definedName>
    <definedName name="Ratingaudit1" localSheetId="2">#REF!</definedName>
    <definedName name="Ratingaudit1">#REF!</definedName>
    <definedName name="Realisasi" localSheetId="2">#REF!</definedName>
    <definedName name="Realisasi">#REF!</definedName>
    <definedName name="RECOVERYTOTAL" localSheetId="2">#REF!</definedName>
    <definedName name="RECOVERYTOTAL">#REF!</definedName>
    <definedName name="REVISI" localSheetId="2">#REF!</definedName>
    <definedName name="REVISI" localSheetId="0">'List Drop Down'!#REF!</definedName>
    <definedName name="REVISI">#REF!</definedName>
    <definedName name="RKACASA" localSheetId="2">#REF!</definedName>
    <definedName name="RKACASA">#REF!</definedName>
    <definedName name="RKADANATOTAL" localSheetId="2">#REF!</definedName>
    <definedName name="RKADANATOTAL">#REF!</definedName>
    <definedName name="RKAFBITOTAL" localSheetId="2">#REF!</definedName>
    <definedName name="RKAFBITOTAL">#REF!</definedName>
    <definedName name="RKAKREDITTOTAL" localSheetId="2">#REF!</definedName>
    <definedName name="RKAKREDITTOTAL">#REF!</definedName>
    <definedName name="RKALABATOTAL" localSheetId="2">#REF!</definedName>
    <definedName name="RKALABATOTAL">#REF!</definedName>
    <definedName name="RKANPLTOTAL" localSheetId="2">#REF!</definedName>
    <definedName name="RKANPLTOTAL">#REF!</definedName>
    <definedName name="RKAP" localSheetId="2">#REF!</definedName>
    <definedName name="RKAP" localSheetId="0">'List Drop Down'!#REF!</definedName>
    <definedName name="RKAP">#REF!</definedName>
    <definedName name="RKAP2020" localSheetId="2">#REF!</definedName>
    <definedName name="RKAP2020">#REF!</definedName>
    <definedName name="RKARECTOTAL" localSheetId="2">#REF!</definedName>
    <definedName name="RKARECTOTAL">#REF!</definedName>
    <definedName name="RKJUANDA" localSheetId="2">#REF!</definedName>
    <definedName name="RKJUANDA">#REF!</definedName>
    <definedName name="RKKALBES" localSheetId="2">#REF!</definedName>
    <definedName name="RKKALBES">#REF!</definedName>
    <definedName name="RKKCPKWI" localSheetId="2">#REF!</definedName>
    <definedName name="RKKCPKWI">#REF!</definedName>
    <definedName name="RKKCPKWII" localSheetId="2">#REF!</definedName>
    <definedName name="RKKCPKWII">#REF!</definedName>
    <definedName name="RKKCPKWIII" localSheetId="2">#REF!</definedName>
    <definedName name="RKKCPKWIII">#REF!</definedName>
    <definedName name="RKMDUA" localSheetId="2">#REF!</definedName>
    <definedName name="RKMDUA">#REF!</definedName>
    <definedName name="RKPOLIM" localSheetId="2">#REF!</definedName>
    <definedName name="RKPOLIM">#REF!</definedName>
    <definedName name="RKTHAMRIN" localSheetId="2">#REF!</definedName>
    <definedName name="RKTHAMRIN">#REF!</definedName>
    <definedName name="Rpdendakepatuhan" localSheetId="2">#REF!</definedName>
    <definedName name="Rpdendakepatuhan">#REF!</definedName>
    <definedName name="s_month" localSheetId="2">[3]Opening!$N$9</definedName>
    <definedName name="s_month" localSheetId="0">'List Drop Down'!#REF!</definedName>
    <definedName name="s_month">#REF!</definedName>
    <definedName name="SANTI1" localSheetId="2">#REF!</definedName>
    <definedName name="SANTI1">#REF!</definedName>
    <definedName name="SANTI2" localSheetId="2">#REF!</definedName>
    <definedName name="SANTI2">#REF!</definedName>
    <definedName name="Satelit" localSheetId="2">#REF!</definedName>
    <definedName name="Satelit">#REF!</definedName>
    <definedName name="Scrolling_Increment" localSheetId="2">#REF!</definedName>
    <definedName name="Scrolling_Increment">#REF!</definedName>
    <definedName name="sdasdasda" localSheetId="2">#REF!</definedName>
    <definedName name="sdasdasda">#REF!</definedName>
    <definedName name="seimbang" localSheetId="2">'[1]Lamp1 BS'!#REF!</definedName>
    <definedName name="seimbang" localSheetId="0">'List Drop Down'!#REF!</definedName>
    <definedName name="seimbang">#REF!</definedName>
    <definedName name="SEP" localSheetId="2">#REF!</definedName>
    <definedName name="SEP">#REF!</definedName>
    <definedName name="solution_platform" localSheetId="2">OFFSET([2]!parameter_aplikasi[solution_platform],0,0,COUNTA([2]!parameter_aplikasi[solution_platform]),1)</definedName>
    <definedName name="solution_platform">OFFSET(#REF!,0,0,COUNTA(#REF!),1)</definedName>
    <definedName name="source_ven1_label" localSheetId="2">#REF!</definedName>
    <definedName name="source_ven1_label">#REF!</definedName>
    <definedName name="source_ven2" localSheetId="2">#REF!</definedName>
    <definedName name="source_ven2">#REF!</definedName>
    <definedName name="source_ven2_label" localSheetId="2">#REF!</definedName>
    <definedName name="source_ven2_label">#REF!</definedName>
    <definedName name="SPREAD" localSheetId="2">#REF!</definedName>
    <definedName name="SPREAD">#REF!</definedName>
    <definedName name="Spread_for_IDR___USD_interest_rate" localSheetId="2">#REF!</definedName>
    <definedName name="Spread_for_IDR___USD_interest_rate">#REF!</definedName>
    <definedName name="srtbhgmumbai" localSheetId="2">#REF!</definedName>
    <definedName name="srtbhgmumbai">#REF!</definedName>
    <definedName name="stagingbrilink" localSheetId="2">#REF!</definedName>
    <definedName name="stagingbrilink">#REF!</definedName>
    <definedName name="status" localSheetId="2">[3]WKrates!$I$3:$AT$3</definedName>
    <definedName name="status" localSheetId="0">'List Drop Down'!#REF!</definedName>
    <definedName name="status">#REF!</definedName>
    <definedName name="Status_Kolek" localSheetId="2">#REF!</definedName>
    <definedName name="Status_Kolek">#REF!</definedName>
    <definedName name="SUSPENDKALBES" localSheetId="2">#REF!</definedName>
    <definedName name="SUSPENDKALBES">#REF!</definedName>
    <definedName name="SUSPENDKWI" localSheetId="2">#REF!</definedName>
    <definedName name="SUSPENDKWI">#REF!</definedName>
    <definedName name="SUSPENDKWII" localSheetId="2">#REF!</definedName>
    <definedName name="SUSPENDKWII">#REF!</definedName>
    <definedName name="SUSPENDKWIII" localSheetId="2">#REF!</definedName>
    <definedName name="SUSPENDKWIII">#REF!</definedName>
    <definedName name="SUSPENDMDUA" localSheetId="2">#REF!</definedName>
    <definedName name="SUSPENDMDUA">#REF!</definedName>
    <definedName name="SUSPENDPOLIM" localSheetId="2">#REF!</definedName>
    <definedName name="SUSPENDPOLIM">#REF!</definedName>
    <definedName name="SUSPENTHAMRIN" localSheetId="2">#REF!</definedName>
    <definedName name="SUSPENTHAMRIN">#REF!</definedName>
    <definedName name="SWAP" localSheetId="2">#REF!</definedName>
    <definedName name="SWAP">#REF!</definedName>
    <definedName name="sx" localSheetId="2">#REF!</definedName>
    <definedName name="sx">#REF!</definedName>
    <definedName name="tabmumbairp" localSheetId="2">#REF!</definedName>
    <definedName name="tabmumbairp">#REF!</definedName>
    <definedName name="tabmumbaivls" localSheetId="2">#REF!</definedName>
    <definedName name="tabmumbaivls">#REF!</definedName>
    <definedName name="tabungan" localSheetId="2">[8]Funds!$G$140:$M$156</definedName>
    <definedName name="tabungan" localSheetId="0">'List Drop Down'!#REF!</definedName>
    <definedName name="tabungan">#REF!</definedName>
    <definedName name="TABUNGANRP" localSheetId="2">#REF!</definedName>
    <definedName name="TABUNGANRP">#REF!</definedName>
    <definedName name="TABUNGANVLS" localSheetId="2">#REF!</definedName>
    <definedName name="TABUNGANVLS">#REF!</definedName>
    <definedName name="Tahun" localSheetId="2">#REF!</definedName>
    <definedName name="Tahun">#REF!</definedName>
    <definedName name="tcpasiva" localSheetId="2">#REF!</definedName>
    <definedName name="tcpasiva">#REF!</definedName>
    <definedName name="test" localSheetId="2">OFFSET([2]!parameter_aplikasi[arsitektur],0,0,COUNTA([2]!parameter_aplikasi[arsitektur]),1)</definedName>
    <definedName name="test">OFFSET(#REF!,0,0,COUNTA(#REF!),1)</definedName>
    <definedName name="TORBEF" localSheetId="2">#REF!</definedName>
    <definedName name="TORBEF">#REF!</definedName>
    <definedName name="TORDKK" localSheetId="2">#REF!</definedName>
    <definedName name="TORDKK">#REF!</definedName>
    <definedName name="TORITL" localSheetId="2">#REF!</definedName>
    <definedName name="TORITL">#REF!</definedName>
    <definedName name="TORMYR" localSheetId="2">#REF!</definedName>
    <definedName name="TORMYR">#REF!</definedName>
    <definedName name="TORNOK" localSheetId="2">#REF!</definedName>
    <definedName name="TORNOK">#REF!</definedName>
    <definedName name="TORSEK" localSheetId="2">#REF!</definedName>
    <definedName name="TORSEK">#REF!</definedName>
    <definedName name="TORSGD" localSheetId="2">#REF!</definedName>
    <definedName name="TORSGD">#REF!</definedName>
    <definedName name="tp" localSheetId="2">#REF!</definedName>
    <definedName name="tp">#REF!</definedName>
    <definedName name="TPF" localSheetId="2">#REF!</definedName>
    <definedName name="TPF">#REF!</definedName>
    <definedName name="TW" localSheetId="2">#REF!</definedName>
    <definedName name="TW">#REF!</definedName>
    <definedName name="TYPE" localSheetId="2">#REF!</definedName>
    <definedName name="TYPE">#REF!</definedName>
    <definedName name="USD_int_for_2_10_yrs__D112__diambil_dari_SWAQ_dan_SWAP" localSheetId="2">#REF!</definedName>
    <definedName name="USD_int_for_2_10_yrs__D112__diambil_dari_SWAQ_dan_SWAP">#REF!</definedName>
    <definedName name="USDRATE" localSheetId="2">#REF!</definedName>
    <definedName name="USDRATE">#REF!</definedName>
    <definedName name="web_engine" localSheetId="2">OFFSET([2]!parameter_aplikasi[web_engine],0,0,COUNTA([2]!parameter_aplikasi[web_engine]),1)</definedName>
    <definedName name="web_engine">OFFSET(#REF!,0,0,COUNTA(#REF!),1)</definedName>
    <definedName name="wk_ritelgiroRP" localSheetId="2">[6]Wkfunds!$I$15:$AR$15</definedName>
    <definedName name="wk_ritelgiroRP" localSheetId="0">'List Drop Down'!#REF!</definedName>
    <definedName name="wk_ritelgiroRP">#REF!</definedName>
    <definedName name="wk_RitelNYARp" localSheetId="2">[6]Wkfunds!$I$16:$AR$16</definedName>
    <definedName name="wk_RitelNYARp" localSheetId="0">'List Drop Down'!#REF!</definedName>
    <definedName name="wk_RitelNYARp">#REF!</definedName>
    <definedName name="wk_RitelPinjsaldoKRp" localSheetId="2">[6]Wkfunds!$I$17:$AR$17</definedName>
    <definedName name="wk_RitelPinjsaldoKRp" localSheetId="0">'List Drop Down'!#REF!</definedName>
    <definedName name="wk_RitelPinjsaldoKRp">#REF!</definedName>
    <definedName name="WkAccDep" localSheetId="2">#REF!</definedName>
    <definedName name="WkAccDep">#REF!</definedName>
    <definedName name="WkAcquisition_Date" localSheetId="2">#REF!</definedName>
    <definedName name="WkAcquisition_Date">#REF!</definedName>
    <definedName name="WkAdvances" localSheetId="2">#REF!</definedName>
    <definedName name="WkAdvances">#REF!</definedName>
    <definedName name="WkAsset_Life" localSheetId="2">#REF!</definedName>
    <definedName name="WkAsset_Life">#REF!</definedName>
    <definedName name="WkBaseSal" localSheetId="2">#REF!</definedName>
    <definedName name="WkBaseSal">#REF!</definedName>
    <definedName name="WkCAPEXDis" localSheetId="2">#REF!</definedName>
    <definedName name="WkCAPEXDis">#REF!</definedName>
    <definedName name="WkCashPurch" localSheetId="2">#REF!</definedName>
    <definedName name="WkCashPurch">#REF!</definedName>
    <definedName name="WkCashSls" localSheetId="2">#REF!</definedName>
    <definedName name="WkCashSls">#REF!</definedName>
    <definedName name="WkCOGS" localSheetId="2">#REF!</definedName>
    <definedName name="WkCOGS">#REF!</definedName>
    <definedName name="WkCollections" localSheetId="2">#REF!</definedName>
    <definedName name="WkCollections">#REF!</definedName>
    <definedName name="WkCreditPurch" localSheetId="2">#REF!</definedName>
    <definedName name="WkCreditPurch">#REF!</definedName>
    <definedName name="WkCreditSls" localSheetId="2">#REF!</definedName>
    <definedName name="WkCreditSls">#REF!</definedName>
    <definedName name="WkCumCAPEX" localSheetId="2">#REF!</definedName>
    <definedName name="WkCumCAPEX">#REF!</definedName>
    <definedName name="WkCumDisCAPEX" localSheetId="2">#REF!</definedName>
    <definedName name="WkCumDisCAPEX">#REF!</definedName>
    <definedName name="WkDepr" localSheetId="2">#REF!</definedName>
    <definedName name="WkDepr">#REF!</definedName>
    <definedName name="WkDeprExpBldg" localSheetId="2">#REF!</definedName>
    <definedName name="WkDeprExpBldg">#REF!</definedName>
    <definedName name="WkDeprExpEqpt" localSheetId="2">#REF!</definedName>
    <definedName name="WkDeprExpEqpt">#REF!</definedName>
    <definedName name="WkDeprExpFix" localSheetId="2">#REF!</definedName>
    <definedName name="WkDeprExpFix">#REF!</definedName>
    <definedName name="WkDisburses" localSheetId="2">#REF!</definedName>
    <definedName name="WkDisburses">#REF!</definedName>
    <definedName name="WkDisOpExp" localSheetId="2">#REF!</definedName>
    <definedName name="WkDisOpExp">#REF!</definedName>
    <definedName name="WkEndAP" localSheetId="2">#REF!</definedName>
    <definedName name="WkEndAP">#REF!</definedName>
    <definedName name="WkEndAR" localSheetId="2">#REF!</definedName>
    <definedName name="WkEndAR">#REF!</definedName>
    <definedName name="WkEndInv" localSheetId="2">#REF!</definedName>
    <definedName name="WkEndInv">#REF!</definedName>
    <definedName name="WkExistAccDeprBldg" localSheetId="2">#REF!</definedName>
    <definedName name="WkExistAccDeprBldg">#REF!</definedName>
    <definedName name="WkExistAccDeprEqpt" localSheetId="2">#REF!</definedName>
    <definedName name="WkExistAccDeprEqpt">#REF!</definedName>
    <definedName name="WkExistAccDeprFix" localSheetId="2">#REF!</definedName>
    <definedName name="WkExistAccDeprFix">#REF!</definedName>
    <definedName name="WkFixAsset" localSheetId="2">#REF!</definedName>
    <definedName name="WkFixAsset">#REF!</definedName>
    <definedName name="WkGrossAsset" localSheetId="2">#REF!</definedName>
    <definedName name="WkGrossAsset">#REF!</definedName>
    <definedName name="WkInvNeed" localSheetId="2">#REF!</definedName>
    <definedName name="WkInvNeed">#REF!</definedName>
    <definedName name="WkLabor" localSheetId="2">#REF!</definedName>
    <definedName name="WkLabor">#REF!</definedName>
    <definedName name="WkMaintExp" localSheetId="2">#REF!</definedName>
    <definedName name="WkMaintExp">#REF!</definedName>
    <definedName name="WkMiscExp" localSheetId="2">#REF!</definedName>
    <definedName name="WkMiscExp">#REF!</definedName>
    <definedName name="WkOtherRawMat" localSheetId="2">#REF!</definedName>
    <definedName name="WkOtherRawMat">#REF!</definedName>
    <definedName name="WkPayCapex" localSheetId="2">#REF!</definedName>
    <definedName name="WkPayCapex">#REF!</definedName>
    <definedName name="WkPmtPay" localSheetId="2">#REF!</definedName>
    <definedName name="WkPmtPay">#REF!</definedName>
    <definedName name="WkPurchases" localSheetId="2">#REF!</definedName>
    <definedName name="WkPurchases">#REF!</definedName>
    <definedName name="WkRentExp" localSheetId="2">#REF!</definedName>
    <definedName name="WkRentExp">#REF!</definedName>
    <definedName name="WkRubber" localSheetId="2">#REF!</definedName>
    <definedName name="WkRubber">#REF!</definedName>
    <definedName name="WkSales" localSheetId="2">#REF!</definedName>
    <definedName name="WkSales">#REF!</definedName>
    <definedName name="WkSalExp" localSheetId="2">#REF!</definedName>
    <definedName name="WkSalExp">#REF!</definedName>
    <definedName name="xxx" localSheetId="2">#REF!</definedName>
    <definedName name="xxx">#REF!</definedName>
    <definedName name="Y" localSheetId="2">#REF!</definedName>
    <definedName name="Y">#REF!</definedName>
    <definedName name="YesNo" localSheetId="2">#REF!</definedName>
    <definedName name="YesNo">#REF!</definedName>
    <definedName name="잔존만기" localSheetId="2">#REF!</definedName>
    <definedName name="잔존만기">#REF!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5" i="3" l="1"/>
  <c r="AH112" i="3"/>
  <c r="AH239" i="3"/>
  <c r="AH240" i="3"/>
  <c r="AH34" i="3"/>
  <c r="AH43" i="3"/>
  <c r="AH93" i="3"/>
  <c r="AH199" i="3"/>
  <c r="AH135" i="3"/>
  <c r="AH72" i="3"/>
  <c r="AH89" i="3"/>
  <c r="AH91" i="3"/>
  <c r="AH142" i="3"/>
  <c r="AH47" i="3"/>
  <c r="AH29" i="3"/>
  <c r="AH57" i="3"/>
  <c r="AH150" i="3"/>
  <c r="AH36" i="3"/>
  <c r="AH200" i="3"/>
  <c r="AH201" i="3"/>
  <c r="AH42" i="3"/>
  <c r="AH202" i="3"/>
  <c r="AH203" i="3"/>
  <c r="AH204" i="3"/>
  <c r="AH205" i="3"/>
  <c r="AH206" i="3"/>
  <c r="AH207" i="3"/>
  <c r="AH97" i="3"/>
  <c r="AH238" i="3"/>
  <c r="AH73" i="3"/>
  <c r="AH64" i="3"/>
  <c r="AH50" i="3"/>
  <c r="AH208" i="3"/>
  <c r="AH209" i="3"/>
  <c r="Z10" i="3"/>
  <c r="Y10" i="3"/>
  <c r="AK10" i="3"/>
  <c r="AJ10" i="3"/>
  <c r="AG11" i="3"/>
  <c r="CF112" i="3" l="1"/>
  <c r="CG112" i="3" s="1"/>
  <c r="CF115" i="3"/>
  <c r="CG115" i="3" s="1"/>
  <c r="CF209" i="3"/>
  <c r="CG209" i="3" s="1"/>
  <c r="CF208" i="3"/>
  <c r="CG208" i="3" s="1"/>
  <c r="CF50" i="3"/>
  <c r="CG50" i="3" s="1"/>
  <c r="CF64" i="3"/>
  <c r="CG64" i="3" s="1"/>
  <c r="CF73" i="3"/>
  <c r="CG73" i="3" s="1"/>
  <c r="CF238" i="3"/>
  <c r="CG238" i="3" s="1"/>
  <c r="CF97" i="3"/>
  <c r="CG97" i="3" s="1"/>
  <c r="CF207" i="3"/>
  <c r="CG207" i="3" s="1"/>
  <c r="CF206" i="3"/>
  <c r="CG206" i="3" s="1"/>
  <c r="CF205" i="3"/>
  <c r="CG205" i="3" s="1"/>
  <c r="CF204" i="3"/>
  <c r="CG204" i="3" s="1"/>
  <c r="CF203" i="3"/>
  <c r="CG203" i="3" s="1"/>
  <c r="CF202" i="3"/>
  <c r="CG202" i="3" s="1"/>
  <c r="CF42" i="3"/>
  <c r="CG42" i="3" s="1"/>
  <c r="CF201" i="3"/>
  <c r="CG201" i="3" s="1"/>
  <c r="CF200" i="3"/>
  <c r="CG200" i="3" s="1"/>
  <c r="CF36" i="3"/>
  <c r="CG36" i="3" s="1"/>
  <c r="CF150" i="3"/>
  <c r="CG150" i="3" s="1"/>
  <c r="CF57" i="3"/>
  <c r="CG57" i="3" s="1"/>
  <c r="CF29" i="3"/>
  <c r="CG29" i="3" s="1"/>
  <c r="CF47" i="3"/>
  <c r="CG47" i="3" s="1"/>
  <c r="CF142" i="3"/>
  <c r="CG142" i="3" s="1"/>
  <c r="CF91" i="3"/>
  <c r="CG91" i="3" s="1"/>
  <c r="CF89" i="3"/>
  <c r="CG89" i="3" s="1"/>
  <c r="CF72" i="3"/>
  <c r="CG72" i="3" s="1"/>
  <c r="CF135" i="3"/>
  <c r="CG135" i="3" s="1"/>
  <c r="CF199" i="3"/>
  <c r="CG199" i="3" s="1"/>
  <c r="CF93" i="3"/>
  <c r="CG93" i="3" s="1"/>
  <c r="CF43" i="3"/>
  <c r="CG43" i="3" s="1"/>
  <c r="CF34" i="3"/>
  <c r="CG34" i="3" s="1"/>
  <c r="CF136" i="3"/>
  <c r="CG136" i="3" s="1"/>
  <c r="CF39" i="3"/>
  <c r="CG39" i="3" s="1"/>
  <c r="CF198" i="3"/>
  <c r="CG198" i="3" s="1"/>
  <c r="CF68" i="3"/>
  <c r="CG68" i="3" s="1"/>
  <c r="CF216" i="3"/>
  <c r="CG216" i="3" s="1"/>
  <c r="CF46" i="3"/>
  <c r="CG46" i="3" s="1"/>
  <c r="CF80" i="3"/>
  <c r="CG80" i="3" s="1"/>
  <c r="CF215" i="3"/>
  <c r="CG215" i="3" s="1"/>
  <c r="CF75" i="3"/>
  <c r="CG75" i="3" s="1"/>
  <c r="CF171" i="3"/>
  <c r="CG171" i="3" s="1"/>
  <c r="CF31" i="3"/>
  <c r="CG31" i="3" s="1"/>
  <c r="CF169" i="3"/>
  <c r="CG169" i="3" s="1"/>
  <c r="CF148" i="3"/>
  <c r="CG148" i="3" s="1"/>
  <c r="CF237" i="3"/>
  <c r="CG237" i="3" s="1"/>
  <c r="CF122" i="3"/>
  <c r="CG122" i="3" s="1"/>
  <c r="CF105" i="3"/>
  <c r="CG105" i="3" s="1"/>
  <c r="CF66" i="3"/>
  <c r="CG66" i="3" s="1"/>
  <c r="CF125" i="3"/>
  <c r="CG125" i="3" s="1"/>
  <c r="CF236" i="3"/>
  <c r="CG236" i="3" s="1"/>
  <c r="CF160" i="3"/>
  <c r="CG160" i="3" s="1"/>
  <c r="CF144" i="3"/>
  <c r="CG144" i="3" s="1"/>
  <c r="CF235" i="3"/>
  <c r="CG235" i="3" s="1"/>
  <c r="CF162" i="3"/>
  <c r="CG162" i="3" s="1"/>
  <c r="CF177" i="3"/>
  <c r="CG177" i="3" s="1"/>
  <c r="CF98" i="3"/>
  <c r="CG98" i="3" s="1"/>
  <c r="CF234" i="3"/>
  <c r="CG234" i="3" s="1"/>
  <c r="CF79" i="3"/>
  <c r="CG79" i="3" s="1"/>
  <c r="CF25" i="3"/>
  <c r="CG25" i="3" s="1"/>
  <c r="CF20" i="3"/>
  <c r="CG20" i="3" s="1"/>
  <c r="CF40" i="3"/>
  <c r="CG40" i="3" s="1"/>
  <c r="CF26" i="3"/>
  <c r="CG26" i="3" s="1"/>
  <c r="CF87" i="3"/>
  <c r="CG87" i="3" s="1"/>
  <c r="CF152" i="3"/>
  <c r="CG152" i="3" s="1"/>
  <c r="CF197" i="3"/>
  <c r="CF96" i="3"/>
  <c r="CG96" i="3" s="1"/>
  <c r="CF90" i="3"/>
  <c r="CG90" i="3" s="1"/>
  <c r="CF12" i="3"/>
  <c r="CG12" i="3" s="1"/>
  <c r="CF196" i="3"/>
  <c r="CF74" i="3"/>
  <c r="CG74" i="3" s="1"/>
  <c r="CF23" i="3"/>
  <c r="CG23" i="3" s="1"/>
  <c r="CF195" i="3"/>
  <c r="CG195" i="3" s="1"/>
  <c r="CF166" i="3"/>
  <c r="CG166" i="3" s="1"/>
  <c r="CF194" i="3"/>
  <c r="CG194" i="3" s="1"/>
  <c r="CF193" i="3"/>
  <c r="CG193" i="3" s="1"/>
  <c r="CF113" i="3"/>
  <c r="CG113" i="3" s="1"/>
  <c r="CF233" i="3"/>
  <c r="CG233" i="3" s="1"/>
  <c r="CF180" i="3"/>
  <c r="CG180" i="3" s="1"/>
  <c r="CF179" i="3"/>
  <c r="CG179" i="3" s="1"/>
  <c r="CF192" i="3"/>
  <c r="CG192" i="3" s="1"/>
  <c r="CF41" i="3"/>
  <c r="CG41" i="3" s="1"/>
  <c r="CF176" i="3"/>
  <c r="CG176" i="3" s="1"/>
  <c r="CF232" i="3"/>
  <c r="CG232" i="3" s="1"/>
  <c r="CF33" i="3"/>
  <c r="CG33" i="3" s="1"/>
  <c r="CF214" i="3"/>
  <c r="CG214" i="3" s="1"/>
  <c r="CF103" i="3"/>
  <c r="CG103" i="3" s="1"/>
  <c r="CF71" i="3"/>
  <c r="CG71" i="3" s="1"/>
  <c r="CF67" i="3"/>
  <c r="CG67" i="3" s="1"/>
  <c r="CF164" i="3"/>
  <c r="CG164" i="3" s="1"/>
  <c r="CF168" i="3"/>
  <c r="CG168" i="3" s="1"/>
  <c r="CF153" i="3"/>
  <c r="CG153" i="3" s="1"/>
  <c r="CF139" i="3"/>
  <c r="CG139" i="3" s="1"/>
  <c r="CF60" i="3"/>
  <c r="CG60" i="3" s="1"/>
  <c r="CF53" i="3"/>
  <c r="CG53" i="3" s="1"/>
  <c r="CF231" i="3"/>
  <c r="CG231" i="3" s="1"/>
  <c r="CF84" i="3"/>
  <c r="CG84" i="3" s="1"/>
  <c r="CF191" i="3"/>
  <c r="CG191" i="3" s="1"/>
  <c r="CF58" i="3"/>
  <c r="CG58" i="3" s="1"/>
  <c r="CF147" i="3"/>
  <c r="CG147" i="3" s="1"/>
  <c r="CF14" i="3"/>
  <c r="CG14" i="3" s="1"/>
  <c r="CF161" i="3"/>
  <c r="CG161" i="3" s="1"/>
  <c r="CF138" i="3"/>
  <c r="CG138" i="3" s="1"/>
  <c r="CF159" i="3"/>
  <c r="CG159" i="3" s="1"/>
  <c r="CF190" i="3"/>
  <c r="CG190" i="3" s="1"/>
  <c r="CF132" i="3"/>
  <c r="CG132" i="3" s="1"/>
  <c r="CF163" i="3"/>
  <c r="CG163" i="3" s="1"/>
  <c r="CF30" i="3"/>
  <c r="CG30" i="3" s="1"/>
  <c r="CF118" i="3"/>
  <c r="CG118" i="3" s="1"/>
  <c r="CF230" i="3"/>
  <c r="CG230" i="3" s="1"/>
  <c r="CF81" i="3"/>
  <c r="CG81" i="3" s="1"/>
  <c r="CF189" i="3"/>
  <c r="CG189" i="3" s="1"/>
  <c r="CF221" i="3"/>
  <c r="CG221" i="3" s="1"/>
  <c r="CF70" i="3"/>
  <c r="CG70" i="3" s="1"/>
  <c r="CF21" i="3"/>
  <c r="CG21" i="3" s="1"/>
  <c r="CF69" i="3"/>
  <c r="CG69" i="3" s="1"/>
  <c r="CF56" i="3"/>
  <c r="CG56" i="3" s="1"/>
  <c r="CF83" i="3"/>
  <c r="CG83" i="3" s="1"/>
  <c r="CF86" i="3"/>
  <c r="CG86" i="3" s="1"/>
  <c r="CF220" i="3"/>
  <c r="CG220" i="3" s="1"/>
  <c r="CF108" i="3"/>
  <c r="CG108" i="3" s="1"/>
  <c r="CF77" i="3"/>
  <c r="CG77" i="3" s="1"/>
  <c r="CF78" i="3"/>
  <c r="CG78" i="3" s="1"/>
  <c r="CF172" i="3"/>
  <c r="CG172" i="3" s="1"/>
  <c r="CF213" i="3"/>
  <c r="CG213" i="3" s="1"/>
  <c r="CF219" i="3"/>
  <c r="CG219" i="3" s="1"/>
  <c r="CF16" i="3"/>
  <c r="CG16" i="3" s="1"/>
  <c r="CF13" i="3"/>
  <c r="CG13" i="3" s="1"/>
  <c r="CF106" i="3"/>
  <c r="CG106" i="3" s="1"/>
  <c r="CF178" i="3"/>
  <c r="CG178" i="3" s="1"/>
  <c r="CF129" i="3"/>
  <c r="CG129" i="3" s="1"/>
  <c r="CF229" i="3"/>
  <c r="CG229" i="3" s="1"/>
  <c r="CF27" i="3"/>
  <c r="CG27" i="3" s="1"/>
  <c r="CF107" i="3"/>
  <c r="CG107" i="3" s="1"/>
  <c r="CF49" i="3"/>
  <c r="CG49" i="3" s="1"/>
  <c r="CF140" i="3"/>
  <c r="CG140" i="3" s="1"/>
  <c r="CF32" i="3"/>
  <c r="CG32" i="3" s="1"/>
  <c r="CF38" i="3"/>
  <c r="CG38" i="3" s="1"/>
  <c r="CF120" i="3"/>
  <c r="CG120" i="3" s="1"/>
  <c r="CF170" i="3"/>
  <c r="CG170" i="3" s="1"/>
  <c r="CF228" i="3"/>
  <c r="CG228" i="3" s="1"/>
  <c r="CF137" i="3"/>
  <c r="CG137" i="3" s="1"/>
  <c r="CF44" i="3"/>
  <c r="CG44" i="3" s="1"/>
  <c r="CF212" i="3"/>
  <c r="CG212" i="3" s="1"/>
  <c r="CF28" i="3"/>
  <c r="CG28" i="3" s="1"/>
  <c r="CF22" i="3"/>
  <c r="CG22" i="3" s="1"/>
  <c r="CF218" i="3"/>
  <c r="CG218" i="3" s="1"/>
  <c r="CF59" i="3"/>
  <c r="CG59" i="3" s="1"/>
  <c r="CF63" i="3"/>
  <c r="CG63" i="3" s="1"/>
  <c r="CF217" i="3"/>
  <c r="CG217" i="3" s="1"/>
  <c r="CF156" i="3"/>
  <c r="CG156" i="3" s="1"/>
  <c r="CF174" i="3"/>
  <c r="CG174" i="3" s="1"/>
  <c r="CF119" i="3"/>
  <c r="CG119" i="3" s="1"/>
  <c r="CF149" i="3"/>
  <c r="CG149" i="3" s="1"/>
  <c r="CF227" i="3"/>
  <c r="CG227" i="3" s="1"/>
  <c r="CF92" i="3"/>
  <c r="CG92" i="3" s="1"/>
  <c r="CF102" i="3"/>
  <c r="CG102" i="3" s="1"/>
  <c r="CF143" i="3"/>
  <c r="CG143" i="3" s="1"/>
  <c r="CF167" i="3"/>
  <c r="CG167" i="3" s="1"/>
  <c r="CF95" i="3"/>
  <c r="CG95" i="3" s="1"/>
  <c r="CF151" i="3"/>
  <c r="CG151" i="3" s="1"/>
  <c r="CF126" i="3"/>
  <c r="CG126" i="3" s="1"/>
  <c r="CF165" i="3"/>
  <c r="CG165" i="3" s="1"/>
  <c r="CF101" i="3"/>
  <c r="CG101" i="3" s="1"/>
  <c r="CF88" i="3"/>
  <c r="CG88" i="3" s="1"/>
  <c r="CF141" i="3"/>
  <c r="CG141" i="3" s="1"/>
  <c r="CF173" i="3"/>
  <c r="CG173" i="3" s="1"/>
  <c r="CF94" i="3"/>
  <c r="CG94" i="3" s="1"/>
  <c r="CF145" i="3"/>
  <c r="CG145" i="3" s="1"/>
  <c r="CF128" i="3"/>
  <c r="CG128" i="3" s="1"/>
  <c r="CF117" i="3"/>
  <c r="CG117" i="3" s="1"/>
  <c r="CF114" i="3"/>
  <c r="CG114" i="3" s="1"/>
  <c r="CF109" i="3"/>
  <c r="CG109" i="3" s="1"/>
  <c r="CF116" i="3"/>
  <c r="CG116" i="3" s="1"/>
  <c r="CF121" i="3"/>
  <c r="CG121" i="3" s="1"/>
  <c r="CF99" i="3"/>
  <c r="CG99" i="3" s="1"/>
  <c r="CF124" i="3"/>
  <c r="CG124" i="3" s="1"/>
  <c r="CF35" i="3"/>
  <c r="CG35" i="3" s="1"/>
  <c r="CF226" i="3"/>
  <c r="CG226" i="3" s="1"/>
  <c r="CF85" i="3"/>
  <c r="CG85" i="3" s="1"/>
  <c r="CF154" i="3"/>
  <c r="CG154" i="3" s="1"/>
  <c r="CF55" i="3"/>
  <c r="CG55" i="3" s="1"/>
  <c r="CF123" i="3"/>
  <c r="CG123" i="3" s="1"/>
  <c r="CF65" i="3"/>
  <c r="CG65" i="3" s="1"/>
  <c r="CF61" i="3"/>
  <c r="CG61" i="3" s="1"/>
  <c r="CF155" i="3"/>
  <c r="CG155" i="3" s="1"/>
  <c r="CF158" i="3"/>
  <c r="CG158" i="3" s="1"/>
  <c r="CF24" i="3"/>
  <c r="CG24" i="3" s="1"/>
  <c r="CF188" i="3"/>
  <c r="CG188" i="3" s="1"/>
  <c r="CF76" i="3"/>
  <c r="CG76" i="3" s="1"/>
  <c r="CF111" i="3"/>
  <c r="CG111" i="3" s="1"/>
  <c r="CF100" i="3"/>
  <c r="CG100" i="3" s="1"/>
  <c r="CF134" i="3"/>
  <c r="CG134" i="3" s="1"/>
  <c r="CF17" i="3"/>
  <c r="CG17" i="3" s="1"/>
  <c r="CF18" i="3"/>
  <c r="CG18" i="3" s="1"/>
  <c r="CF52" i="3"/>
  <c r="CG52" i="3" s="1"/>
  <c r="CF187" i="3"/>
  <c r="CG187" i="3" s="1"/>
  <c r="CF130" i="3"/>
  <c r="CG130" i="3" s="1"/>
  <c r="CF82" i="3"/>
  <c r="CG82" i="3" s="1"/>
  <c r="CF157" i="3"/>
  <c r="CG157" i="3" s="1"/>
  <c r="CF225" i="3"/>
  <c r="CG225" i="3" s="1"/>
  <c r="CF62" i="3"/>
  <c r="CG62" i="3" s="1"/>
  <c r="CF45" i="3"/>
  <c r="CG45" i="3" s="1"/>
  <c r="CF146" i="3"/>
  <c r="CG146" i="3" s="1"/>
  <c r="CF15" i="3"/>
  <c r="CG15" i="3" s="1"/>
  <c r="CF127" i="3"/>
  <c r="CG127" i="3" s="1"/>
  <c r="CF51" i="3"/>
  <c r="CG51" i="3" s="1"/>
  <c r="CF224" i="3"/>
  <c r="CG224" i="3" s="1"/>
  <c r="CF223" i="3"/>
  <c r="CG223" i="3" s="1"/>
  <c r="CF131" i="3"/>
  <c r="CG131" i="3" s="1"/>
  <c r="CF48" i="3"/>
  <c r="CG48" i="3" s="1"/>
  <c r="CF175" i="3"/>
  <c r="CG175" i="3" s="1"/>
  <c r="CF104" i="3"/>
  <c r="CG104" i="3" s="1"/>
  <c r="CF133" i="3"/>
  <c r="CG133" i="3" s="1"/>
  <c r="CF186" i="3"/>
  <c r="CG186" i="3" s="1"/>
  <c r="AF197" i="3"/>
  <c r="AE197" i="3"/>
  <c r="AE196" i="3"/>
  <c r="AF196" i="3"/>
  <c r="AE11" i="3"/>
  <c r="CG197" i="3" l="1"/>
  <c r="CG196" i="3"/>
  <c r="DR136" i="3"/>
  <c r="DS136" i="3" s="1"/>
  <c r="DT136" i="3" s="1"/>
  <c r="DU136" i="3" s="1"/>
  <c r="DV136" i="3" s="1"/>
  <c r="DW136" i="3" s="1"/>
  <c r="DX136" i="3" s="1"/>
  <c r="DY136" i="3" s="1"/>
  <c r="DZ136" i="3" s="1"/>
  <c r="EA136" i="3" s="1"/>
  <c r="EB136" i="3" s="1"/>
  <c r="EC136" i="3" s="1"/>
  <c r="DP136" i="3"/>
  <c r="DR39" i="3"/>
  <c r="DS39" i="3" s="1"/>
  <c r="DT39" i="3" s="1"/>
  <c r="DU39" i="3" s="1"/>
  <c r="DV39" i="3" s="1"/>
  <c r="DW39" i="3" s="1"/>
  <c r="DR198" i="3"/>
  <c r="DS198" i="3" s="1"/>
  <c r="DT198" i="3" s="1"/>
  <c r="DU198" i="3" s="1"/>
  <c r="DV198" i="3" s="1"/>
  <c r="DW198" i="3" s="1"/>
  <c r="DX198" i="3" s="1"/>
  <c r="DY198" i="3" s="1"/>
  <c r="DZ198" i="3" s="1"/>
  <c r="EA198" i="3" s="1"/>
  <c r="EB198" i="3" s="1"/>
  <c r="EC198" i="3" s="1"/>
  <c r="ED198" i="3" s="1"/>
  <c r="DP198" i="3"/>
  <c r="DQ198" i="3" s="1"/>
  <c r="DR68" i="3"/>
  <c r="DS68" i="3" s="1"/>
  <c r="DT68" i="3" s="1"/>
  <c r="DU68" i="3" s="1"/>
  <c r="DV68" i="3" s="1"/>
  <c r="DW68" i="3" s="1"/>
  <c r="DX68" i="3" s="1"/>
  <c r="DY68" i="3" s="1"/>
  <c r="DZ68" i="3" s="1"/>
  <c r="EA68" i="3" s="1"/>
  <c r="EB68" i="3" s="1"/>
  <c r="EC68" i="3" s="1"/>
  <c r="ED68" i="3" s="1"/>
  <c r="DP68" i="3"/>
  <c r="DQ68" i="3" s="1"/>
  <c r="DR216" i="3"/>
  <c r="DS216" i="3" s="1"/>
  <c r="DT216" i="3" s="1"/>
  <c r="DU216" i="3" s="1"/>
  <c r="DV216" i="3" s="1"/>
  <c r="DW216" i="3" s="1"/>
  <c r="DX216" i="3" s="1"/>
  <c r="DY216" i="3" s="1"/>
  <c r="DZ216" i="3" s="1"/>
  <c r="EA216" i="3" s="1"/>
  <c r="EB216" i="3" s="1"/>
  <c r="EC216" i="3" s="1"/>
  <c r="ED216" i="3" s="1"/>
  <c r="DP216" i="3"/>
  <c r="DQ216" i="3" s="1"/>
  <c r="DR46" i="3"/>
  <c r="DS46" i="3" s="1"/>
  <c r="DT46" i="3" s="1"/>
  <c r="DU46" i="3" s="1"/>
  <c r="DV46" i="3" s="1"/>
  <c r="DW46" i="3" s="1"/>
  <c r="DR80" i="3"/>
  <c r="DS80" i="3" s="1"/>
  <c r="DT80" i="3" s="1"/>
  <c r="DU80" i="3" s="1"/>
  <c r="DV80" i="3" s="1"/>
  <c r="DW80" i="3" s="1"/>
  <c r="DX80" i="3" s="1"/>
  <c r="DY80" i="3" s="1"/>
  <c r="DZ80" i="3" s="1"/>
  <c r="EA80" i="3" s="1"/>
  <c r="EB80" i="3" s="1"/>
  <c r="EC80" i="3" s="1"/>
  <c r="DP80" i="3"/>
  <c r="DR215" i="3"/>
  <c r="DS215" i="3" s="1"/>
  <c r="DT215" i="3" s="1"/>
  <c r="DU215" i="3" s="1"/>
  <c r="DV215" i="3" s="1"/>
  <c r="DW215" i="3" s="1"/>
  <c r="DX215" i="3" s="1"/>
  <c r="DY215" i="3" s="1"/>
  <c r="DZ215" i="3" s="1"/>
  <c r="EA215" i="3" s="1"/>
  <c r="EB215" i="3" s="1"/>
  <c r="EC215" i="3" s="1"/>
  <c r="ED215" i="3" s="1"/>
  <c r="DP215" i="3"/>
  <c r="DQ215" i="3" s="1"/>
  <c r="DR75" i="3"/>
  <c r="DS75" i="3" s="1"/>
  <c r="DT75" i="3" s="1"/>
  <c r="DU75" i="3" s="1"/>
  <c r="DV75" i="3" s="1"/>
  <c r="DW75" i="3" s="1"/>
  <c r="DX75" i="3" s="1"/>
  <c r="DY75" i="3" s="1"/>
  <c r="DZ75" i="3" s="1"/>
  <c r="EA75" i="3" s="1"/>
  <c r="EB75" i="3" s="1"/>
  <c r="EC75" i="3" s="1"/>
  <c r="DP75" i="3"/>
  <c r="DR171" i="3"/>
  <c r="DS171" i="3" s="1"/>
  <c r="DR31" i="3"/>
  <c r="DS31" i="3" s="1"/>
  <c r="DT31" i="3" s="1"/>
  <c r="DU31" i="3" s="1"/>
  <c r="DV31" i="3" s="1"/>
  <c r="DW31" i="3" s="1"/>
  <c r="DX31" i="3" s="1"/>
  <c r="DY31" i="3" s="1"/>
  <c r="DZ31" i="3" s="1"/>
  <c r="EA31" i="3" s="1"/>
  <c r="EB31" i="3" s="1"/>
  <c r="EC31" i="3" s="1"/>
  <c r="DP31" i="3"/>
  <c r="DR169" i="3"/>
  <c r="DS169" i="3" s="1"/>
  <c r="DT169" i="3" s="1"/>
  <c r="DU169" i="3" s="1"/>
  <c r="DV169" i="3" s="1"/>
  <c r="DW169" i="3" s="1"/>
  <c r="DX169" i="3" s="1"/>
  <c r="DY169" i="3" s="1"/>
  <c r="DZ169" i="3" s="1"/>
  <c r="EA169" i="3" s="1"/>
  <c r="EB169" i="3" s="1"/>
  <c r="EC169" i="3" s="1"/>
  <c r="DP169" i="3"/>
  <c r="DR148" i="3"/>
  <c r="DS148" i="3" s="1"/>
  <c r="DT148" i="3" s="1"/>
  <c r="DU148" i="3" s="1"/>
  <c r="DV148" i="3" s="1"/>
  <c r="DW148" i="3" s="1"/>
  <c r="DX148" i="3" s="1"/>
  <c r="DY148" i="3" s="1"/>
  <c r="DZ148" i="3" s="1"/>
  <c r="EA148" i="3" s="1"/>
  <c r="EB148" i="3" s="1"/>
  <c r="EC148" i="3" s="1"/>
  <c r="DP148" i="3"/>
  <c r="DR237" i="3"/>
  <c r="DS237" i="3" s="1"/>
  <c r="DT237" i="3" s="1"/>
  <c r="DR122" i="3"/>
  <c r="DS122" i="3" s="1"/>
  <c r="DT122" i="3" s="1"/>
  <c r="DU122" i="3" s="1"/>
  <c r="DV122" i="3" s="1"/>
  <c r="DW122" i="3" s="1"/>
  <c r="DX122" i="3" s="1"/>
  <c r="DY122" i="3" s="1"/>
  <c r="DZ122" i="3" s="1"/>
  <c r="EA122" i="3" s="1"/>
  <c r="EB122" i="3" s="1"/>
  <c r="EC122" i="3" s="1"/>
  <c r="DP122" i="3"/>
  <c r="DR105" i="3"/>
  <c r="DS105" i="3" s="1"/>
  <c r="DT105" i="3" s="1"/>
  <c r="DU105" i="3" s="1"/>
  <c r="DV105" i="3" s="1"/>
  <c r="DW105" i="3" s="1"/>
  <c r="DX105" i="3" s="1"/>
  <c r="DY105" i="3" s="1"/>
  <c r="DZ105" i="3" s="1"/>
  <c r="EA105" i="3" s="1"/>
  <c r="EB105" i="3" s="1"/>
  <c r="EC105" i="3" s="1"/>
  <c r="DP105" i="3"/>
  <c r="DR66" i="3"/>
  <c r="DS66" i="3" s="1"/>
  <c r="DT66" i="3" s="1"/>
  <c r="DU66" i="3" s="1"/>
  <c r="DV66" i="3" s="1"/>
  <c r="DW66" i="3" s="1"/>
  <c r="DX66" i="3" s="1"/>
  <c r="DY66" i="3" s="1"/>
  <c r="DZ66" i="3" s="1"/>
  <c r="EA66" i="3" s="1"/>
  <c r="EB66" i="3" s="1"/>
  <c r="EC66" i="3" s="1"/>
  <c r="DP66" i="3"/>
  <c r="DR125" i="3"/>
  <c r="DS125" i="3" s="1"/>
  <c r="DT125" i="3" s="1"/>
  <c r="DU125" i="3" s="1"/>
  <c r="DV125" i="3" s="1"/>
  <c r="DW125" i="3" s="1"/>
  <c r="DX125" i="3" s="1"/>
  <c r="DY125" i="3" s="1"/>
  <c r="DZ125" i="3" s="1"/>
  <c r="EA125" i="3" s="1"/>
  <c r="EB125" i="3" s="1"/>
  <c r="EC125" i="3" s="1"/>
  <c r="ED125" i="3" s="1"/>
  <c r="DP125" i="3"/>
  <c r="DQ125" i="3" s="1"/>
  <c r="DR236" i="3"/>
  <c r="DS236" i="3" s="1"/>
  <c r="DT236" i="3" s="1"/>
  <c r="DU236" i="3" s="1"/>
  <c r="DV236" i="3" s="1"/>
  <c r="DW236" i="3" s="1"/>
  <c r="DX236" i="3" s="1"/>
  <c r="DY236" i="3" s="1"/>
  <c r="DZ236" i="3" s="1"/>
  <c r="EA236" i="3" s="1"/>
  <c r="EB236" i="3" s="1"/>
  <c r="EC236" i="3" s="1"/>
  <c r="DP236" i="3"/>
  <c r="DR160" i="3"/>
  <c r="DS160" i="3" s="1"/>
  <c r="DT160" i="3" s="1"/>
  <c r="DU160" i="3" s="1"/>
  <c r="DV160" i="3" s="1"/>
  <c r="DW160" i="3" s="1"/>
  <c r="DX160" i="3" s="1"/>
  <c r="DY160" i="3" s="1"/>
  <c r="DZ160" i="3" s="1"/>
  <c r="EA160" i="3" s="1"/>
  <c r="EB160" i="3" s="1"/>
  <c r="EC160" i="3" s="1"/>
  <c r="DP160" i="3"/>
  <c r="DR144" i="3"/>
  <c r="DS144" i="3" s="1"/>
  <c r="DT144" i="3" s="1"/>
  <c r="DU144" i="3" s="1"/>
  <c r="DV144" i="3" s="1"/>
  <c r="DW144" i="3" s="1"/>
  <c r="DX144" i="3" s="1"/>
  <c r="DY144" i="3" s="1"/>
  <c r="DZ144" i="3" s="1"/>
  <c r="EA144" i="3" s="1"/>
  <c r="EB144" i="3" s="1"/>
  <c r="EC144" i="3" s="1"/>
  <c r="DP144" i="3"/>
  <c r="DR235" i="3"/>
  <c r="DS235" i="3" s="1"/>
  <c r="DT235" i="3" s="1"/>
  <c r="DU235" i="3" s="1"/>
  <c r="DV235" i="3" s="1"/>
  <c r="DW235" i="3" s="1"/>
  <c r="DX235" i="3" s="1"/>
  <c r="DR162" i="3"/>
  <c r="DS162" i="3" s="1"/>
  <c r="DT162" i="3" s="1"/>
  <c r="DU162" i="3" s="1"/>
  <c r="DV162" i="3" s="1"/>
  <c r="DW162" i="3" s="1"/>
  <c r="DX162" i="3" s="1"/>
  <c r="DY162" i="3" s="1"/>
  <c r="DZ162" i="3" s="1"/>
  <c r="EA162" i="3" s="1"/>
  <c r="EB162" i="3" s="1"/>
  <c r="EC162" i="3" s="1"/>
  <c r="DP162" i="3"/>
  <c r="DR177" i="3"/>
  <c r="DS177" i="3" s="1"/>
  <c r="DT177" i="3" s="1"/>
  <c r="DU177" i="3" s="1"/>
  <c r="DV177" i="3" s="1"/>
  <c r="DW177" i="3" s="1"/>
  <c r="DX177" i="3" s="1"/>
  <c r="DY177" i="3" s="1"/>
  <c r="DZ177" i="3" s="1"/>
  <c r="EA177" i="3" s="1"/>
  <c r="EB177" i="3" s="1"/>
  <c r="EC177" i="3" s="1"/>
  <c r="DP177" i="3"/>
  <c r="DR98" i="3"/>
  <c r="DS98" i="3" s="1"/>
  <c r="DT98" i="3" s="1"/>
  <c r="DR234" i="3"/>
  <c r="DS234" i="3" s="1"/>
  <c r="DT234" i="3" s="1"/>
  <c r="DU234" i="3" s="1"/>
  <c r="DV234" i="3" s="1"/>
  <c r="DW234" i="3" s="1"/>
  <c r="DX234" i="3" s="1"/>
  <c r="DY234" i="3" s="1"/>
  <c r="DZ234" i="3" s="1"/>
  <c r="EA234" i="3" s="1"/>
  <c r="EB234" i="3" s="1"/>
  <c r="EC234" i="3" s="1"/>
  <c r="ED234" i="3" s="1"/>
  <c r="DP234" i="3"/>
  <c r="DQ234" i="3" s="1"/>
  <c r="DR79" i="3"/>
  <c r="DS79" i="3" s="1"/>
  <c r="DT79" i="3" s="1"/>
  <c r="DU79" i="3" s="1"/>
  <c r="DV79" i="3" s="1"/>
  <c r="DW79" i="3" s="1"/>
  <c r="DX79" i="3" s="1"/>
  <c r="DY79" i="3" s="1"/>
  <c r="DZ79" i="3" s="1"/>
  <c r="EA79" i="3" s="1"/>
  <c r="EB79" i="3" s="1"/>
  <c r="EC79" i="3" s="1"/>
  <c r="DP79" i="3"/>
  <c r="DR25" i="3"/>
  <c r="DS25" i="3" s="1"/>
  <c r="DT25" i="3" s="1"/>
  <c r="DU25" i="3" s="1"/>
  <c r="DV25" i="3" s="1"/>
  <c r="DW25" i="3" s="1"/>
  <c r="DX25" i="3" s="1"/>
  <c r="DY25" i="3" s="1"/>
  <c r="DZ25" i="3" s="1"/>
  <c r="EA25" i="3" s="1"/>
  <c r="DR20" i="3"/>
  <c r="DS20" i="3" s="1"/>
  <c r="DT20" i="3" s="1"/>
  <c r="DU20" i="3" s="1"/>
  <c r="DV20" i="3" s="1"/>
  <c r="DW20" i="3" s="1"/>
  <c r="DR40" i="3"/>
  <c r="DS40" i="3" s="1"/>
  <c r="DT40" i="3" s="1"/>
  <c r="DU40" i="3" s="1"/>
  <c r="DV40" i="3" s="1"/>
  <c r="DW40" i="3" s="1"/>
  <c r="DX40" i="3" s="1"/>
  <c r="DY40" i="3" s="1"/>
  <c r="DZ40" i="3" s="1"/>
  <c r="EA40" i="3" s="1"/>
  <c r="EB40" i="3" s="1"/>
  <c r="EC40" i="3" s="1"/>
  <c r="DP40" i="3"/>
  <c r="DR26" i="3"/>
  <c r="DS26" i="3" s="1"/>
  <c r="DT26" i="3" s="1"/>
  <c r="DU26" i="3" s="1"/>
  <c r="DV26" i="3" s="1"/>
  <c r="DW26" i="3" s="1"/>
  <c r="DX26" i="3" s="1"/>
  <c r="DY26" i="3" s="1"/>
  <c r="DZ26" i="3" s="1"/>
  <c r="EA26" i="3" s="1"/>
  <c r="EB26" i="3" s="1"/>
  <c r="EC26" i="3" s="1"/>
  <c r="DP26" i="3"/>
  <c r="DR87" i="3"/>
  <c r="DS87" i="3" s="1"/>
  <c r="DT87" i="3" s="1"/>
  <c r="DU87" i="3" s="1"/>
  <c r="DV87" i="3" s="1"/>
  <c r="DW87" i="3" s="1"/>
  <c r="DX87" i="3" s="1"/>
  <c r="DY87" i="3" s="1"/>
  <c r="DZ87" i="3" s="1"/>
  <c r="EA87" i="3" s="1"/>
  <c r="EB87" i="3" s="1"/>
  <c r="EC87" i="3" s="1"/>
  <c r="DP87" i="3"/>
  <c r="DR152" i="3"/>
  <c r="DS152" i="3" s="1"/>
  <c r="DT152" i="3" s="1"/>
  <c r="DU152" i="3" s="1"/>
  <c r="DV152" i="3" s="1"/>
  <c r="DW152" i="3" s="1"/>
  <c r="DX152" i="3" s="1"/>
  <c r="DY152" i="3" s="1"/>
  <c r="DZ152" i="3" s="1"/>
  <c r="EA152" i="3" s="1"/>
  <c r="EB152" i="3" s="1"/>
  <c r="EC152" i="3" s="1"/>
  <c r="DP152" i="3"/>
  <c r="DR197" i="3"/>
  <c r="DS197" i="3" s="1"/>
  <c r="DT197" i="3" s="1"/>
  <c r="DU197" i="3" s="1"/>
  <c r="DV197" i="3" s="1"/>
  <c r="DW197" i="3" s="1"/>
  <c r="DX197" i="3" s="1"/>
  <c r="DY197" i="3" s="1"/>
  <c r="DZ197" i="3" s="1"/>
  <c r="EA197" i="3" s="1"/>
  <c r="EB197" i="3" s="1"/>
  <c r="EC197" i="3" s="1"/>
  <c r="DP197" i="3"/>
  <c r="DR96" i="3"/>
  <c r="DS96" i="3" s="1"/>
  <c r="DT96" i="3" s="1"/>
  <c r="DU96" i="3" s="1"/>
  <c r="DV96" i="3" s="1"/>
  <c r="DW96" i="3" s="1"/>
  <c r="DX96" i="3" s="1"/>
  <c r="DY96" i="3" s="1"/>
  <c r="DZ96" i="3" s="1"/>
  <c r="EA96" i="3" s="1"/>
  <c r="EB96" i="3" s="1"/>
  <c r="EC96" i="3" s="1"/>
  <c r="DP96" i="3"/>
  <c r="DR90" i="3"/>
  <c r="DS90" i="3" s="1"/>
  <c r="DT90" i="3" s="1"/>
  <c r="DU90" i="3" s="1"/>
  <c r="DV90" i="3" s="1"/>
  <c r="DW90" i="3" s="1"/>
  <c r="DX90" i="3" s="1"/>
  <c r="DY90" i="3" s="1"/>
  <c r="DZ90" i="3" s="1"/>
  <c r="EA90" i="3" s="1"/>
  <c r="EB90" i="3" s="1"/>
  <c r="EC90" i="3" s="1"/>
  <c r="DP90" i="3"/>
  <c r="DR12" i="3"/>
  <c r="DR196" i="3"/>
  <c r="DS196" i="3" s="1"/>
  <c r="DT196" i="3" s="1"/>
  <c r="DU196" i="3" s="1"/>
  <c r="DV196" i="3" s="1"/>
  <c r="DW196" i="3" s="1"/>
  <c r="DX196" i="3" s="1"/>
  <c r="DY196" i="3" s="1"/>
  <c r="DZ196" i="3" s="1"/>
  <c r="EA196" i="3" s="1"/>
  <c r="EB196" i="3" s="1"/>
  <c r="EC196" i="3" s="1"/>
  <c r="DP196" i="3"/>
  <c r="DR74" i="3"/>
  <c r="DS74" i="3" s="1"/>
  <c r="DT74" i="3" s="1"/>
  <c r="DU74" i="3" s="1"/>
  <c r="DV74" i="3" s="1"/>
  <c r="DW74" i="3" s="1"/>
  <c r="DX74" i="3" s="1"/>
  <c r="DY74" i="3" s="1"/>
  <c r="DZ74" i="3" s="1"/>
  <c r="EA74" i="3" s="1"/>
  <c r="EB74" i="3" s="1"/>
  <c r="EC74" i="3" s="1"/>
  <c r="ED74" i="3" s="1"/>
  <c r="DP74" i="3"/>
  <c r="DQ74" i="3" s="1"/>
  <c r="DR23" i="3"/>
  <c r="DS23" i="3" s="1"/>
  <c r="DT23" i="3" s="1"/>
  <c r="DU23" i="3" s="1"/>
  <c r="DV23" i="3" s="1"/>
  <c r="DW23" i="3" s="1"/>
  <c r="DX23" i="3" s="1"/>
  <c r="DY23" i="3" s="1"/>
  <c r="DZ23" i="3" s="1"/>
  <c r="EA23" i="3" s="1"/>
  <c r="EB23" i="3" s="1"/>
  <c r="EC23" i="3" s="1"/>
  <c r="ED23" i="3" s="1"/>
  <c r="DP23" i="3"/>
  <c r="DQ23" i="3" s="1"/>
  <c r="DR195" i="3"/>
  <c r="DS195" i="3" s="1"/>
  <c r="DT195" i="3" s="1"/>
  <c r="DU195" i="3" s="1"/>
  <c r="DV195" i="3" s="1"/>
  <c r="DW195" i="3" s="1"/>
  <c r="DX195" i="3" s="1"/>
  <c r="DY195" i="3" s="1"/>
  <c r="DZ195" i="3" s="1"/>
  <c r="EA195" i="3" s="1"/>
  <c r="EB195" i="3" s="1"/>
  <c r="EC195" i="3" s="1"/>
  <c r="ED195" i="3" s="1"/>
  <c r="DP195" i="3"/>
  <c r="DQ195" i="3" s="1"/>
  <c r="DR166" i="3"/>
  <c r="DS166" i="3" s="1"/>
  <c r="DT166" i="3" s="1"/>
  <c r="DU166" i="3" s="1"/>
  <c r="DV166" i="3" s="1"/>
  <c r="DW166" i="3" s="1"/>
  <c r="DX166" i="3" s="1"/>
  <c r="DY166" i="3" s="1"/>
  <c r="DZ166" i="3" s="1"/>
  <c r="EA166" i="3" s="1"/>
  <c r="EB166" i="3" s="1"/>
  <c r="EC166" i="3" s="1"/>
  <c r="ED166" i="3" s="1"/>
  <c r="DP166" i="3"/>
  <c r="DQ166" i="3" s="1"/>
  <c r="DR194" i="3"/>
  <c r="DS194" i="3" s="1"/>
  <c r="DT194" i="3" s="1"/>
  <c r="DU194" i="3" s="1"/>
  <c r="DV194" i="3" s="1"/>
  <c r="DW194" i="3" s="1"/>
  <c r="DX194" i="3" s="1"/>
  <c r="DY194" i="3" s="1"/>
  <c r="DZ194" i="3" s="1"/>
  <c r="EA194" i="3" s="1"/>
  <c r="EB194" i="3" s="1"/>
  <c r="EC194" i="3" s="1"/>
  <c r="ED194" i="3" s="1"/>
  <c r="DP194" i="3"/>
  <c r="DQ194" i="3" s="1"/>
  <c r="DR193" i="3"/>
  <c r="DS193" i="3" s="1"/>
  <c r="DT193" i="3" s="1"/>
  <c r="DU193" i="3" s="1"/>
  <c r="DV193" i="3" s="1"/>
  <c r="DW193" i="3" s="1"/>
  <c r="DX193" i="3" s="1"/>
  <c r="DY193" i="3" s="1"/>
  <c r="DZ193" i="3" s="1"/>
  <c r="EA193" i="3" s="1"/>
  <c r="EB193" i="3" s="1"/>
  <c r="EC193" i="3" s="1"/>
  <c r="ED193" i="3" s="1"/>
  <c r="DP193" i="3"/>
  <c r="DQ193" i="3" s="1"/>
  <c r="DR113" i="3"/>
  <c r="DS113" i="3" s="1"/>
  <c r="DR233" i="3"/>
  <c r="DS233" i="3" s="1"/>
  <c r="DT233" i="3" s="1"/>
  <c r="DU233" i="3" s="1"/>
  <c r="DV233" i="3" s="1"/>
  <c r="DW233" i="3" s="1"/>
  <c r="DX233" i="3" s="1"/>
  <c r="DY233" i="3" s="1"/>
  <c r="DZ233" i="3" s="1"/>
  <c r="EA233" i="3" s="1"/>
  <c r="EB233" i="3" s="1"/>
  <c r="EC233" i="3" s="1"/>
  <c r="ED233" i="3" s="1"/>
  <c r="DP233" i="3"/>
  <c r="DQ233" i="3" s="1"/>
  <c r="DR180" i="3"/>
  <c r="DS180" i="3" s="1"/>
  <c r="DT180" i="3" s="1"/>
  <c r="DU180" i="3" s="1"/>
  <c r="DV180" i="3" s="1"/>
  <c r="DW180" i="3" s="1"/>
  <c r="DX180" i="3" s="1"/>
  <c r="DY180" i="3" s="1"/>
  <c r="DZ180" i="3" s="1"/>
  <c r="EA180" i="3" s="1"/>
  <c r="EB180" i="3" s="1"/>
  <c r="EC180" i="3" s="1"/>
  <c r="ED180" i="3" s="1"/>
  <c r="DP180" i="3"/>
  <c r="DQ180" i="3" s="1"/>
  <c r="DR179" i="3"/>
  <c r="DS179" i="3" s="1"/>
  <c r="DT179" i="3" s="1"/>
  <c r="DU179" i="3" s="1"/>
  <c r="DV179" i="3" s="1"/>
  <c r="DW179" i="3" s="1"/>
  <c r="DX179" i="3" s="1"/>
  <c r="DY179" i="3" s="1"/>
  <c r="DZ179" i="3" s="1"/>
  <c r="EA179" i="3" s="1"/>
  <c r="EB179" i="3" s="1"/>
  <c r="EC179" i="3" s="1"/>
  <c r="ED179" i="3" s="1"/>
  <c r="DP179" i="3"/>
  <c r="DQ179" i="3" s="1"/>
  <c r="DR192" i="3"/>
  <c r="DS192" i="3" s="1"/>
  <c r="DT192" i="3" s="1"/>
  <c r="DU192" i="3" s="1"/>
  <c r="DV192" i="3" s="1"/>
  <c r="DW192" i="3" s="1"/>
  <c r="DX192" i="3" s="1"/>
  <c r="DY192" i="3" s="1"/>
  <c r="DZ192" i="3" s="1"/>
  <c r="EA192" i="3" s="1"/>
  <c r="EB192" i="3" s="1"/>
  <c r="EC192" i="3" s="1"/>
  <c r="ED192" i="3" s="1"/>
  <c r="DP192" i="3"/>
  <c r="DQ192" i="3" s="1"/>
  <c r="DR41" i="3"/>
  <c r="DS41" i="3" s="1"/>
  <c r="DT41" i="3" s="1"/>
  <c r="DU41" i="3" s="1"/>
  <c r="DV41" i="3" s="1"/>
  <c r="DW41" i="3" s="1"/>
  <c r="DX41" i="3" s="1"/>
  <c r="DY41" i="3" s="1"/>
  <c r="DZ41" i="3" s="1"/>
  <c r="EA41" i="3" s="1"/>
  <c r="EB41" i="3" s="1"/>
  <c r="EC41" i="3" s="1"/>
  <c r="ED41" i="3" s="1"/>
  <c r="DP41" i="3"/>
  <c r="DQ41" i="3" s="1"/>
  <c r="DR176" i="3"/>
  <c r="DS176" i="3" s="1"/>
  <c r="DT176" i="3" s="1"/>
  <c r="DU176" i="3" s="1"/>
  <c r="DV176" i="3" s="1"/>
  <c r="DW176" i="3" s="1"/>
  <c r="DX176" i="3" s="1"/>
  <c r="DY176" i="3" s="1"/>
  <c r="DZ176" i="3" s="1"/>
  <c r="EA176" i="3" s="1"/>
  <c r="EB176" i="3" s="1"/>
  <c r="EC176" i="3" s="1"/>
  <c r="ED176" i="3" s="1"/>
  <c r="DP176" i="3"/>
  <c r="DQ176" i="3" s="1"/>
  <c r="DR232" i="3"/>
  <c r="DS232" i="3" s="1"/>
  <c r="DT232" i="3" s="1"/>
  <c r="DU232" i="3" s="1"/>
  <c r="DV232" i="3" s="1"/>
  <c r="DW232" i="3" s="1"/>
  <c r="DX232" i="3" s="1"/>
  <c r="DY232" i="3" s="1"/>
  <c r="DZ232" i="3" s="1"/>
  <c r="EA232" i="3" s="1"/>
  <c r="EB232" i="3" s="1"/>
  <c r="EC232" i="3" s="1"/>
  <c r="ED232" i="3" s="1"/>
  <c r="DP232" i="3"/>
  <c r="DQ232" i="3" s="1"/>
  <c r="DR33" i="3"/>
  <c r="DS33" i="3" s="1"/>
  <c r="DT33" i="3" s="1"/>
  <c r="DU33" i="3" s="1"/>
  <c r="DV33" i="3" s="1"/>
  <c r="DW33" i="3" s="1"/>
  <c r="DX33" i="3" s="1"/>
  <c r="DY33" i="3" s="1"/>
  <c r="DZ33" i="3" s="1"/>
  <c r="EA33" i="3" s="1"/>
  <c r="EB33" i="3" s="1"/>
  <c r="EC33" i="3" s="1"/>
  <c r="ED33" i="3" s="1"/>
  <c r="DP33" i="3"/>
  <c r="DQ33" i="3" s="1"/>
  <c r="DR214" i="3"/>
  <c r="DS214" i="3" s="1"/>
  <c r="DT214" i="3" s="1"/>
  <c r="DU214" i="3" s="1"/>
  <c r="DV214" i="3" s="1"/>
  <c r="DW214" i="3" s="1"/>
  <c r="DX214" i="3" s="1"/>
  <c r="DY214" i="3" s="1"/>
  <c r="DZ214" i="3" s="1"/>
  <c r="EA214" i="3" s="1"/>
  <c r="EB214" i="3" s="1"/>
  <c r="EC214" i="3" s="1"/>
  <c r="ED214" i="3" s="1"/>
  <c r="DP214" i="3"/>
  <c r="DQ214" i="3" s="1"/>
  <c r="DR103" i="3"/>
  <c r="DS103" i="3" s="1"/>
  <c r="DT103" i="3" s="1"/>
  <c r="DU103" i="3" s="1"/>
  <c r="DV103" i="3" s="1"/>
  <c r="DW103" i="3" s="1"/>
  <c r="DX103" i="3" s="1"/>
  <c r="DY103" i="3" s="1"/>
  <c r="DZ103" i="3" s="1"/>
  <c r="EA103" i="3" s="1"/>
  <c r="EB103" i="3" s="1"/>
  <c r="DR71" i="3"/>
  <c r="DS71" i="3" s="1"/>
  <c r="DT71" i="3" s="1"/>
  <c r="DU71" i="3" s="1"/>
  <c r="DV71" i="3" s="1"/>
  <c r="DW71" i="3" s="1"/>
  <c r="DX71" i="3" s="1"/>
  <c r="DY71" i="3" s="1"/>
  <c r="DZ71" i="3" s="1"/>
  <c r="DR67" i="3"/>
  <c r="DS67" i="3" s="1"/>
  <c r="DT67" i="3" s="1"/>
  <c r="DU67" i="3" s="1"/>
  <c r="DV67" i="3" s="1"/>
  <c r="DW67" i="3" s="1"/>
  <c r="DX67" i="3" s="1"/>
  <c r="DY67" i="3" s="1"/>
  <c r="DZ67" i="3" s="1"/>
  <c r="DR164" i="3"/>
  <c r="DS164" i="3" s="1"/>
  <c r="DT164" i="3" s="1"/>
  <c r="DU164" i="3" s="1"/>
  <c r="DV164" i="3" s="1"/>
  <c r="DW164" i="3" s="1"/>
  <c r="DX164" i="3" s="1"/>
  <c r="DY164" i="3" s="1"/>
  <c r="DZ164" i="3" s="1"/>
  <c r="EA164" i="3" s="1"/>
  <c r="EB164" i="3" s="1"/>
  <c r="EC164" i="3" s="1"/>
  <c r="DP164" i="3"/>
  <c r="DR168" i="3"/>
  <c r="DS168" i="3" s="1"/>
  <c r="DT168" i="3" s="1"/>
  <c r="DU168" i="3" s="1"/>
  <c r="DV168" i="3" s="1"/>
  <c r="DW168" i="3" s="1"/>
  <c r="DX168" i="3" s="1"/>
  <c r="DY168" i="3" s="1"/>
  <c r="DZ168" i="3" s="1"/>
  <c r="EA168" i="3" s="1"/>
  <c r="EB168" i="3" s="1"/>
  <c r="EC168" i="3" s="1"/>
  <c r="DP168" i="3"/>
  <c r="DR153" i="3"/>
  <c r="DS153" i="3" s="1"/>
  <c r="DT153" i="3" s="1"/>
  <c r="DU153" i="3" s="1"/>
  <c r="DV153" i="3" s="1"/>
  <c r="DW153" i="3" s="1"/>
  <c r="DX153" i="3" s="1"/>
  <c r="DY153" i="3" s="1"/>
  <c r="DZ153" i="3" s="1"/>
  <c r="EA153" i="3" s="1"/>
  <c r="EB153" i="3" s="1"/>
  <c r="EC153" i="3" s="1"/>
  <c r="DP153" i="3"/>
  <c r="DR139" i="3"/>
  <c r="DS139" i="3" s="1"/>
  <c r="DT139" i="3" s="1"/>
  <c r="DU139" i="3" s="1"/>
  <c r="DV139" i="3" s="1"/>
  <c r="DW139" i="3" s="1"/>
  <c r="DX139" i="3" s="1"/>
  <c r="DY139" i="3" s="1"/>
  <c r="DZ139" i="3" s="1"/>
  <c r="EA139" i="3" s="1"/>
  <c r="EB139" i="3" s="1"/>
  <c r="EC139" i="3" s="1"/>
  <c r="DP139" i="3"/>
  <c r="DR60" i="3"/>
  <c r="DS60" i="3" s="1"/>
  <c r="DT60" i="3" s="1"/>
  <c r="DU60" i="3" s="1"/>
  <c r="DV60" i="3" s="1"/>
  <c r="DW60" i="3" s="1"/>
  <c r="DX60" i="3" s="1"/>
  <c r="DY60" i="3" s="1"/>
  <c r="DZ60" i="3" s="1"/>
  <c r="EA60" i="3" s="1"/>
  <c r="EB60" i="3" s="1"/>
  <c r="EC60" i="3" s="1"/>
  <c r="DP60" i="3"/>
  <c r="DR53" i="3"/>
  <c r="DS53" i="3" s="1"/>
  <c r="DT53" i="3" s="1"/>
  <c r="DU53" i="3" s="1"/>
  <c r="DV53" i="3" s="1"/>
  <c r="DW53" i="3" s="1"/>
  <c r="DX53" i="3" s="1"/>
  <c r="DY53" i="3" s="1"/>
  <c r="DZ53" i="3" s="1"/>
  <c r="EA53" i="3" s="1"/>
  <c r="EB53" i="3" s="1"/>
  <c r="EC53" i="3" s="1"/>
  <c r="DP53" i="3"/>
  <c r="DR231" i="3"/>
  <c r="DS231" i="3" s="1"/>
  <c r="DT231" i="3" s="1"/>
  <c r="DU231" i="3" s="1"/>
  <c r="DV231" i="3" s="1"/>
  <c r="DW231" i="3" s="1"/>
  <c r="DX231" i="3" s="1"/>
  <c r="DY231" i="3" s="1"/>
  <c r="DZ231" i="3" s="1"/>
  <c r="EA231" i="3" s="1"/>
  <c r="EB231" i="3" s="1"/>
  <c r="EC231" i="3" s="1"/>
  <c r="DP231" i="3"/>
  <c r="DR84" i="3"/>
  <c r="DS84" i="3" s="1"/>
  <c r="DT84" i="3" s="1"/>
  <c r="DU84" i="3" s="1"/>
  <c r="DV84" i="3" s="1"/>
  <c r="DW84" i="3" s="1"/>
  <c r="DX84" i="3" s="1"/>
  <c r="DY84" i="3" s="1"/>
  <c r="DZ84" i="3" s="1"/>
  <c r="EA84" i="3" s="1"/>
  <c r="EB84" i="3" s="1"/>
  <c r="DR191" i="3"/>
  <c r="DS191" i="3" s="1"/>
  <c r="DT191" i="3" s="1"/>
  <c r="DU191" i="3" s="1"/>
  <c r="DV191" i="3" s="1"/>
  <c r="DW191" i="3" s="1"/>
  <c r="DX191" i="3" s="1"/>
  <c r="DY191" i="3" s="1"/>
  <c r="DZ191" i="3" s="1"/>
  <c r="EA191" i="3" s="1"/>
  <c r="EB191" i="3" s="1"/>
  <c r="EC191" i="3" s="1"/>
  <c r="DP191" i="3"/>
  <c r="DR58" i="3"/>
  <c r="DS58" i="3" s="1"/>
  <c r="DT58" i="3" s="1"/>
  <c r="DU58" i="3" s="1"/>
  <c r="DV58" i="3" s="1"/>
  <c r="DW58" i="3" s="1"/>
  <c r="DX58" i="3" s="1"/>
  <c r="DY58" i="3" s="1"/>
  <c r="DZ58" i="3" s="1"/>
  <c r="EA58" i="3" s="1"/>
  <c r="EB58" i="3" s="1"/>
  <c r="EC58" i="3" s="1"/>
  <c r="DP58" i="3"/>
  <c r="DR147" i="3"/>
  <c r="DS147" i="3" s="1"/>
  <c r="DT147" i="3" s="1"/>
  <c r="DU147" i="3" s="1"/>
  <c r="DV147" i="3" s="1"/>
  <c r="DW147" i="3" s="1"/>
  <c r="DX147" i="3" s="1"/>
  <c r="DY147" i="3" s="1"/>
  <c r="DZ147" i="3" s="1"/>
  <c r="EA147" i="3" s="1"/>
  <c r="EB147" i="3" s="1"/>
  <c r="EC147" i="3" s="1"/>
  <c r="DP147" i="3"/>
  <c r="DR14" i="3"/>
  <c r="DS14" i="3" s="1"/>
  <c r="DT14" i="3" s="1"/>
  <c r="DU14" i="3" s="1"/>
  <c r="DV14" i="3" s="1"/>
  <c r="DW14" i="3" s="1"/>
  <c r="DX14" i="3" s="1"/>
  <c r="DY14" i="3" s="1"/>
  <c r="DZ14" i="3" s="1"/>
  <c r="EA14" i="3" s="1"/>
  <c r="EB14" i="3" s="1"/>
  <c r="EC14" i="3" s="1"/>
  <c r="DP14" i="3"/>
  <c r="DR161" i="3"/>
  <c r="DS161" i="3" s="1"/>
  <c r="DT161" i="3" s="1"/>
  <c r="DU161" i="3" s="1"/>
  <c r="DV161" i="3" s="1"/>
  <c r="DW161" i="3" s="1"/>
  <c r="DX161" i="3" s="1"/>
  <c r="DY161" i="3" s="1"/>
  <c r="DZ161" i="3" s="1"/>
  <c r="EA161" i="3" s="1"/>
  <c r="EB161" i="3" s="1"/>
  <c r="EC161" i="3" s="1"/>
  <c r="DP161" i="3"/>
  <c r="DR138" i="3"/>
  <c r="DS138" i="3" s="1"/>
  <c r="DT138" i="3" s="1"/>
  <c r="DU138" i="3" s="1"/>
  <c r="DV138" i="3" s="1"/>
  <c r="DW138" i="3" s="1"/>
  <c r="DX138" i="3" s="1"/>
  <c r="DY138" i="3" s="1"/>
  <c r="DZ138" i="3" s="1"/>
  <c r="EA138" i="3" s="1"/>
  <c r="EB138" i="3" s="1"/>
  <c r="EC138" i="3" s="1"/>
  <c r="DP138" i="3"/>
  <c r="DR159" i="3"/>
  <c r="DS159" i="3" s="1"/>
  <c r="DT159" i="3" s="1"/>
  <c r="DU159" i="3" s="1"/>
  <c r="DV159" i="3" s="1"/>
  <c r="DW159" i="3" s="1"/>
  <c r="DX159" i="3" s="1"/>
  <c r="DY159" i="3" s="1"/>
  <c r="DZ159" i="3" s="1"/>
  <c r="EA159" i="3" s="1"/>
  <c r="EB159" i="3" s="1"/>
  <c r="EC159" i="3" s="1"/>
  <c r="DP159" i="3"/>
  <c r="DR190" i="3"/>
  <c r="DS190" i="3" s="1"/>
  <c r="DT190" i="3" s="1"/>
  <c r="DU190" i="3" s="1"/>
  <c r="DV190" i="3" s="1"/>
  <c r="DW190" i="3" s="1"/>
  <c r="DX190" i="3" s="1"/>
  <c r="DY190" i="3" s="1"/>
  <c r="DZ190" i="3" s="1"/>
  <c r="EA190" i="3" s="1"/>
  <c r="EB190" i="3" s="1"/>
  <c r="EC190" i="3" s="1"/>
  <c r="DP190" i="3"/>
  <c r="DR132" i="3"/>
  <c r="DS132" i="3" s="1"/>
  <c r="DT132" i="3" s="1"/>
  <c r="DU132" i="3" s="1"/>
  <c r="DV132" i="3" s="1"/>
  <c r="DW132" i="3" s="1"/>
  <c r="DX132" i="3" s="1"/>
  <c r="DY132" i="3" s="1"/>
  <c r="DZ132" i="3" s="1"/>
  <c r="EA132" i="3" s="1"/>
  <c r="EB132" i="3" s="1"/>
  <c r="EC132" i="3" s="1"/>
  <c r="DP132" i="3"/>
  <c r="DR163" i="3"/>
  <c r="DS163" i="3" s="1"/>
  <c r="DT163" i="3" s="1"/>
  <c r="DU163" i="3" s="1"/>
  <c r="DV163" i="3" s="1"/>
  <c r="DW163" i="3" s="1"/>
  <c r="DX163" i="3" s="1"/>
  <c r="DY163" i="3" s="1"/>
  <c r="DZ163" i="3" s="1"/>
  <c r="EA163" i="3" s="1"/>
  <c r="EB163" i="3" s="1"/>
  <c r="EC163" i="3" s="1"/>
  <c r="DP163" i="3"/>
  <c r="DR30" i="3"/>
  <c r="DS30" i="3" s="1"/>
  <c r="DT30" i="3" s="1"/>
  <c r="DU30" i="3" s="1"/>
  <c r="DV30" i="3" s="1"/>
  <c r="DW30" i="3" s="1"/>
  <c r="DX30" i="3" s="1"/>
  <c r="DY30" i="3" s="1"/>
  <c r="DZ30" i="3" s="1"/>
  <c r="EA30" i="3" s="1"/>
  <c r="EB30" i="3" s="1"/>
  <c r="EC30" i="3" s="1"/>
  <c r="DP30" i="3"/>
  <c r="DR118" i="3"/>
  <c r="DS118" i="3" s="1"/>
  <c r="DT118" i="3" s="1"/>
  <c r="DU118" i="3" s="1"/>
  <c r="DV118" i="3" s="1"/>
  <c r="DW118" i="3" s="1"/>
  <c r="DX118" i="3" s="1"/>
  <c r="DY118" i="3" s="1"/>
  <c r="DZ118" i="3" s="1"/>
  <c r="EA118" i="3" s="1"/>
  <c r="EB118" i="3" s="1"/>
  <c r="EC118" i="3" s="1"/>
  <c r="DP118" i="3"/>
  <c r="DR230" i="3"/>
  <c r="DS230" i="3" s="1"/>
  <c r="DT230" i="3" s="1"/>
  <c r="DU230" i="3" s="1"/>
  <c r="DV230" i="3" s="1"/>
  <c r="DW230" i="3" s="1"/>
  <c r="DX230" i="3" s="1"/>
  <c r="DY230" i="3" s="1"/>
  <c r="DZ230" i="3" s="1"/>
  <c r="EA230" i="3" s="1"/>
  <c r="EB230" i="3" s="1"/>
  <c r="DR81" i="3"/>
  <c r="DS81" i="3" s="1"/>
  <c r="DT81" i="3" s="1"/>
  <c r="DU81" i="3" s="1"/>
  <c r="DV81" i="3" s="1"/>
  <c r="DW81" i="3" s="1"/>
  <c r="DX81" i="3" s="1"/>
  <c r="DY81" i="3" s="1"/>
  <c r="DZ81" i="3" s="1"/>
  <c r="EA81" i="3" s="1"/>
  <c r="EB81" i="3" s="1"/>
  <c r="EC81" i="3" s="1"/>
  <c r="DP81" i="3"/>
  <c r="DR189" i="3"/>
  <c r="DS189" i="3" s="1"/>
  <c r="DT189" i="3" s="1"/>
  <c r="DU189" i="3" s="1"/>
  <c r="DV189" i="3" s="1"/>
  <c r="DW189" i="3" s="1"/>
  <c r="DX189" i="3" s="1"/>
  <c r="DY189" i="3" s="1"/>
  <c r="DZ189" i="3" s="1"/>
  <c r="EA189" i="3" s="1"/>
  <c r="EB189" i="3" s="1"/>
  <c r="EC189" i="3" s="1"/>
  <c r="DP189" i="3"/>
  <c r="DR221" i="3"/>
  <c r="DS221" i="3" s="1"/>
  <c r="DT221" i="3" s="1"/>
  <c r="DU221" i="3" s="1"/>
  <c r="DV221" i="3" s="1"/>
  <c r="DW221" i="3" s="1"/>
  <c r="DX221" i="3" s="1"/>
  <c r="DY221" i="3" s="1"/>
  <c r="DZ221" i="3" s="1"/>
  <c r="EA221" i="3" s="1"/>
  <c r="DR70" i="3"/>
  <c r="DS70" i="3" s="1"/>
  <c r="DT70" i="3" s="1"/>
  <c r="DU70" i="3" s="1"/>
  <c r="DV70" i="3" s="1"/>
  <c r="DW70" i="3" s="1"/>
  <c r="DX70" i="3" s="1"/>
  <c r="DY70" i="3" s="1"/>
  <c r="DZ70" i="3" s="1"/>
  <c r="EA70" i="3" s="1"/>
  <c r="EB70" i="3" s="1"/>
  <c r="EC70" i="3" s="1"/>
  <c r="DP70" i="3"/>
  <c r="DR21" i="3"/>
  <c r="DS21" i="3" s="1"/>
  <c r="DT21" i="3" s="1"/>
  <c r="DU21" i="3" s="1"/>
  <c r="DV21" i="3" s="1"/>
  <c r="DW21" i="3" s="1"/>
  <c r="DR69" i="3"/>
  <c r="DS69" i="3" s="1"/>
  <c r="DT69" i="3" s="1"/>
  <c r="DU69" i="3" s="1"/>
  <c r="DV69" i="3" s="1"/>
  <c r="DW69" i="3" s="1"/>
  <c r="DX69" i="3" s="1"/>
  <c r="DY69" i="3" s="1"/>
  <c r="DZ69" i="3" s="1"/>
  <c r="DR56" i="3"/>
  <c r="DS56" i="3" s="1"/>
  <c r="DT56" i="3" s="1"/>
  <c r="DU56" i="3" s="1"/>
  <c r="DV56" i="3" s="1"/>
  <c r="DW56" i="3" s="1"/>
  <c r="DX56" i="3" s="1"/>
  <c r="DY56" i="3" s="1"/>
  <c r="DZ56" i="3" s="1"/>
  <c r="EA56" i="3" s="1"/>
  <c r="DR83" i="3"/>
  <c r="DS83" i="3" s="1"/>
  <c r="DR86" i="3"/>
  <c r="DS86" i="3" s="1"/>
  <c r="DT86" i="3" s="1"/>
  <c r="DU86" i="3" s="1"/>
  <c r="DV86" i="3" s="1"/>
  <c r="DW86" i="3" s="1"/>
  <c r="DX86" i="3" s="1"/>
  <c r="DY86" i="3" s="1"/>
  <c r="DZ86" i="3" s="1"/>
  <c r="DR220" i="3"/>
  <c r="DS220" i="3" s="1"/>
  <c r="DT220" i="3" s="1"/>
  <c r="DU220" i="3" s="1"/>
  <c r="DV220" i="3" s="1"/>
  <c r="DW220" i="3" s="1"/>
  <c r="DR108" i="3"/>
  <c r="DS108" i="3" s="1"/>
  <c r="DT108" i="3" s="1"/>
  <c r="DU108" i="3" s="1"/>
  <c r="DV108" i="3" s="1"/>
  <c r="DW108" i="3" s="1"/>
  <c r="DX108" i="3" s="1"/>
  <c r="DY108" i="3" s="1"/>
  <c r="DZ108" i="3" s="1"/>
  <c r="EA108" i="3" s="1"/>
  <c r="EB108" i="3" s="1"/>
  <c r="EC108" i="3" s="1"/>
  <c r="DP108" i="3"/>
  <c r="DR77" i="3"/>
  <c r="DS77" i="3" s="1"/>
  <c r="DT77" i="3" s="1"/>
  <c r="DU77" i="3" s="1"/>
  <c r="DV77" i="3" s="1"/>
  <c r="DW77" i="3" s="1"/>
  <c r="DX77" i="3" s="1"/>
  <c r="DR78" i="3"/>
  <c r="DS78" i="3" s="1"/>
  <c r="DR172" i="3"/>
  <c r="DS172" i="3" s="1"/>
  <c r="DT172" i="3" s="1"/>
  <c r="DU172" i="3" s="1"/>
  <c r="DV172" i="3" s="1"/>
  <c r="DW172" i="3" s="1"/>
  <c r="DR213" i="3"/>
  <c r="DS213" i="3" s="1"/>
  <c r="DT213" i="3" s="1"/>
  <c r="DU213" i="3" s="1"/>
  <c r="DV213" i="3" s="1"/>
  <c r="DW213" i="3" s="1"/>
  <c r="DX213" i="3" s="1"/>
  <c r="DY213" i="3" s="1"/>
  <c r="DZ213" i="3" s="1"/>
  <c r="EA213" i="3" s="1"/>
  <c r="EB213" i="3" s="1"/>
  <c r="EC213" i="3" s="1"/>
  <c r="ED213" i="3" s="1"/>
  <c r="DP213" i="3"/>
  <c r="DQ213" i="3" s="1"/>
  <c r="DR219" i="3"/>
  <c r="DS219" i="3" s="1"/>
  <c r="DT219" i="3" s="1"/>
  <c r="DR16" i="3"/>
  <c r="DS16" i="3" s="1"/>
  <c r="DT16" i="3" s="1"/>
  <c r="DU16" i="3" s="1"/>
  <c r="DV16" i="3" s="1"/>
  <c r="DW16" i="3" s="1"/>
  <c r="DR13" i="3"/>
  <c r="DS13" i="3" s="1"/>
  <c r="DT13" i="3" s="1"/>
  <c r="DU13" i="3" s="1"/>
  <c r="DV13" i="3" s="1"/>
  <c r="DW13" i="3" s="1"/>
  <c r="DR106" i="3"/>
  <c r="DS106" i="3" s="1"/>
  <c r="DT106" i="3" s="1"/>
  <c r="DU106" i="3" s="1"/>
  <c r="DV106" i="3" s="1"/>
  <c r="DW106" i="3" s="1"/>
  <c r="DX106" i="3" s="1"/>
  <c r="DY106" i="3" s="1"/>
  <c r="DZ106" i="3" s="1"/>
  <c r="EA106" i="3" s="1"/>
  <c r="EB106" i="3" s="1"/>
  <c r="EC106" i="3" s="1"/>
  <c r="DP106" i="3"/>
  <c r="DR178" i="3"/>
  <c r="DS178" i="3" s="1"/>
  <c r="DT178" i="3" s="1"/>
  <c r="DU178" i="3" s="1"/>
  <c r="DV178" i="3" s="1"/>
  <c r="DW178" i="3" s="1"/>
  <c r="DX178" i="3" s="1"/>
  <c r="DY178" i="3" s="1"/>
  <c r="DZ178" i="3" s="1"/>
  <c r="EA178" i="3" s="1"/>
  <c r="EB178" i="3" s="1"/>
  <c r="EC178" i="3" s="1"/>
  <c r="DP178" i="3"/>
  <c r="DR129" i="3"/>
  <c r="DS129" i="3" s="1"/>
  <c r="DT129" i="3" s="1"/>
  <c r="DU129" i="3" s="1"/>
  <c r="DV129" i="3" s="1"/>
  <c r="DW129" i="3" s="1"/>
  <c r="DX129" i="3" s="1"/>
  <c r="DY129" i="3" s="1"/>
  <c r="DZ129" i="3" s="1"/>
  <c r="EA129" i="3" s="1"/>
  <c r="EB129" i="3" s="1"/>
  <c r="EC129" i="3" s="1"/>
  <c r="DP129" i="3"/>
  <c r="DR229" i="3"/>
  <c r="DS229" i="3" s="1"/>
  <c r="DT229" i="3" s="1"/>
  <c r="DU229" i="3" s="1"/>
  <c r="DV229" i="3" s="1"/>
  <c r="DW229" i="3" s="1"/>
  <c r="DX229" i="3" s="1"/>
  <c r="DY229" i="3" s="1"/>
  <c r="DZ229" i="3" s="1"/>
  <c r="EA229" i="3" s="1"/>
  <c r="EB229" i="3" s="1"/>
  <c r="EC229" i="3" s="1"/>
  <c r="DP229" i="3"/>
  <c r="DR27" i="3"/>
  <c r="DS27" i="3" s="1"/>
  <c r="DT27" i="3" s="1"/>
  <c r="DU27" i="3" s="1"/>
  <c r="DV27" i="3" s="1"/>
  <c r="DW27" i="3" s="1"/>
  <c r="DX27" i="3" s="1"/>
  <c r="DY27" i="3" s="1"/>
  <c r="DZ27" i="3" s="1"/>
  <c r="EA27" i="3" s="1"/>
  <c r="EB27" i="3" s="1"/>
  <c r="EC27" i="3" s="1"/>
  <c r="DP27" i="3"/>
  <c r="DR107" i="3"/>
  <c r="DS107" i="3" s="1"/>
  <c r="DT107" i="3" s="1"/>
  <c r="DU107" i="3" s="1"/>
  <c r="DV107" i="3" s="1"/>
  <c r="DW107" i="3" s="1"/>
  <c r="DX107" i="3" s="1"/>
  <c r="DY107" i="3" s="1"/>
  <c r="DZ107" i="3" s="1"/>
  <c r="EA107" i="3" s="1"/>
  <c r="EB107" i="3" s="1"/>
  <c r="EC107" i="3" s="1"/>
  <c r="DP107" i="3"/>
  <c r="DR49" i="3"/>
  <c r="DS49" i="3" s="1"/>
  <c r="DT49" i="3" s="1"/>
  <c r="DU49" i="3" s="1"/>
  <c r="DV49" i="3" s="1"/>
  <c r="DW49" i="3" s="1"/>
  <c r="DX49" i="3" s="1"/>
  <c r="DY49" i="3" s="1"/>
  <c r="DZ49" i="3" s="1"/>
  <c r="EA49" i="3" s="1"/>
  <c r="EB49" i="3" s="1"/>
  <c r="EC49" i="3" s="1"/>
  <c r="DP49" i="3"/>
  <c r="DR140" i="3"/>
  <c r="DS140" i="3" s="1"/>
  <c r="DT140" i="3" s="1"/>
  <c r="DU140" i="3" s="1"/>
  <c r="DV140" i="3" s="1"/>
  <c r="DW140" i="3" s="1"/>
  <c r="DX140" i="3" s="1"/>
  <c r="DY140" i="3" s="1"/>
  <c r="DZ140" i="3" s="1"/>
  <c r="EA140" i="3" s="1"/>
  <c r="EB140" i="3" s="1"/>
  <c r="EC140" i="3" s="1"/>
  <c r="DP140" i="3"/>
  <c r="DR32" i="3"/>
  <c r="DS32" i="3" s="1"/>
  <c r="DT32" i="3" s="1"/>
  <c r="DU32" i="3" s="1"/>
  <c r="DV32" i="3" s="1"/>
  <c r="DW32" i="3" s="1"/>
  <c r="DX32" i="3" s="1"/>
  <c r="DY32" i="3" s="1"/>
  <c r="DZ32" i="3" s="1"/>
  <c r="EA32" i="3" s="1"/>
  <c r="EB32" i="3" s="1"/>
  <c r="EC32" i="3" s="1"/>
  <c r="DP32" i="3"/>
  <c r="DR38" i="3"/>
  <c r="DR120" i="3"/>
  <c r="DS120" i="3" s="1"/>
  <c r="DT120" i="3" s="1"/>
  <c r="DU120" i="3" s="1"/>
  <c r="DV120" i="3" s="1"/>
  <c r="DW120" i="3" s="1"/>
  <c r="DX120" i="3" s="1"/>
  <c r="DY120" i="3" s="1"/>
  <c r="DZ120" i="3" s="1"/>
  <c r="EA120" i="3" s="1"/>
  <c r="EB120" i="3" s="1"/>
  <c r="EC120" i="3" s="1"/>
  <c r="DP120" i="3"/>
  <c r="DR170" i="3"/>
  <c r="DS170" i="3" s="1"/>
  <c r="DT170" i="3" s="1"/>
  <c r="DU170" i="3" s="1"/>
  <c r="DV170" i="3" s="1"/>
  <c r="DW170" i="3" s="1"/>
  <c r="DX170" i="3" s="1"/>
  <c r="DY170" i="3" s="1"/>
  <c r="DZ170" i="3" s="1"/>
  <c r="EA170" i="3" s="1"/>
  <c r="EB170" i="3" s="1"/>
  <c r="EC170" i="3" s="1"/>
  <c r="DP170" i="3"/>
  <c r="DR228" i="3"/>
  <c r="DS228" i="3" s="1"/>
  <c r="DT228" i="3" s="1"/>
  <c r="DU228" i="3" s="1"/>
  <c r="DV228" i="3" s="1"/>
  <c r="DW228" i="3" s="1"/>
  <c r="DX228" i="3" s="1"/>
  <c r="DY228" i="3" s="1"/>
  <c r="DZ228" i="3" s="1"/>
  <c r="EA228" i="3" s="1"/>
  <c r="EB228" i="3" s="1"/>
  <c r="EC228" i="3" s="1"/>
  <c r="DP228" i="3"/>
  <c r="DR137" i="3"/>
  <c r="DS137" i="3" s="1"/>
  <c r="DT137" i="3" s="1"/>
  <c r="DU137" i="3" s="1"/>
  <c r="DV137" i="3" s="1"/>
  <c r="DW137" i="3" s="1"/>
  <c r="DX137" i="3" s="1"/>
  <c r="DY137" i="3" s="1"/>
  <c r="DZ137" i="3" s="1"/>
  <c r="EA137" i="3" s="1"/>
  <c r="EB137" i="3" s="1"/>
  <c r="EC137" i="3" s="1"/>
  <c r="DP137" i="3"/>
  <c r="DR44" i="3"/>
  <c r="DS44" i="3" s="1"/>
  <c r="DT44" i="3" s="1"/>
  <c r="DU44" i="3" s="1"/>
  <c r="DV44" i="3" s="1"/>
  <c r="DW44" i="3" s="1"/>
  <c r="DX44" i="3" s="1"/>
  <c r="DY44" i="3" s="1"/>
  <c r="DZ44" i="3" s="1"/>
  <c r="DR212" i="3"/>
  <c r="DS212" i="3" s="1"/>
  <c r="DT212" i="3" s="1"/>
  <c r="DU212" i="3" s="1"/>
  <c r="DV212" i="3" s="1"/>
  <c r="DW212" i="3" s="1"/>
  <c r="DX212" i="3" s="1"/>
  <c r="DY212" i="3" s="1"/>
  <c r="DZ212" i="3" s="1"/>
  <c r="EA212" i="3" s="1"/>
  <c r="EB212" i="3" s="1"/>
  <c r="EC212" i="3" s="1"/>
  <c r="ED212" i="3" s="1"/>
  <c r="DP212" i="3"/>
  <c r="DQ212" i="3" s="1"/>
  <c r="DR28" i="3"/>
  <c r="DS28" i="3" s="1"/>
  <c r="DT28" i="3" s="1"/>
  <c r="DU28" i="3" s="1"/>
  <c r="DV28" i="3" s="1"/>
  <c r="DW28" i="3" s="1"/>
  <c r="DX28" i="3" s="1"/>
  <c r="DY28" i="3" s="1"/>
  <c r="DZ28" i="3" s="1"/>
  <c r="EA28" i="3" s="1"/>
  <c r="EB28" i="3" s="1"/>
  <c r="EC28" i="3" s="1"/>
  <c r="DP28" i="3"/>
  <c r="DR22" i="3"/>
  <c r="DS22" i="3" s="1"/>
  <c r="DT22" i="3" s="1"/>
  <c r="DU22" i="3" s="1"/>
  <c r="DV22" i="3" s="1"/>
  <c r="DW22" i="3" s="1"/>
  <c r="DX22" i="3" s="1"/>
  <c r="DY22" i="3" s="1"/>
  <c r="DZ22" i="3" s="1"/>
  <c r="EA22" i="3" s="1"/>
  <c r="EB22" i="3" s="1"/>
  <c r="EC22" i="3" s="1"/>
  <c r="DP22" i="3"/>
  <c r="DR218" i="3"/>
  <c r="DS218" i="3" s="1"/>
  <c r="DT218" i="3" s="1"/>
  <c r="DU218" i="3" s="1"/>
  <c r="DV218" i="3" s="1"/>
  <c r="DW218" i="3" s="1"/>
  <c r="DX218" i="3" s="1"/>
  <c r="DY218" i="3" s="1"/>
  <c r="DZ218" i="3" s="1"/>
  <c r="EA218" i="3" s="1"/>
  <c r="EB218" i="3" s="1"/>
  <c r="EC218" i="3" s="1"/>
  <c r="DP218" i="3"/>
  <c r="DR59" i="3"/>
  <c r="DS59" i="3" s="1"/>
  <c r="DT59" i="3" s="1"/>
  <c r="DU59" i="3" s="1"/>
  <c r="DV59" i="3" s="1"/>
  <c r="DW59" i="3" s="1"/>
  <c r="DX59" i="3" s="1"/>
  <c r="DY59" i="3" s="1"/>
  <c r="DZ59" i="3" s="1"/>
  <c r="EA59" i="3" s="1"/>
  <c r="EB59" i="3" s="1"/>
  <c r="EC59" i="3" s="1"/>
  <c r="DP59" i="3"/>
  <c r="DR63" i="3"/>
  <c r="DS63" i="3" s="1"/>
  <c r="DT63" i="3" s="1"/>
  <c r="DU63" i="3" s="1"/>
  <c r="DV63" i="3" s="1"/>
  <c r="DW63" i="3" s="1"/>
  <c r="DX63" i="3" s="1"/>
  <c r="DY63" i="3" s="1"/>
  <c r="DZ63" i="3" s="1"/>
  <c r="EA63" i="3" s="1"/>
  <c r="EB63" i="3" s="1"/>
  <c r="EC63" i="3" s="1"/>
  <c r="DP63" i="3"/>
  <c r="DR217" i="3"/>
  <c r="DS217" i="3" s="1"/>
  <c r="DT217" i="3" s="1"/>
  <c r="DU217" i="3" s="1"/>
  <c r="DV217" i="3" s="1"/>
  <c r="DW217" i="3" s="1"/>
  <c r="DX217" i="3" s="1"/>
  <c r="DY217" i="3" s="1"/>
  <c r="DZ217" i="3" s="1"/>
  <c r="EA217" i="3" s="1"/>
  <c r="EB217" i="3" s="1"/>
  <c r="DR156" i="3"/>
  <c r="DS156" i="3" s="1"/>
  <c r="DT156" i="3" s="1"/>
  <c r="DU156" i="3" s="1"/>
  <c r="DV156" i="3" s="1"/>
  <c r="DW156" i="3" s="1"/>
  <c r="DX156" i="3" s="1"/>
  <c r="DY156" i="3" s="1"/>
  <c r="DZ156" i="3" s="1"/>
  <c r="EA156" i="3" s="1"/>
  <c r="EB156" i="3" s="1"/>
  <c r="EC156" i="3" s="1"/>
  <c r="DP156" i="3"/>
  <c r="DR174" i="3"/>
  <c r="DS174" i="3" s="1"/>
  <c r="DT174" i="3" s="1"/>
  <c r="DU174" i="3" s="1"/>
  <c r="DV174" i="3" s="1"/>
  <c r="DW174" i="3" s="1"/>
  <c r="DX174" i="3" s="1"/>
  <c r="DY174" i="3" s="1"/>
  <c r="DZ174" i="3" s="1"/>
  <c r="EA174" i="3" s="1"/>
  <c r="EB174" i="3" s="1"/>
  <c r="EC174" i="3" s="1"/>
  <c r="DP174" i="3"/>
  <c r="DR119" i="3"/>
  <c r="DS119" i="3" s="1"/>
  <c r="DT119" i="3" s="1"/>
  <c r="DU119" i="3" s="1"/>
  <c r="DV119" i="3" s="1"/>
  <c r="DW119" i="3" s="1"/>
  <c r="DX119" i="3" s="1"/>
  <c r="DY119" i="3" s="1"/>
  <c r="DZ119" i="3" s="1"/>
  <c r="EA119" i="3" s="1"/>
  <c r="EB119" i="3" s="1"/>
  <c r="EC119" i="3" s="1"/>
  <c r="DP119" i="3"/>
  <c r="DR149" i="3"/>
  <c r="DS149" i="3" s="1"/>
  <c r="DT149" i="3" s="1"/>
  <c r="DU149" i="3" s="1"/>
  <c r="DV149" i="3" s="1"/>
  <c r="DW149" i="3" s="1"/>
  <c r="DX149" i="3" s="1"/>
  <c r="DY149" i="3" s="1"/>
  <c r="DZ149" i="3" s="1"/>
  <c r="EA149" i="3" s="1"/>
  <c r="EB149" i="3" s="1"/>
  <c r="EC149" i="3" s="1"/>
  <c r="DP149" i="3"/>
  <c r="DR227" i="3"/>
  <c r="DS227" i="3" s="1"/>
  <c r="DT227" i="3" s="1"/>
  <c r="DU227" i="3" s="1"/>
  <c r="DV227" i="3" s="1"/>
  <c r="DW227" i="3" s="1"/>
  <c r="DX227" i="3" s="1"/>
  <c r="DY227" i="3" s="1"/>
  <c r="DZ227" i="3" s="1"/>
  <c r="EA227" i="3" s="1"/>
  <c r="EB227" i="3" s="1"/>
  <c r="EC227" i="3" s="1"/>
  <c r="DP227" i="3"/>
  <c r="DR92" i="3"/>
  <c r="DS92" i="3" s="1"/>
  <c r="DT92" i="3" s="1"/>
  <c r="DU92" i="3" s="1"/>
  <c r="DV92" i="3" s="1"/>
  <c r="DW92" i="3" s="1"/>
  <c r="DX92" i="3" s="1"/>
  <c r="DY92" i="3" s="1"/>
  <c r="DZ92" i="3" s="1"/>
  <c r="EA92" i="3" s="1"/>
  <c r="EB92" i="3" s="1"/>
  <c r="EC92" i="3" s="1"/>
  <c r="DP92" i="3"/>
  <c r="DR102" i="3"/>
  <c r="DS102" i="3" s="1"/>
  <c r="DT102" i="3" s="1"/>
  <c r="DU102" i="3" s="1"/>
  <c r="DV102" i="3" s="1"/>
  <c r="DW102" i="3" s="1"/>
  <c r="DX102" i="3" s="1"/>
  <c r="DY102" i="3" s="1"/>
  <c r="DZ102" i="3" s="1"/>
  <c r="EA102" i="3" s="1"/>
  <c r="EB102" i="3" s="1"/>
  <c r="EC102" i="3" s="1"/>
  <c r="DP102" i="3"/>
  <c r="DR143" i="3"/>
  <c r="DS143" i="3" s="1"/>
  <c r="DT143" i="3" s="1"/>
  <c r="DU143" i="3" s="1"/>
  <c r="DV143" i="3" s="1"/>
  <c r="DW143" i="3" s="1"/>
  <c r="DX143" i="3" s="1"/>
  <c r="DY143" i="3" s="1"/>
  <c r="DZ143" i="3" s="1"/>
  <c r="EA143" i="3" s="1"/>
  <c r="EB143" i="3" s="1"/>
  <c r="EC143" i="3" s="1"/>
  <c r="DP143" i="3"/>
  <c r="DR167" i="3"/>
  <c r="DS167" i="3" s="1"/>
  <c r="DT167" i="3" s="1"/>
  <c r="DU167" i="3" s="1"/>
  <c r="DV167" i="3" s="1"/>
  <c r="DW167" i="3" s="1"/>
  <c r="DX167" i="3" s="1"/>
  <c r="DY167" i="3" s="1"/>
  <c r="DZ167" i="3" s="1"/>
  <c r="EA167" i="3" s="1"/>
  <c r="EB167" i="3" s="1"/>
  <c r="EC167" i="3" s="1"/>
  <c r="DP167" i="3"/>
  <c r="DR95" i="3"/>
  <c r="DS95" i="3" s="1"/>
  <c r="DT95" i="3" s="1"/>
  <c r="DU95" i="3" s="1"/>
  <c r="DV95" i="3" s="1"/>
  <c r="DW95" i="3" s="1"/>
  <c r="DX95" i="3" s="1"/>
  <c r="DY95" i="3" s="1"/>
  <c r="DZ95" i="3" s="1"/>
  <c r="EA95" i="3" s="1"/>
  <c r="EB95" i="3" s="1"/>
  <c r="EC95" i="3" s="1"/>
  <c r="DP95" i="3"/>
  <c r="DR151" i="3"/>
  <c r="DS151" i="3" s="1"/>
  <c r="DT151" i="3" s="1"/>
  <c r="DU151" i="3" s="1"/>
  <c r="DV151" i="3" s="1"/>
  <c r="DW151" i="3" s="1"/>
  <c r="DX151" i="3" s="1"/>
  <c r="DY151" i="3" s="1"/>
  <c r="DZ151" i="3" s="1"/>
  <c r="EA151" i="3" s="1"/>
  <c r="EB151" i="3" s="1"/>
  <c r="EC151" i="3" s="1"/>
  <c r="DP151" i="3"/>
  <c r="DR126" i="3"/>
  <c r="DS126" i="3" s="1"/>
  <c r="DT126" i="3" s="1"/>
  <c r="DU126" i="3" s="1"/>
  <c r="DV126" i="3" s="1"/>
  <c r="DW126" i="3" s="1"/>
  <c r="DX126" i="3" s="1"/>
  <c r="DY126" i="3" s="1"/>
  <c r="DZ126" i="3" s="1"/>
  <c r="EA126" i="3" s="1"/>
  <c r="EB126" i="3" s="1"/>
  <c r="EC126" i="3" s="1"/>
  <c r="DP126" i="3"/>
  <c r="DR165" i="3"/>
  <c r="DS165" i="3" s="1"/>
  <c r="DT165" i="3" s="1"/>
  <c r="DU165" i="3" s="1"/>
  <c r="DV165" i="3" s="1"/>
  <c r="DW165" i="3" s="1"/>
  <c r="DX165" i="3" s="1"/>
  <c r="DY165" i="3" s="1"/>
  <c r="DZ165" i="3" s="1"/>
  <c r="EA165" i="3" s="1"/>
  <c r="EB165" i="3" s="1"/>
  <c r="EC165" i="3" s="1"/>
  <c r="DP165" i="3"/>
  <c r="DR101" i="3"/>
  <c r="DS101" i="3" s="1"/>
  <c r="DT101" i="3" s="1"/>
  <c r="DU101" i="3" s="1"/>
  <c r="DV101" i="3" s="1"/>
  <c r="DW101" i="3" s="1"/>
  <c r="DX101" i="3" s="1"/>
  <c r="DY101" i="3" s="1"/>
  <c r="DZ101" i="3" s="1"/>
  <c r="EA101" i="3" s="1"/>
  <c r="EB101" i="3" s="1"/>
  <c r="EC101" i="3" s="1"/>
  <c r="DP101" i="3"/>
  <c r="DR88" i="3"/>
  <c r="DS88" i="3" s="1"/>
  <c r="DT88" i="3" s="1"/>
  <c r="DU88" i="3" s="1"/>
  <c r="DV88" i="3" s="1"/>
  <c r="DW88" i="3" s="1"/>
  <c r="DX88" i="3" s="1"/>
  <c r="DY88" i="3" s="1"/>
  <c r="DZ88" i="3" s="1"/>
  <c r="EA88" i="3" s="1"/>
  <c r="EB88" i="3" s="1"/>
  <c r="EC88" i="3" s="1"/>
  <c r="DP88" i="3"/>
  <c r="DR141" i="3"/>
  <c r="DS141" i="3" s="1"/>
  <c r="DT141" i="3" s="1"/>
  <c r="DU141" i="3" s="1"/>
  <c r="DV141" i="3" s="1"/>
  <c r="DW141" i="3" s="1"/>
  <c r="DX141" i="3" s="1"/>
  <c r="DY141" i="3" s="1"/>
  <c r="DZ141" i="3" s="1"/>
  <c r="EA141" i="3" s="1"/>
  <c r="EB141" i="3" s="1"/>
  <c r="EC141" i="3" s="1"/>
  <c r="DP141" i="3"/>
  <c r="DR173" i="3"/>
  <c r="DS173" i="3" s="1"/>
  <c r="DT173" i="3" s="1"/>
  <c r="DU173" i="3" s="1"/>
  <c r="DV173" i="3" s="1"/>
  <c r="DW173" i="3" s="1"/>
  <c r="DX173" i="3" s="1"/>
  <c r="DY173" i="3" s="1"/>
  <c r="DZ173" i="3" s="1"/>
  <c r="EA173" i="3" s="1"/>
  <c r="EB173" i="3" s="1"/>
  <c r="EC173" i="3" s="1"/>
  <c r="DP173" i="3"/>
  <c r="DR94" i="3"/>
  <c r="DS94" i="3" s="1"/>
  <c r="DT94" i="3" s="1"/>
  <c r="DU94" i="3" s="1"/>
  <c r="DV94" i="3" s="1"/>
  <c r="DW94" i="3" s="1"/>
  <c r="DX94" i="3" s="1"/>
  <c r="DY94" i="3" s="1"/>
  <c r="DZ94" i="3" s="1"/>
  <c r="EA94" i="3" s="1"/>
  <c r="EB94" i="3" s="1"/>
  <c r="EC94" i="3" s="1"/>
  <c r="DP94" i="3"/>
  <c r="DR145" i="3"/>
  <c r="DS145" i="3" s="1"/>
  <c r="DT145" i="3" s="1"/>
  <c r="DU145" i="3" s="1"/>
  <c r="DV145" i="3" s="1"/>
  <c r="DW145" i="3" s="1"/>
  <c r="DX145" i="3" s="1"/>
  <c r="DY145" i="3" s="1"/>
  <c r="DZ145" i="3" s="1"/>
  <c r="EA145" i="3" s="1"/>
  <c r="EB145" i="3" s="1"/>
  <c r="EC145" i="3" s="1"/>
  <c r="DP145" i="3"/>
  <c r="DR128" i="3"/>
  <c r="DS128" i="3" s="1"/>
  <c r="DT128" i="3" s="1"/>
  <c r="DU128" i="3" s="1"/>
  <c r="DV128" i="3" s="1"/>
  <c r="DW128" i="3" s="1"/>
  <c r="DX128" i="3" s="1"/>
  <c r="DY128" i="3" s="1"/>
  <c r="DZ128" i="3" s="1"/>
  <c r="EA128" i="3" s="1"/>
  <c r="EB128" i="3" s="1"/>
  <c r="EC128" i="3" s="1"/>
  <c r="DP128" i="3"/>
  <c r="DR117" i="3"/>
  <c r="DS117" i="3" s="1"/>
  <c r="DT117" i="3" s="1"/>
  <c r="DU117" i="3" s="1"/>
  <c r="DV117" i="3" s="1"/>
  <c r="DW117" i="3" s="1"/>
  <c r="DX117" i="3" s="1"/>
  <c r="DY117" i="3" s="1"/>
  <c r="DZ117" i="3" s="1"/>
  <c r="EA117" i="3" s="1"/>
  <c r="EB117" i="3" s="1"/>
  <c r="EC117" i="3" s="1"/>
  <c r="DP117" i="3"/>
  <c r="DR114" i="3"/>
  <c r="DS114" i="3" s="1"/>
  <c r="DT114" i="3" s="1"/>
  <c r="DU114" i="3" s="1"/>
  <c r="DV114" i="3" s="1"/>
  <c r="DW114" i="3" s="1"/>
  <c r="DX114" i="3" s="1"/>
  <c r="DY114" i="3" s="1"/>
  <c r="DZ114" i="3" s="1"/>
  <c r="EA114" i="3" s="1"/>
  <c r="EB114" i="3" s="1"/>
  <c r="EC114" i="3" s="1"/>
  <c r="DP114" i="3"/>
  <c r="DR109" i="3"/>
  <c r="DS109" i="3" s="1"/>
  <c r="DR116" i="3"/>
  <c r="DS116" i="3" s="1"/>
  <c r="DT116" i="3" s="1"/>
  <c r="DU116" i="3" s="1"/>
  <c r="DV116" i="3" s="1"/>
  <c r="DW116" i="3" s="1"/>
  <c r="DX116" i="3" s="1"/>
  <c r="DY116" i="3" s="1"/>
  <c r="DZ116" i="3" s="1"/>
  <c r="EA116" i="3" s="1"/>
  <c r="EB116" i="3" s="1"/>
  <c r="EC116" i="3" s="1"/>
  <c r="DP116" i="3"/>
  <c r="DR121" i="3"/>
  <c r="DS121" i="3" s="1"/>
  <c r="DT121" i="3" s="1"/>
  <c r="DU121" i="3" s="1"/>
  <c r="DV121" i="3" s="1"/>
  <c r="DW121" i="3" s="1"/>
  <c r="DX121" i="3" s="1"/>
  <c r="DY121" i="3" s="1"/>
  <c r="DZ121" i="3" s="1"/>
  <c r="EA121" i="3" s="1"/>
  <c r="EB121" i="3" s="1"/>
  <c r="EC121" i="3" s="1"/>
  <c r="DP121" i="3"/>
  <c r="DR99" i="3"/>
  <c r="DS99" i="3" s="1"/>
  <c r="DT99" i="3" s="1"/>
  <c r="DU99" i="3" s="1"/>
  <c r="DV99" i="3" s="1"/>
  <c r="DW99" i="3" s="1"/>
  <c r="DX99" i="3" s="1"/>
  <c r="DY99" i="3" s="1"/>
  <c r="DZ99" i="3" s="1"/>
  <c r="EA99" i="3" s="1"/>
  <c r="EB99" i="3" s="1"/>
  <c r="EC99" i="3" s="1"/>
  <c r="DP99" i="3"/>
  <c r="DR124" i="3"/>
  <c r="DS124" i="3" s="1"/>
  <c r="DR35" i="3"/>
  <c r="DS35" i="3" s="1"/>
  <c r="DT35" i="3" s="1"/>
  <c r="DU35" i="3" s="1"/>
  <c r="DV35" i="3" s="1"/>
  <c r="DW35" i="3" s="1"/>
  <c r="DX35" i="3" s="1"/>
  <c r="DY35" i="3" s="1"/>
  <c r="DZ35" i="3" s="1"/>
  <c r="EA35" i="3" s="1"/>
  <c r="EB35" i="3" s="1"/>
  <c r="EC35" i="3" s="1"/>
  <c r="DP35" i="3"/>
  <c r="DR226" i="3"/>
  <c r="DS226" i="3" s="1"/>
  <c r="DR85" i="3"/>
  <c r="DS85" i="3" s="1"/>
  <c r="DT85" i="3" s="1"/>
  <c r="DU85" i="3" s="1"/>
  <c r="DV85" i="3" s="1"/>
  <c r="DW85" i="3" s="1"/>
  <c r="DX85" i="3" s="1"/>
  <c r="DY85" i="3" s="1"/>
  <c r="DZ85" i="3" s="1"/>
  <c r="EA85" i="3" s="1"/>
  <c r="EB85" i="3" s="1"/>
  <c r="EC85" i="3" s="1"/>
  <c r="DP85" i="3"/>
  <c r="DR154" i="3"/>
  <c r="DS154" i="3" s="1"/>
  <c r="DT154" i="3" s="1"/>
  <c r="DU154" i="3" s="1"/>
  <c r="DV154" i="3" s="1"/>
  <c r="DW154" i="3" s="1"/>
  <c r="DX154" i="3" s="1"/>
  <c r="DY154" i="3" s="1"/>
  <c r="DZ154" i="3" s="1"/>
  <c r="EA154" i="3" s="1"/>
  <c r="EB154" i="3" s="1"/>
  <c r="EC154" i="3" s="1"/>
  <c r="DP154" i="3"/>
  <c r="DR55" i="3"/>
  <c r="DS55" i="3" s="1"/>
  <c r="DT55" i="3" s="1"/>
  <c r="DU55" i="3" s="1"/>
  <c r="DV55" i="3" s="1"/>
  <c r="DW55" i="3" s="1"/>
  <c r="DX55" i="3" s="1"/>
  <c r="DY55" i="3" s="1"/>
  <c r="DZ55" i="3" s="1"/>
  <c r="EA55" i="3" s="1"/>
  <c r="EB55" i="3" s="1"/>
  <c r="EC55" i="3" s="1"/>
  <c r="DP55" i="3"/>
  <c r="DR123" i="3"/>
  <c r="DS123" i="3" s="1"/>
  <c r="DT123" i="3" s="1"/>
  <c r="DU123" i="3" s="1"/>
  <c r="DV123" i="3" s="1"/>
  <c r="DW123" i="3" s="1"/>
  <c r="DX123" i="3" s="1"/>
  <c r="DY123" i="3" s="1"/>
  <c r="DZ123" i="3" s="1"/>
  <c r="EA123" i="3" s="1"/>
  <c r="EB123" i="3" s="1"/>
  <c r="EC123" i="3" s="1"/>
  <c r="DP123" i="3"/>
  <c r="DR65" i="3"/>
  <c r="DS65" i="3" s="1"/>
  <c r="DT65" i="3" s="1"/>
  <c r="DU65" i="3" s="1"/>
  <c r="DV65" i="3" s="1"/>
  <c r="DW65" i="3" s="1"/>
  <c r="DX65" i="3" s="1"/>
  <c r="DY65" i="3" s="1"/>
  <c r="DZ65" i="3" s="1"/>
  <c r="EA65" i="3" s="1"/>
  <c r="EB65" i="3" s="1"/>
  <c r="EC65" i="3" s="1"/>
  <c r="DP65" i="3"/>
  <c r="DR61" i="3"/>
  <c r="DS61" i="3" s="1"/>
  <c r="DT61" i="3" s="1"/>
  <c r="DU61" i="3" s="1"/>
  <c r="DV61" i="3" s="1"/>
  <c r="DW61" i="3" s="1"/>
  <c r="DX61" i="3" s="1"/>
  <c r="DY61" i="3" s="1"/>
  <c r="DZ61" i="3" s="1"/>
  <c r="EA61" i="3" s="1"/>
  <c r="EB61" i="3" s="1"/>
  <c r="DR155" i="3"/>
  <c r="DS155" i="3" s="1"/>
  <c r="DT155" i="3" s="1"/>
  <c r="DU155" i="3" s="1"/>
  <c r="DV155" i="3" s="1"/>
  <c r="DW155" i="3" s="1"/>
  <c r="DX155" i="3" s="1"/>
  <c r="DY155" i="3" s="1"/>
  <c r="DZ155" i="3" s="1"/>
  <c r="EA155" i="3" s="1"/>
  <c r="EB155" i="3" s="1"/>
  <c r="EC155" i="3" s="1"/>
  <c r="DP155" i="3"/>
  <c r="DR158" i="3"/>
  <c r="DS158" i="3" s="1"/>
  <c r="DT158" i="3" s="1"/>
  <c r="DU158" i="3" s="1"/>
  <c r="DV158" i="3" s="1"/>
  <c r="DW158" i="3" s="1"/>
  <c r="DX158" i="3" s="1"/>
  <c r="DY158" i="3" s="1"/>
  <c r="DZ158" i="3" s="1"/>
  <c r="EA158" i="3" s="1"/>
  <c r="EB158" i="3" s="1"/>
  <c r="EC158" i="3" s="1"/>
  <c r="DP158" i="3"/>
  <c r="DR24" i="3"/>
  <c r="DS24" i="3" s="1"/>
  <c r="DT24" i="3" s="1"/>
  <c r="DU24" i="3" s="1"/>
  <c r="DV24" i="3" s="1"/>
  <c r="DW24" i="3" s="1"/>
  <c r="DX24" i="3" s="1"/>
  <c r="DY24" i="3" s="1"/>
  <c r="DZ24" i="3" s="1"/>
  <c r="EA24" i="3" s="1"/>
  <c r="EB24" i="3" s="1"/>
  <c r="EC24" i="3" s="1"/>
  <c r="DP24" i="3"/>
  <c r="DR188" i="3"/>
  <c r="DS188" i="3" s="1"/>
  <c r="DT188" i="3" s="1"/>
  <c r="DU188" i="3" s="1"/>
  <c r="DV188" i="3" s="1"/>
  <c r="DW188" i="3" s="1"/>
  <c r="DX188" i="3" s="1"/>
  <c r="DY188" i="3" s="1"/>
  <c r="DZ188" i="3" s="1"/>
  <c r="EA188" i="3" s="1"/>
  <c r="EB188" i="3" s="1"/>
  <c r="EC188" i="3" s="1"/>
  <c r="DP188" i="3"/>
  <c r="DR76" i="3"/>
  <c r="DS76" i="3" s="1"/>
  <c r="DT76" i="3" s="1"/>
  <c r="DU76" i="3" s="1"/>
  <c r="DV76" i="3" s="1"/>
  <c r="DW76" i="3" s="1"/>
  <c r="DX76" i="3" s="1"/>
  <c r="DY76" i="3" s="1"/>
  <c r="DZ76" i="3" s="1"/>
  <c r="EA76" i="3" s="1"/>
  <c r="EB76" i="3" s="1"/>
  <c r="EC76" i="3" s="1"/>
  <c r="DP76" i="3"/>
  <c r="DR111" i="3"/>
  <c r="DS111" i="3" s="1"/>
  <c r="DT111" i="3" s="1"/>
  <c r="DU111" i="3" s="1"/>
  <c r="DV111" i="3" s="1"/>
  <c r="DW111" i="3" s="1"/>
  <c r="DX111" i="3" s="1"/>
  <c r="DY111" i="3" s="1"/>
  <c r="DZ111" i="3" s="1"/>
  <c r="EA111" i="3" s="1"/>
  <c r="EB111" i="3" s="1"/>
  <c r="EC111" i="3" s="1"/>
  <c r="DP111" i="3"/>
  <c r="DR100" i="3"/>
  <c r="DS100" i="3" s="1"/>
  <c r="DT100" i="3" s="1"/>
  <c r="DU100" i="3" s="1"/>
  <c r="DV100" i="3" s="1"/>
  <c r="DW100" i="3" s="1"/>
  <c r="DX100" i="3" s="1"/>
  <c r="DY100" i="3" s="1"/>
  <c r="DZ100" i="3" s="1"/>
  <c r="EA100" i="3" s="1"/>
  <c r="EB100" i="3" s="1"/>
  <c r="EC100" i="3" s="1"/>
  <c r="DP100" i="3"/>
  <c r="DR134" i="3"/>
  <c r="DS134" i="3" s="1"/>
  <c r="DT134" i="3" s="1"/>
  <c r="DU134" i="3" s="1"/>
  <c r="DV134" i="3" s="1"/>
  <c r="DW134" i="3" s="1"/>
  <c r="DX134" i="3" s="1"/>
  <c r="DY134" i="3" s="1"/>
  <c r="DZ134" i="3" s="1"/>
  <c r="EA134" i="3" s="1"/>
  <c r="EB134" i="3" s="1"/>
  <c r="EC134" i="3" s="1"/>
  <c r="DP134" i="3"/>
  <c r="DR17" i="3"/>
  <c r="DS17" i="3" s="1"/>
  <c r="DT17" i="3" s="1"/>
  <c r="DU17" i="3" s="1"/>
  <c r="DV17" i="3" s="1"/>
  <c r="DW17" i="3" s="1"/>
  <c r="DX17" i="3" s="1"/>
  <c r="DY17" i="3" s="1"/>
  <c r="DZ17" i="3" s="1"/>
  <c r="EA17" i="3" s="1"/>
  <c r="EB17" i="3" s="1"/>
  <c r="EC17" i="3" s="1"/>
  <c r="DP17" i="3"/>
  <c r="DR18" i="3"/>
  <c r="DS18" i="3" s="1"/>
  <c r="DT18" i="3" s="1"/>
  <c r="DU18" i="3" s="1"/>
  <c r="DV18" i="3" s="1"/>
  <c r="DW18" i="3" s="1"/>
  <c r="DX18" i="3" s="1"/>
  <c r="DY18" i="3" s="1"/>
  <c r="DZ18" i="3" s="1"/>
  <c r="EA18" i="3" s="1"/>
  <c r="EB18" i="3" s="1"/>
  <c r="EC18" i="3" s="1"/>
  <c r="ED18" i="3" s="1"/>
  <c r="DP18" i="3"/>
  <c r="DQ18" i="3" s="1"/>
  <c r="DR52" i="3"/>
  <c r="DS52" i="3" s="1"/>
  <c r="DT52" i="3" s="1"/>
  <c r="DU52" i="3" s="1"/>
  <c r="DV52" i="3" s="1"/>
  <c r="DW52" i="3" s="1"/>
  <c r="DX52" i="3" s="1"/>
  <c r="DY52" i="3" s="1"/>
  <c r="DZ52" i="3" s="1"/>
  <c r="EA52" i="3" s="1"/>
  <c r="EB52" i="3" s="1"/>
  <c r="EC52" i="3" s="1"/>
  <c r="DP52" i="3"/>
  <c r="DR187" i="3"/>
  <c r="DS187" i="3" s="1"/>
  <c r="DT187" i="3" s="1"/>
  <c r="DU187" i="3" s="1"/>
  <c r="DV187" i="3" s="1"/>
  <c r="DW187" i="3" s="1"/>
  <c r="DX187" i="3" s="1"/>
  <c r="DY187" i="3" s="1"/>
  <c r="DZ187" i="3" s="1"/>
  <c r="EA187" i="3" s="1"/>
  <c r="EB187" i="3" s="1"/>
  <c r="DR130" i="3"/>
  <c r="DS130" i="3" s="1"/>
  <c r="DT130" i="3" s="1"/>
  <c r="DU130" i="3" s="1"/>
  <c r="DV130" i="3" s="1"/>
  <c r="DW130" i="3" s="1"/>
  <c r="DX130" i="3" s="1"/>
  <c r="DY130" i="3" s="1"/>
  <c r="DZ130" i="3" s="1"/>
  <c r="EA130" i="3" s="1"/>
  <c r="EB130" i="3" s="1"/>
  <c r="EC130" i="3" s="1"/>
  <c r="ED130" i="3" s="1"/>
  <c r="DP130" i="3"/>
  <c r="DQ130" i="3" s="1"/>
  <c r="DR82" i="3"/>
  <c r="DS82" i="3" s="1"/>
  <c r="DT82" i="3" s="1"/>
  <c r="DU82" i="3" s="1"/>
  <c r="DV82" i="3" s="1"/>
  <c r="DW82" i="3" s="1"/>
  <c r="DX82" i="3" s="1"/>
  <c r="DY82" i="3" s="1"/>
  <c r="DZ82" i="3" s="1"/>
  <c r="EA82" i="3" s="1"/>
  <c r="EB82" i="3" s="1"/>
  <c r="DR157" i="3"/>
  <c r="DS157" i="3" s="1"/>
  <c r="DT157" i="3" s="1"/>
  <c r="DU157" i="3" s="1"/>
  <c r="DV157" i="3" s="1"/>
  <c r="DW157" i="3" s="1"/>
  <c r="DX157" i="3" s="1"/>
  <c r="DY157" i="3" s="1"/>
  <c r="DZ157" i="3" s="1"/>
  <c r="EA157" i="3" s="1"/>
  <c r="EB157" i="3" s="1"/>
  <c r="EC157" i="3" s="1"/>
  <c r="DP157" i="3"/>
  <c r="DR225" i="3"/>
  <c r="DS225" i="3" s="1"/>
  <c r="DT225" i="3" s="1"/>
  <c r="DU225" i="3" s="1"/>
  <c r="DV225" i="3" s="1"/>
  <c r="DW225" i="3" s="1"/>
  <c r="DX225" i="3" s="1"/>
  <c r="DY225" i="3" s="1"/>
  <c r="DZ225" i="3" s="1"/>
  <c r="EA225" i="3" s="1"/>
  <c r="EB225" i="3" s="1"/>
  <c r="DR62" i="3"/>
  <c r="DS62" i="3" s="1"/>
  <c r="DT62" i="3" s="1"/>
  <c r="DU62" i="3" s="1"/>
  <c r="DV62" i="3" s="1"/>
  <c r="DW62" i="3" s="1"/>
  <c r="DX62" i="3" s="1"/>
  <c r="DY62" i="3" s="1"/>
  <c r="DZ62" i="3" s="1"/>
  <c r="EA62" i="3" s="1"/>
  <c r="EB62" i="3" s="1"/>
  <c r="DR45" i="3"/>
  <c r="DS45" i="3" s="1"/>
  <c r="DT45" i="3" s="1"/>
  <c r="DU45" i="3" s="1"/>
  <c r="DV45" i="3" s="1"/>
  <c r="DW45" i="3" s="1"/>
  <c r="DX45" i="3" s="1"/>
  <c r="DY45" i="3" s="1"/>
  <c r="DZ45" i="3" s="1"/>
  <c r="EA45" i="3" s="1"/>
  <c r="EB45" i="3" s="1"/>
  <c r="DR146" i="3"/>
  <c r="DS146" i="3" s="1"/>
  <c r="DT146" i="3" s="1"/>
  <c r="DU146" i="3" s="1"/>
  <c r="DV146" i="3" s="1"/>
  <c r="DW146" i="3" s="1"/>
  <c r="DX146" i="3" s="1"/>
  <c r="DY146" i="3" s="1"/>
  <c r="DZ146" i="3" s="1"/>
  <c r="EA146" i="3" s="1"/>
  <c r="EB146" i="3" s="1"/>
  <c r="EC146" i="3" s="1"/>
  <c r="DP146" i="3"/>
  <c r="DR15" i="3"/>
  <c r="DS15" i="3" s="1"/>
  <c r="DT15" i="3" s="1"/>
  <c r="DU15" i="3" s="1"/>
  <c r="DV15" i="3" s="1"/>
  <c r="DW15" i="3" s="1"/>
  <c r="DR127" i="3"/>
  <c r="DS127" i="3" s="1"/>
  <c r="DT127" i="3" s="1"/>
  <c r="DU127" i="3" s="1"/>
  <c r="DV127" i="3" s="1"/>
  <c r="DW127" i="3" s="1"/>
  <c r="DX127" i="3" s="1"/>
  <c r="DY127" i="3" s="1"/>
  <c r="DZ127" i="3" s="1"/>
  <c r="EA127" i="3" s="1"/>
  <c r="EB127" i="3" s="1"/>
  <c r="EC127" i="3" s="1"/>
  <c r="DP127" i="3"/>
  <c r="DR51" i="3"/>
  <c r="DS51" i="3" s="1"/>
  <c r="DT51" i="3" s="1"/>
  <c r="DU51" i="3" s="1"/>
  <c r="DV51" i="3" s="1"/>
  <c r="DW51" i="3" s="1"/>
  <c r="DX51" i="3" s="1"/>
  <c r="DY51" i="3" s="1"/>
  <c r="DZ51" i="3" s="1"/>
  <c r="EA51" i="3" s="1"/>
  <c r="DR224" i="3"/>
  <c r="DS224" i="3" s="1"/>
  <c r="DT224" i="3" s="1"/>
  <c r="DU224" i="3" s="1"/>
  <c r="DV224" i="3" s="1"/>
  <c r="DW224" i="3" s="1"/>
  <c r="DX224" i="3" s="1"/>
  <c r="DY224" i="3" s="1"/>
  <c r="DZ224" i="3" s="1"/>
  <c r="EA224" i="3" s="1"/>
  <c r="DR223" i="3"/>
  <c r="DS223" i="3" s="1"/>
  <c r="DT223" i="3" s="1"/>
  <c r="DU223" i="3" s="1"/>
  <c r="DV223" i="3" s="1"/>
  <c r="DW223" i="3" s="1"/>
  <c r="DX223" i="3" s="1"/>
  <c r="DY223" i="3" s="1"/>
  <c r="DZ223" i="3" s="1"/>
  <c r="EA223" i="3" s="1"/>
  <c r="DR131" i="3"/>
  <c r="DS131" i="3" s="1"/>
  <c r="DT131" i="3" s="1"/>
  <c r="DU131" i="3" s="1"/>
  <c r="DV131" i="3" s="1"/>
  <c r="DW131" i="3" s="1"/>
  <c r="DX131" i="3" s="1"/>
  <c r="DY131" i="3" s="1"/>
  <c r="DZ131" i="3" s="1"/>
  <c r="EA131" i="3" s="1"/>
  <c r="EB131" i="3" s="1"/>
  <c r="EC131" i="3" s="1"/>
  <c r="DP131" i="3"/>
  <c r="DR48" i="3"/>
  <c r="DS48" i="3" s="1"/>
  <c r="DT48" i="3" s="1"/>
  <c r="DU48" i="3" s="1"/>
  <c r="DV48" i="3" s="1"/>
  <c r="DW48" i="3" s="1"/>
  <c r="DX48" i="3" s="1"/>
  <c r="DY48" i="3" s="1"/>
  <c r="DZ48" i="3" s="1"/>
  <c r="EA48" i="3" s="1"/>
  <c r="EB48" i="3" s="1"/>
  <c r="EC48" i="3" s="1"/>
  <c r="DP48" i="3"/>
  <c r="DR175" i="3"/>
  <c r="DS175" i="3" s="1"/>
  <c r="DT175" i="3" s="1"/>
  <c r="DU175" i="3" s="1"/>
  <c r="DV175" i="3" s="1"/>
  <c r="DW175" i="3" s="1"/>
  <c r="DX175" i="3" s="1"/>
  <c r="DY175" i="3" s="1"/>
  <c r="DZ175" i="3" s="1"/>
  <c r="EA175" i="3" s="1"/>
  <c r="EB175" i="3" s="1"/>
  <c r="EC175" i="3" s="1"/>
  <c r="DP175" i="3"/>
  <c r="DR104" i="3"/>
  <c r="DS104" i="3" s="1"/>
  <c r="DT104" i="3" s="1"/>
  <c r="DU104" i="3" s="1"/>
  <c r="DV104" i="3" s="1"/>
  <c r="DW104" i="3" s="1"/>
  <c r="DX104" i="3" s="1"/>
  <c r="DY104" i="3" s="1"/>
  <c r="DZ104" i="3" s="1"/>
  <c r="EA104" i="3" s="1"/>
  <c r="EB104" i="3" s="1"/>
  <c r="EC104" i="3" s="1"/>
  <c r="DP104" i="3"/>
  <c r="DR133" i="3"/>
  <c r="DS133" i="3" s="1"/>
  <c r="DT133" i="3" s="1"/>
  <c r="DU133" i="3" s="1"/>
  <c r="DV133" i="3" s="1"/>
  <c r="DW133" i="3" s="1"/>
  <c r="DX133" i="3" s="1"/>
  <c r="DY133" i="3" s="1"/>
  <c r="DZ133" i="3" s="1"/>
  <c r="EA133" i="3" s="1"/>
  <c r="EB133" i="3" s="1"/>
  <c r="EC133" i="3" s="1"/>
  <c r="DP133" i="3"/>
  <c r="DR186" i="3"/>
  <c r="DS186" i="3" s="1"/>
  <c r="DT186" i="3" s="1"/>
  <c r="DU186" i="3" s="1"/>
  <c r="DV186" i="3" s="1"/>
  <c r="DW186" i="3" s="1"/>
  <c r="DX186" i="3" s="1"/>
  <c r="DY186" i="3" s="1"/>
  <c r="DZ186" i="3" s="1"/>
  <c r="DR19" i="3"/>
  <c r="DS19" i="3" s="1"/>
  <c r="DT19" i="3" s="1"/>
  <c r="DU19" i="3" s="1"/>
  <c r="DV19" i="3" s="1"/>
  <c r="DW19" i="3" s="1"/>
  <c r="DX19" i="3" s="1"/>
  <c r="DY19" i="3" s="1"/>
  <c r="DZ19" i="3" s="1"/>
  <c r="EA19" i="3" s="1"/>
  <c r="EB19" i="3" s="1"/>
  <c r="EC19" i="3" s="1"/>
  <c r="DP19" i="3"/>
  <c r="DR37" i="3"/>
  <c r="DS37" i="3" s="1"/>
  <c r="DT37" i="3" s="1"/>
  <c r="DU37" i="3" s="1"/>
  <c r="DV37" i="3" s="1"/>
  <c r="DW37" i="3" s="1"/>
  <c r="DX37" i="3" s="1"/>
  <c r="DY37" i="3" s="1"/>
  <c r="DZ37" i="3" s="1"/>
  <c r="EA37" i="3" s="1"/>
  <c r="EB37" i="3" s="1"/>
  <c r="EC37" i="3" s="1"/>
  <c r="DP37" i="3"/>
  <c r="DR185" i="3"/>
  <c r="DS185" i="3" s="1"/>
  <c r="DT185" i="3" s="1"/>
  <c r="DU185" i="3" s="1"/>
  <c r="DV185" i="3" s="1"/>
  <c r="DW185" i="3" s="1"/>
  <c r="DX185" i="3" s="1"/>
  <c r="DY185" i="3" s="1"/>
  <c r="DZ185" i="3" s="1"/>
  <c r="DR184" i="3"/>
  <c r="DS184" i="3" s="1"/>
  <c r="DT184" i="3" s="1"/>
  <c r="DU184" i="3" s="1"/>
  <c r="DV184" i="3" s="1"/>
  <c r="DW184" i="3" s="1"/>
  <c r="DX184" i="3" s="1"/>
  <c r="DY184" i="3" s="1"/>
  <c r="DZ184" i="3" s="1"/>
  <c r="EA184" i="3" s="1"/>
  <c r="EB184" i="3" s="1"/>
  <c r="EC184" i="3" s="1"/>
  <c r="DP184" i="3"/>
  <c r="DR183" i="3"/>
  <c r="DS183" i="3" s="1"/>
  <c r="DT183" i="3" s="1"/>
  <c r="DU183" i="3" s="1"/>
  <c r="DV183" i="3" s="1"/>
  <c r="DW183" i="3" s="1"/>
  <c r="DX183" i="3" s="1"/>
  <c r="DY183" i="3" s="1"/>
  <c r="DZ183" i="3" s="1"/>
  <c r="EA183" i="3" s="1"/>
  <c r="EB183" i="3" s="1"/>
  <c r="EC183" i="3" s="1"/>
  <c r="DP183" i="3"/>
  <c r="DR182" i="3"/>
  <c r="DS182" i="3" s="1"/>
  <c r="DT182" i="3" s="1"/>
  <c r="DU182" i="3" s="1"/>
  <c r="DV182" i="3" s="1"/>
  <c r="DW182" i="3" s="1"/>
  <c r="DX182" i="3" s="1"/>
  <c r="DY182" i="3" s="1"/>
  <c r="DZ182" i="3" s="1"/>
  <c r="EA182" i="3" s="1"/>
  <c r="EB182" i="3" s="1"/>
  <c r="EC182" i="3" s="1"/>
  <c r="DP182" i="3"/>
  <c r="DR181" i="3"/>
  <c r="DS181" i="3" s="1"/>
  <c r="DT181" i="3" s="1"/>
  <c r="DU181" i="3" s="1"/>
  <c r="DV181" i="3" s="1"/>
  <c r="DW181" i="3" s="1"/>
  <c r="DX181" i="3" s="1"/>
  <c r="DY181" i="3" s="1"/>
  <c r="DZ181" i="3" s="1"/>
  <c r="EA181" i="3" s="1"/>
  <c r="EB181" i="3" s="1"/>
  <c r="DR211" i="3"/>
  <c r="DS211" i="3" s="1"/>
  <c r="DT211" i="3" s="1"/>
  <c r="DU211" i="3" s="1"/>
  <c r="DV211" i="3" s="1"/>
  <c r="DW211" i="3" s="1"/>
  <c r="DX211" i="3" s="1"/>
  <c r="DY211" i="3" s="1"/>
  <c r="DZ211" i="3" s="1"/>
  <c r="EA211" i="3" s="1"/>
  <c r="EB211" i="3" s="1"/>
  <c r="EC211" i="3" s="1"/>
  <c r="ED211" i="3" s="1"/>
  <c r="DP211" i="3"/>
  <c r="DQ211" i="3" s="1"/>
  <c r="DR222" i="3"/>
  <c r="DR210" i="3"/>
  <c r="DS210" i="3" s="1"/>
  <c r="DT210" i="3" s="1"/>
  <c r="DU210" i="3" s="1"/>
  <c r="DV210" i="3" s="1"/>
  <c r="DW210" i="3" s="1"/>
  <c r="DX210" i="3" s="1"/>
  <c r="DY210" i="3" s="1"/>
  <c r="DZ210" i="3" s="1"/>
  <c r="EA210" i="3" s="1"/>
  <c r="EB210" i="3" s="1"/>
  <c r="EC210" i="3" s="1"/>
  <c r="ED210" i="3" s="1"/>
  <c r="DP210" i="3"/>
  <c r="DQ210" i="3" s="1"/>
  <c r="DR54" i="3"/>
  <c r="DS54" i="3" s="1"/>
  <c r="DT54" i="3" s="1"/>
  <c r="DU54" i="3" s="1"/>
  <c r="DV54" i="3" s="1"/>
  <c r="DW54" i="3" s="1"/>
  <c r="DX54" i="3" s="1"/>
  <c r="DY54" i="3" s="1"/>
  <c r="DZ54" i="3" s="1"/>
  <c r="EA54" i="3" s="1"/>
  <c r="EB54" i="3" s="1"/>
  <c r="EC54" i="3" s="1"/>
  <c r="DP54" i="3"/>
  <c r="AG136" i="3"/>
  <c r="AH136" i="3" s="1"/>
  <c r="AB136" i="3"/>
  <c r="DJ39" i="3"/>
  <c r="DP39" i="3" s="1"/>
  <c r="AG39" i="3"/>
  <c r="AH39" i="3" s="1"/>
  <c r="AA39" i="3"/>
  <c r="AB39" i="3" s="1"/>
  <c r="AG198" i="3"/>
  <c r="AH198" i="3" s="1"/>
  <c r="AG68" i="3"/>
  <c r="AH68" i="3" s="1"/>
  <c r="AG216" i="3"/>
  <c r="AH216" i="3" s="1"/>
  <c r="DL46" i="3"/>
  <c r="DK46" i="3"/>
  <c r="DJ46" i="3"/>
  <c r="AG46" i="3"/>
  <c r="AH46" i="3" s="1"/>
  <c r="AA46" i="3"/>
  <c r="AB46" i="3" s="1"/>
  <c r="AG80" i="3"/>
  <c r="AH80" i="3" s="1"/>
  <c r="AB80" i="3"/>
  <c r="AG215" i="3"/>
  <c r="AH215" i="3" s="1"/>
  <c r="AG75" i="3"/>
  <c r="AH75" i="3" s="1"/>
  <c r="AB75" i="3"/>
  <c r="DG171" i="3"/>
  <c r="DF171" i="3"/>
  <c r="DP171" i="3" s="1"/>
  <c r="AG171" i="3"/>
  <c r="AH171" i="3" s="1"/>
  <c r="AB171" i="3"/>
  <c r="AG31" i="3"/>
  <c r="AH31" i="3" s="1"/>
  <c r="AB31" i="3"/>
  <c r="AG169" i="3"/>
  <c r="AH169" i="3" s="1"/>
  <c r="AB169" i="3"/>
  <c r="AG148" i="3"/>
  <c r="AH148" i="3" s="1"/>
  <c r="AB148" i="3"/>
  <c r="DK237" i="3"/>
  <c r="DH237" i="3"/>
  <c r="DG237" i="3"/>
  <c r="AG237" i="3"/>
  <c r="AH237" i="3" s="1"/>
  <c r="AB237" i="3"/>
  <c r="AG122" i="3"/>
  <c r="AH122" i="3" s="1"/>
  <c r="AB122" i="3"/>
  <c r="AG105" i="3"/>
  <c r="AH105" i="3" s="1"/>
  <c r="AB105" i="3"/>
  <c r="AG66" i="3"/>
  <c r="AH66" i="3" s="1"/>
  <c r="AB66" i="3"/>
  <c r="AG125" i="3"/>
  <c r="AH125" i="3" s="1"/>
  <c r="AG236" i="3"/>
  <c r="AH236" i="3" s="1"/>
  <c r="AB236" i="3"/>
  <c r="AG160" i="3"/>
  <c r="AH160" i="3" s="1"/>
  <c r="AB160" i="3"/>
  <c r="AG144" i="3"/>
  <c r="AH144" i="3" s="1"/>
  <c r="AB144" i="3"/>
  <c r="DK235" i="3"/>
  <c r="DP235" i="3" s="1"/>
  <c r="AG235" i="3"/>
  <c r="AH235" i="3" s="1"/>
  <c r="AB235" i="3"/>
  <c r="AG162" i="3"/>
  <c r="AH162" i="3" s="1"/>
  <c r="AB162" i="3"/>
  <c r="AG177" i="3"/>
  <c r="AH177" i="3" s="1"/>
  <c r="AB177" i="3"/>
  <c r="DG98" i="3"/>
  <c r="DP98" i="3" s="1"/>
  <c r="AG98" i="3"/>
  <c r="AH98" i="3" s="1"/>
  <c r="AB98" i="3"/>
  <c r="AG234" i="3"/>
  <c r="AH234" i="3" s="1"/>
  <c r="AG79" i="3"/>
  <c r="AH79" i="3" s="1"/>
  <c r="AB79" i="3"/>
  <c r="DN25" i="3"/>
  <c r="DP25" i="3" s="1"/>
  <c r="AG25" i="3"/>
  <c r="AH25" i="3" s="1"/>
  <c r="AB25" i="3"/>
  <c r="DJ20" i="3"/>
  <c r="DP20" i="3" s="1"/>
  <c r="AG20" i="3"/>
  <c r="AH20" i="3" s="1"/>
  <c r="AA20" i="3"/>
  <c r="AB20" i="3" s="1"/>
  <c r="AG40" i="3"/>
  <c r="AH40" i="3" s="1"/>
  <c r="AB40" i="3"/>
  <c r="AG26" i="3"/>
  <c r="AH26" i="3" s="1"/>
  <c r="AB26" i="3"/>
  <c r="AG87" i="3"/>
  <c r="AH87" i="3" s="1"/>
  <c r="AB87" i="3"/>
  <c r="AG152" i="3"/>
  <c r="AH152" i="3" s="1"/>
  <c r="AB152" i="3"/>
  <c r="AG197" i="3"/>
  <c r="AH197" i="3" s="1"/>
  <c r="AB197" i="3"/>
  <c r="AG96" i="3"/>
  <c r="AH96" i="3" s="1"/>
  <c r="AB96" i="3"/>
  <c r="AG90" i="3"/>
  <c r="AH90" i="3" s="1"/>
  <c r="AB90" i="3"/>
  <c r="DO12" i="3"/>
  <c r="DN12" i="3"/>
  <c r="DM12" i="3"/>
  <c r="DL12" i="3"/>
  <c r="DK12" i="3"/>
  <c r="DJ12" i="3"/>
  <c r="DI12" i="3"/>
  <c r="DH12" i="3"/>
  <c r="DG12" i="3"/>
  <c r="DF12" i="3"/>
  <c r="DE12" i="3"/>
  <c r="AG12" i="3"/>
  <c r="AH12" i="3" s="1"/>
  <c r="AA12" i="3"/>
  <c r="AG196" i="3"/>
  <c r="AH196" i="3" s="1"/>
  <c r="AB196" i="3"/>
  <c r="AG74" i="3"/>
  <c r="AH74" i="3" s="1"/>
  <c r="AG23" i="3"/>
  <c r="AH23" i="3" s="1"/>
  <c r="AG195" i="3"/>
  <c r="AH195" i="3" s="1"/>
  <c r="AG166" i="3"/>
  <c r="AH166" i="3" s="1"/>
  <c r="AG194" i="3"/>
  <c r="AH194" i="3" s="1"/>
  <c r="AG193" i="3"/>
  <c r="AH193" i="3" s="1"/>
  <c r="DF113" i="3"/>
  <c r="DP113" i="3" s="1"/>
  <c r="AG113" i="3"/>
  <c r="AH113" i="3" s="1"/>
  <c r="AB113" i="3"/>
  <c r="AG233" i="3"/>
  <c r="AH233" i="3" s="1"/>
  <c r="AG180" i="3"/>
  <c r="AH180" i="3" s="1"/>
  <c r="AG179" i="3"/>
  <c r="AH179" i="3" s="1"/>
  <c r="AG192" i="3"/>
  <c r="AH192" i="3" s="1"/>
  <c r="AG41" i="3"/>
  <c r="AH41" i="3" s="1"/>
  <c r="AG176" i="3"/>
  <c r="AH176" i="3" s="1"/>
  <c r="AG232" i="3"/>
  <c r="AH232" i="3" s="1"/>
  <c r="AG33" i="3"/>
  <c r="AH33" i="3" s="1"/>
  <c r="AG214" i="3"/>
  <c r="AH214" i="3" s="1"/>
  <c r="DO103" i="3"/>
  <c r="DP103" i="3" s="1"/>
  <c r="AG103" i="3"/>
  <c r="AH103" i="3" s="1"/>
  <c r="AA103" i="3"/>
  <c r="AB103" i="3" s="1"/>
  <c r="DM71" i="3"/>
  <c r="DP71" i="3" s="1"/>
  <c r="AG71" i="3"/>
  <c r="AH71" i="3" s="1"/>
  <c r="AA71" i="3"/>
  <c r="AB71" i="3" s="1"/>
  <c r="DM67" i="3"/>
  <c r="DP67" i="3" s="1"/>
  <c r="AG67" i="3"/>
  <c r="AH67" i="3" s="1"/>
  <c r="AA67" i="3"/>
  <c r="AB67" i="3" s="1"/>
  <c r="AG164" i="3"/>
  <c r="AH164" i="3" s="1"/>
  <c r="AB164" i="3"/>
  <c r="AG168" i="3"/>
  <c r="AH168" i="3" s="1"/>
  <c r="AB168" i="3"/>
  <c r="AG153" i="3"/>
  <c r="AH153" i="3" s="1"/>
  <c r="AB153" i="3"/>
  <c r="AG139" i="3"/>
  <c r="AH139" i="3" s="1"/>
  <c r="AB139" i="3"/>
  <c r="AG60" i="3"/>
  <c r="AH60" i="3" s="1"/>
  <c r="AB60" i="3"/>
  <c r="AG53" i="3"/>
  <c r="AH53" i="3" s="1"/>
  <c r="AB53" i="3"/>
  <c r="AG231" i="3"/>
  <c r="AH231" i="3" s="1"/>
  <c r="AB231" i="3"/>
  <c r="DO84" i="3"/>
  <c r="DP84" i="3" s="1"/>
  <c r="AG84" i="3"/>
  <c r="AH84" i="3" s="1"/>
  <c r="AB84" i="3"/>
  <c r="AG191" i="3"/>
  <c r="AH191" i="3" s="1"/>
  <c r="AB191" i="3"/>
  <c r="AG58" i="3"/>
  <c r="AH58" i="3" s="1"/>
  <c r="AB58" i="3"/>
  <c r="AG147" i="3"/>
  <c r="AH147" i="3" s="1"/>
  <c r="AB147" i="3"/>
  <c r="AG14" i="3"/>
  <c r="AH14" i="3" s="1"/>
  <c r="AB14" i="3"/>
  <c r="AG161" i="3"/>
  <c r="AH161" i="3" s="1"/>
  <c r="AB161" i="3"/>
  <c r="AG138" i="3"/>
  <c r="AH138" i="3" s="1"/>
  <c r="AB138" i="3"/>
  <c r="AG159" i="3"/>
  <c r="AH159" i="3" s="1"/>
  <c r="AB159" i="3"/>
  <c r="AG190" i="3"/>
  <c r="AH190" i="3" s="1"/>
  <c r="AB190" i="3"/>
  <c r="AG132" i="3"/>
  <c r="AH132" i="3" s="1"/>
  <c r="AB132" i="3"/>
  <c r="AG163" i="3"/>
  <c r="AH163" i="3" s="1"/>
  <c r="AB163" i="3"/>
  <c r="AG30" i="3"/>
  <c r="AH30" i="3" s="1"/>
  <c r="AB30" i="3"/>
  <c r="AG118" i="3"/>
  <c r="AH118" i="3" s="1"/>
  <c r="AB118" i="3"/>
  <c r="DO230" i="3"/>
  <c r="DP230" i="3" s="1"/>
  <c r="AG230" i="3"/>
  <c r="AH230" i="3" s="1"/>
  <c r="AB230" i="3"/>
  <c r="AG81" i="3"/>
  <c r="AH81" i="3" s="1"/>
  <c r="AB81" i="3"/>
  <c r="AG189" i="3"/>
  <c r="AH189" i="3" s="1"/>
  <c r="AB189" i="3"/>
  <c r="DN221" i="3"/>
  <c r="DP221" i="3" s="1"/>
  <c r="AG221" i="3"/>
  <c r="AH221" i="3" s="1"/>
  <c r="AB221" i="3"/>
  <c r="AG70" i="3"/>
  <c r="AH70" i="3" s="1"/>
  <c r="AB70" i="3"/>
  <c r="DJ21" i="3"/>
  <c r="DP21" i="3" s="1"/>
  <c r="AG21" i="3"/>
  <c r="AH21" i="3" s="1"/>
  <c r="AB21" i="3"/>
  <c r="DN69" i="3"/>
  <c r="DM69" i="3"/>
  <c r="DP69" i="3" s="1"/>
  <c r="AG69" i="3"/>
  <c r="AH69" i="3" s="1"/>
  <c r="AA69" i="3"/>
  <c r="AB69" i="3" s="1"/>
  <c r="DN56" i="3"/>
  <c r="DP56" i="3" s="1"/>
  <c r="AG56" i="3"/>
  <c r="AH56" i="3" s="1"/>
  <c r="AB56" i="3"/>
  <c r="DJ83" i="3"/>
  <c r="DI83" i="3"/>
  <c r="DH83" i="3"/>
  <c r="DG83" i="3"/>
  <c r="DF83" i="3"/>
  <c r="DP83" i="3" s="1"/>
  <c r="AG83" i="3"/>
  <c r="AH83" i="3" s="1"/>
  <c r="AB83" i="3"/>
  <c r="DM86" i="3"/>
  <c r="DP86" i="3" s="1"/>
  <c r="AG86" i="3"/>
  <c r="AH86" i="3" s="1"/>
  <c r="AA86" i="3"/>
  <c r="AB86" i="3" s="1"/>
  <c r="DJ220" i="3"/>
  <c r="DP220" i="3" s="1"/>
  <c r="AG220" i="3"/>
  <c r="AH220" i="3" s="1"/>
  <c r="AA220" i="3"/>
  <c r="AB220" i="3" s="1"/>
  <c r="AG108" i="3"/>
  <c r="AH108" i="3" s="1"/>
  <c r="AB108" i="3"/>
  <c r="DK77" i="3"/>
  <c r="DP77" i="3" s="1"/>
  <c r="AG77" i="3"/>
  <c r="AH77" i="3" s="1"/>
  <c r="AB77" i="3"/>
  <c r="DF78" i="3"/>
  <c r="DP78" i="3" s="1"/>
  <c r="AG78" i="3"/>
  <c r="AH78" i="3" s="1"/>
  <c r="AB78" i="3"/>
  <c r="DK172" i="3"/>
  <c r="DJ172" i="3"/>
  <c r="DP172" i="3" s="1"/>
  <c r="AG172" i="3"/>
  <c r="AH172" i="3" s="1"/>
  <c r="AB172" i="3"/>
  <c r="AG213" i="3"/>
  <c r="AH213" i="3" s="1"/>
  <c r="DG219" i="3"/>
  <c r="DP219" i="3" s="1"/>
  <c r="AG219" i="3"/>
  <c r="AH219" i="3" s="1"/>
  <c r="AA219" i="3"/>
  <c r="AB219" i="3" s="1"/>
  <c r="DJ16" i="3"/>
  <c r="DP16" i="3" s="1"/>
  <c r="AG16" i="3"/>
  <c r="AH16" i="3" s="1"/>
  <c r="AA16" i="3"/>
  <c r="AB16" i="3" s="1"/>
  <c r="DL13" i="3"/>
  <c r="DK13" i="3"/>
  <c r="DJ13" i="3"/>
  <c r="DP13" i="3" s="1"/>
  <c r="AG13" i="3"/>
  <c r="AH13" i="3" s="1"/>
  <c r="AA13" i="3"/>
  <c r="AB13" i="3" s="1"/>
  <c r="AG106" i="3"/>
  <c r="AH106" i="3" s="1"/>
  <c r="AB106" i="3"/>
  <c r="AG178" i="3"/>
  <c r="AH178" i="3" s="1"/>
  <c r="AB178" i="3"/>
  <c r="AG129" i="3"/>
  <c r="AH129" i="3" s="1"/>
  <c r="AB129" i="3"/>
  <c r="AG229" i="3"/>
  <c r="AH229" i="3" s="1"/>
  <c r="AB229" i="3"/>
  <c r="AG27" i="3"/>
  <c r="AH27" i="3" s="1"/>
  <c r="AB27" i="3"/>
  <c r="AG107" i="3"/>
  <c r="AH107" i="3" s="1"/>
  <c r="AB107" i="3"/>
  <c r="AG49" i="3"/>
  <c r="AH49" i="3" s="1"/>
  <c r="AB49" i="3"/>
  <c r="AG140" i="3"/>
  <c r="AH140" i="3" s="1"/>
  <c r="AB140" i="3"/>
  <c r="AG32" i="3"/>
  <c r="AH32" i="3" s="1"/>
  <c r="AB32" i="3"/>
  <c r="DL38" i="3"/>
  <c r="DH38" i="3"/>
  <c r="DE38" i="3"/>
  <c r="DP38" i="3" s="1"/>
  <c r="AG38" i="3"/>
  <c r="AH38" i="3" s="1"/>
  <c r="AB38" i="3"/>
  <c r="AG120" i="3"/>
  <c r="AH120" i="3" s="1"/>
  <c r="AB120" i="3"/>
  <c r="AG170" i="3"/>
  <c r="AH170" i="3" s="1"/>
  <c r="AB170" i="3"/>
  <c r="AG228" i="3"/>
  <c r="AH228" i="3" s="1"/>
  <c r="AB228" i="3"/>
  <c r="AG137" i="3"/>
  <c r="AH137" i="3" s="1"/>
  <c r="AB137" i="3"/>
  <c r="DN44" i="3"/>
  <c r="DM44" i="3"/>
  <c r="AG44" i="3"/>
  <c r="AH44" i="3" s="1"/>
  <c r="AA44" i="3"/>
  <c r="AB44" i="3" s="1"/>
  <c r="AG212" i="3"/>
  <c r="AH212" i="3" s="1"/>
  <c r="AG28" i="3"/>
  <c r="AH28" i="3" s="1"/>
  <c r="AB28" i="3"/>
  <c r="AG22" i="3"/>
  <c r="AH22" i="3" s="1"/>
  <c r="AB22" i="3"/>
  <c r="AG218" i="3"/>
  <c r="AH218" i="3" s="1"/>
  <c r="AB218" i="3"/>
  <c r="AG59" i="3"/>
  <c r="AH59" i="3" s="1"/>
  <c r="AB59" i="3"/>
  <c r="AG63" i="3"/>
  <c r="AH63" i="3" s="1"/>
  <c r="AB63" i="3"/>
  <c r="DO217" i="3"/>
  <c r="DP217" i="3" s="1"/>
  <c r="AG217" i="3"/>
  <c r="AH217" i="3" s="1"/>
  <c r="AB217" i="3"/>
  <c r="AG156" i="3"/>
  <c r="AH156" i="3" s="1"/>
  <c r="AB156" i="3"/>
  <c r="AG174" i="3"/>
  <c r="AH174" i="3" s="1"/>
  <c r="AB174" i="3"/>
  <c r="AG119" i="3"/>
  <c r="AH119" i="3" s="1"/>
  <c r="AB119" i="3"/>
  <c r="AG149" i="3"/>
  <c r="AH149" i="3" s="1"/>
  <c r="AB149" i="3"/>
  <c r="AG227" i="3"/>
  <c r="AH227" i="3" s="1"/>
  <c r="AB227" i="3"/>
  <c r="AG92" i="3"/>
  <c r="AH92" i="3" s="1"/>
  <c r="AB92" i="3"/>
  <c r="AG102" i="3"/>
  <c r="AH102" i="3" s="1"/>
  <c r="AB102" i="3"/>
  <c r="AG143" i="3"/>
  <c r="AH143" i="3" s="1"/>
  <c r="AB143" i="3"/>
  <c r="AG167" i="3"/>
  <c r="AH167" i="3" s="1"/>
  <c r="AB167" i="3"/>
  <c r="AG95" i="3"/>
  <c r="AH95" i="3" s="1"/>
  <c r="AB95" i="3"/>
  <c r="AG151" i="3"/>
  <c r="AH151" i="3" s="1"/>
  <c r="AB151" i="3"/>
  <c r="AG126" i="3"/>
  <c r="AH126" i="3" s="1"/>
  <c r="AB126" i="3"/>
  <c r="AG165" i="3"/>
  <c r="AH165" i="3" s="1"/>
  <c r="AB165" i="3"/>
  <c r="AG101" i="3"/>
  <c r="AH101" i="3" s="1"/>
  <c r="AB101" i="3"/>
  <c r="AG88" i="3"/>
  <c r="AH88" i="3" s="1"/>
  <c r="AB88" i="3"/>
  <c r="AG141" i="3"/>
  <c r="AH141" i="3" s="1"/>
  <c r="AB141" i="3"/>
  <c r="AG173" i="3"/>
  <c r="AH173" i="3" s="1"/>
  <c r="AB173" i="3"/>
  <c r="AG94" i="3"/>
  <c r="AH94" i="3" s="1"/>
  <c r="AB94" i="3"/>
  <c r="AG145" i="3"/>
  <c r="AH145" i="3" s="1"/>
  <c r="AB145" i="3"/>
  <c r="AG128" i="3"/>
  <c r="AH128" i="3" s="1"/>
  <c r="AB128" i="3"/>
  <c r="AG117" i="3"/>
  <c r="AH117" i="3" s="1"/>
  <c r="AB117" i="3"/>
  <c r="AG114" i="3"/>
  <c r="AH114" i="3" s="1"/>
  <c r="AB114" i="3"/>
  <c r="DF109" i="3"/>
  <c r="DP109" i="3" s="1"/>
  <c r="AG109" i="3"/>
  <c r="AH109" i="3" s="1"/>
  <c r="AB109" i="3"/>
  <c r="AG116" i="3"/>
  <c r="AH116" i="3" s="1"/>
  <c r="AB116" i="3"/>
  <c r="AG121" i="3"/>
  <c r="AH121" i="3" s="1"/>
  <c r="AB121" i="3"/>
  <c r="AG99" i="3"/>
  <c r="AH99" i="3" s="1"/>
  <c r="AB99" i="3"/>
  <c r="DF124" i="3"/>
  <c r="DP124" i="3" s="1"/>
  <c r="AG124" i="3"/>
  <c r="AH124" i="3" s="1"/>
  <c r="AB124" i="3"/>
  <c r="AG35" i="3"/>
  <c r="AH35" i="3" s="1"/>
  <c r="AB35" i="3"/>
  <c r="DF226" i="3"/>
  <c r="DP226" i="3" s="1"/>
  <c r="AG226" i="3"/>
  <c r="AH226" i="3" s="1"/>
  <c r="AA226" i="3"/>
  <c r="AB226" i="3" s="1"/>
  <c r="AG85" i="3"/>
  <c r="AH85" i="3" s="1"/>
  <c r="AB85" i="3"/>
  <c r="AG154" i="3"/>
  <c r="AH154" i="3" s="1"/>
  <c r="AB154" i="3"/>
  <c r="AG55" i="3"/>
  <c r="AH55" i="3" s="1"/>
  <c r="AB55" i="3"/>
  <c r="AG123" i="3"/>
  <c r="AH123" i="3" s="1"/>
  <c r="AB123" i="3"/>
  <c r="AG65" i="3"/>
  <c r="AH65" i="3" s="1"/>
  <c r="AB65" i="3"/>
  <c r="DO61" i="3"/>
  <c r="DP61" i="3" s="1"/>
  <c r="AG61" i="3"/>
  <c r="AH61" i="3" s="1"/>
  <c r="AB61" i="3"/>
  <c r="AG155" i="3"/>
  <c r="AH155" i="3" s="1"/>
  <c r="AB155" i="3"/>
  <c r="AG158" i="3"/>
  <c r="AH158" i="3" s="1"/>
  <c r="AB158" i="3"/>
  <c r="AG24" i="3"/>
  <c r="AH24" i="3" s="1"/>
  <c r="AB24" i="3"/>
  <c r="AG188" i="3"/>
  <c r="AH188" i="3" s="1"/>
  <c r="AB188" i="3"/>
  <c r="AG76" i="3"/>
  <c r="AH76" i="3" s="1"/>
  <c r="AB76" i="3"/>
  <c r="AG111" i="3"/>
  <c r="AH111" i="3" s="1"/>
  <c r="AB111" i="3"/>
  <c r="AG100" i="3"/>
  <c r="AH100" i="3" s="1"/>
  <c r="AB100" i="3"/>
  <c r="AG134" i="3"/>
  <c r="AH134" i="3" s="1"/>
  <c r="AB134" i="3"/>
  <c r="AG17" i="3"/>
  <c r="AH17" i="3" s="1"/>
  <c r="AB17" i="3"/>
  <c r="AG18" i="3"/>
  <c r="AH18" i="3" s="1"/>
  <c r="AG52" i="3"/>
  <c r="AH52" i="3" s="1"/>
  <c r="AB52" i="3"/>
  <c r="DO187" i="3"/>
  <c r="DP187" i="3" s="1"/>
  <c r="AG187" i="3"/>
  <c r="AH187" i="3" s="1"/>
  <c r="AB187" i="3"/>
  <c r="AG130" i="3"/>
  <c r="AH130" i="3" s="1"/>
  <c r="DO82" i="3"/>
  <c r="DP82" i="3" s="1"/>
  <c r="AG82" i="3"/>
  <c r="AH82" i="3" s="1"/>
  <c r="AB82" i="3"/>
  <c r="AG157" i="3"/>
  <c r="AH157" i="3" s="1"/>
  <c r="AB157" i="3"/>
  <c r="DO225" i="3"/>
  <c r="DP225" i="3" s="1"/>
  <c r="AG225" i="3"/>
  <c r="AH225" i="3" s="1"/>
  <c r="AA225" i="3"/>
  <c r="AB225" i="3" s="1"/>
  <c r="DO62" i="3"/>
  <c r="DP62" i="3" s="1"/>
  <c r="AG62" i="3"/>
  <c r="AH62" i="3" s="1"/>
  <c r="AB62" i="3"/>
  <c r="DO45" i="3"/>
  <c r="DP45" i="3" s="1"/>
  <c r="AG45" i="3"/>
  <c r="AH45" i="3" s="1"/>
  <c r="AA45" i="3"/>
  <c r="AB45" i="3" s="1"/>
  <c r="AG146" i="3"/>
  <c r="AH146" i="3" s="1"/>
  <c r="AB146" i="3"/>
  <c r="DJ15" i="3"/>
  <c r="DP15" i="3" s="1"/>
  <c r="AG15" i="3"/>
  <c r="AH15" i="3" s="1"/>
  <c r="AA15" i="3"/>
  <c r="AB15" i="3" s="1"/>
  <c r="AG127" i="3"/>
  <c r="AH127" i="3" s="1"/>
  <c r="AB127" i="3"/>
  <c r="DN51" i="3"/>
  <c r="DP51" i="3" s="1"/>
  <c r="AG51" i="3"/>
  <c r="AH51" i="3" s="1"/>
  <c r="AB51" i="3"/>
  <c r="DN224" i="3"/>
  <c r="DP224" i="3" s="1"/>
  <c r="AG224" i="3"/>
  <c r="AH224" i="3" s="1"/>
  <c r="AB224" i="3"/>
  <c r="DN223" i="3"/>
  <c r="DP223" i="3" s="1"/>
  <c r="BQ223" i="3"/>
  <c r="AG223" i="3" s="1"/>
  <c r="AH223" i="3" s="1"/>
  <c r="AB223" i="3"/>
  <c r="BQ131" i="3"/>
  <c r="AG131" i="3" s="1"/>
  <c r="AH131" i="3" s="1"/>
  <c r="AB131" i="3"/>
  <c r="BQ48" i="3"/>
  <c r="AG48" i="3" s="1"/>
  <c r="AH48" i="3" s="1"/>
  <c r="AB48" i="3"/>
  <c r="BQ175" i="3"/>
  <c r="AG175" i="3" s="1"/>
  <c r="AH175" i="3" s="1"/>
  <c r="AB175" i="3"/>
  <c r="BQ104" i="3"/>
  <c r="AG104" i="3" s="1"/>
  <c r="AH104" i="3" s="1"/>
  <c r="AB104" i="3"/>
  <c r="BQ133" i="3"/>
  <c r="AG133" i="3" s="1"/>
  <c r="AH133" i="3" s="1"/>
  <c r="AB133" i="3"/>
  <c r="DN186" i="3"/>
  <c r="DM186" i="3"/>
  <c r="BQ186" i="3"/>
  <c r="AG186" i="3" s="1"/>
  <c r="AH186" i="3" s="1"/>
  <c r="AA186" i="3"/>
  <c r="AB186" i="3" s="1"/>
  <c r="CF19" i="3"/>
  <c r="CG19" i="3" s="1"/>
  <c r="BQ19" i="3"/>
  <c r="AG19" i="3" s="1"/>
  <c r="AH19" i="3" s="1"/>
  <c r="AB19" i="3"/>
  <c r="CF37" i="3"/>
  <c r="CG37" i="3" s="1"/>
  <c r="BQ37" i="3"/>
  <c r="AG37" i="3" s="1"/>
  <c r="AH37" i="3" s="1"/>
  <c r="AB37" i="3"/>
  <c r="DM185" i="3"/>
  <c r="DP185" i="3" s="1"/>
  <c r="CF185" i="3"/>
  <c r="CG185" i="3" s="1"/>
  <c r="BQ185" i="3"/>
  <c r="AG185" i="3" s="1"/>
  <c r="AH185" i="3" s="1"/>
  <c r="AB185" i="3"/>
  <c r="CF184" i="3"/>
  <c r="CG184" i="3" s="1"/>
  <c r="BQ184" i="3"/>
  <c r="AG184" i="3" s="1"/>
  <c r="AH184" i="3" s="1"/>
  <c r="AB184" i="3"/>
  <c r="CF183" i="3"/>
  <c r="CG183" i="3" s="1"/>
  <c r="BQ183" i="3"/>
  <c r="AG183" i="3" s="1"/>
  <c r="AH183" i="3" s="1"/>
  <c r="AB183" i="3"/>
  <c r="CF182" i="3"/>
  <c r="CG182" i="3" s="1"/>
  <c r="BQ182" i="3"/>
  <c r="AG182" i="3" s="1"/>
  <c r="AH182" i="3" s="1"/>
  <c r="AB182" i="3"/>
  <c r="DO181" i="3"/>
  <c r="DP181" i="3" s="1"/>
  <c r="CF181" i="3"/>
  <c r="CG181" i="3" s="1"/>
  <c r="BQ181" i="3"/>
  <c r="AG181" i="3" s="1"/>
  <c r="AH181" i="3" s="1"/>
  <c r="AB181" i="3"/>
  <c r="CF211" i="3"/>
  <c r="CG211" i="3" s="1"/>
  <c r="BQ211" i="3"/>
  <c r="AG211" i="3" s="1"/>
  <c r="AH211" i="3" s="1"/>
  <c r="DE222" i="3"/>
  <c r="DP222" i="3" s="1"/>
  <c r="CF222" i="3"/>
  <c r="CG222" i="3" s="1"/>
  <c r="BQ222" i="3"/>
  <c r="AG222" i="3" s="1"/>
  <c r="AH222" i="3" s="1"/>
  <c r="AB222" i="3"/>
  <c r="CF210" i="3"/>
  <c r="CG210" i="3" s="1"/>
  <c r="BQ210" i="3"/>
  <c r="AG210" i="3" s="1"/>
  <c r="AH210" i="3" s="1"/>
  <c r="CF54" i="3"/>
  <c r="CG54" i="3" s="1"/>
  <c r="BQ54" i="3"/>
  <c r="AG54" i="3" s="1"/>
  <c r="AH54" i="3" s="1"/>
  <c r="AB54" i="3"/>
  <c r="DR110" i="3"/>
  <c r="DS110" i="3" s="1"/>
  <c r="DT110" i="3" s="1"/>
  <c r="DP110" i="3"/>
  <c r="CF110" i="3"/>
  <c r="CG110" i="3" s="1"/>
  <c r="BQ110" i="3"/>
  <c r="AG110" i="3" s="1"/>
  <c r="AH110" i="3" s="1"/>
  <c r="AB110" i="3"/>
  <c r="DX11" i="3"/>
  <c r="DW11" i="3"/>
  <c r="DV11" i="3"/>
  <c r="DU11" i="3"/>
  <c r="DT11" i="3"/>
  <c r="DS11" i="3"/>
  <c r="DR11" i="3"/>
  <c r="DQ11" i="3"/>
  <c r="DP11" i="3"/>
  <c r="DO11" i="3"/>
  <c r="DN11" i="3"/>
  <c r="DM11" i="3"/>
  <c r="DL11" i="3"/>
  <c r="DK11" i="3"/>
  <c r="DJ11" i="3"/>
  <c r="DI11" i="3"/>
  <c r="DH11" i="3"/>
  <c r="DG11" i="3"/>
  <c r="DF11" i="3"/>
  <c r="DE11" i="3"/>
  <c r="DD11" i="3"/>
  <c r="DC11" i="3"/>
  <c r="DB11" i="3"/>
  <c r="DA11" i="3"/>
  <c r="CZ11" i="3"/>
  <c r="CY11" i="3"/>
  <c r="CX11" i="3"/>
  <c r="CW11" i="3"/>
  <c r="CV11" i="3"/>
  <c r="CU11"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I11" i="3"/>
  <c r="AF11" i="3"/>
  <c r="AD11" i="3"/>
  <c r="AC11" i="3"/>
  <c r="AB11" i="3"/>
  <c r="AA11" i="3"/>
  <c r="Z11" i="3"/>
  <c r="Y11" i="3"/>
  <c r="X11" i="3"/>
  <c r="W11" i="3"/>
  <c r="V11" i="3"/>
  <c r="U11" i="3"/>
  <c r="T11" i="3"/>
  <c r="S11" i="3"/>
  <c r="R11" i="3"/>
  <c r="Q11" i="3"/>
  <c r="P11" i="3"/>
  <c r="O11" i="3"/>
  <c r="N11" i="3"/>
  <c r="M11" i="3"/>
  <c r="L11" i="3"/>
  <c r="K11" i="3"/>
  <c r="J11" i="3"/>
  <c r="I11" i="3"/>
  <c r="H11" i="3"/>
  <c r="G11" i="3"/>
  <c r="F11" i="3"/>
  <c r="E11" i="3"/>
  <c r="D11" i="3"/>
  <c r="C11" i="3"/>
  <c r="B11" i="3"/>
  <c r="DL10" i="3"/>
  <c r="DK10" i="3"/>
  <c r="DJ10" i="3"/>
  <c r="DI10" i="3"/>
  <c r="DH10" i="3"/>
  <c r="DG10" i="3"/>
  <c r="DF10" i="3"/>
  <c r="DD10" i="3"/>
  <c r="CY10" i="3"/>
  <c r="CE10" i="3"/>
  <c r="CD10" i="3"/>
  <c r="CC10" i="3"/>
  <c r="CB10" i="3"/>
  <c r="CA10" i="3"/>
  <c r="BZ10" i="3"/>
  <c r="BY10" i="3"/>
  <c r="BX10" i="3"/>
  <c r="BW10" i="3"/>
  <c r="BV10" i="3"/>
  <c r="BU10" i="3"/>
  <c r="BT10" i="3"/>
  <c r="BP10" i="3"/>
  <c r="BO10" i="3"/>
  <c r="BN10" i="3"/>
  <c r="BM10" i="3"/>
  <c r="BL10" i="3"/>
  <c r="BK10" i="3"/>
  <c r="BJ10" i="3"/>
  <c r="BI10" i="3"/>
  <c r="AZ10" i="3"/>
  <c r="AY10" i="3"/>
  <c r="AR10" i="3"/>
  <c r="AQ10" i="3"/>
  <c r="AF10" i="3"/>
  <c r="AE10" i="3"/>
  <c r="DO9" i="3"/>
  <c r="DL9" i="3"/>
  <c r="DK9" i="3"/>
  <c r="DJ9" i="3"/>
  <c r="DI9" i="3"/>
  <c r="DH9" i="3"/>
  <c r="DG9" i="3"/>
  <c r="AZ9" i="3"/>
  <c r="BS2" i="3"/>
  <c r="BR2" i="3"/>
  <c r="AB12" i="3" l="1"/>
  <c r="AA10" i="3"/>
  <c r="AB10" i="3"/>
  <c r="AD1" i="3" s="1"/>
  <c r="DP186" i="3"/>
  <c r="DQ186" i="3" s="1"/>
  <c r="DP44" i="3"/>
  <c r="DQ44" i="3" s="1"/>
  <c r="DP237" i="3"/>
  <c r="DQ237" i="3" s="1"/>
  <c r="DP46" i="3"/>
  <c r="DQ46" i="3" s="1"/>
  <c r="DP12" i="3"/>
  <c r="DQ12" i="3" s="1"/>
  <c r="DQ66" i="3"/>
  <c r="DS222" i="3"/>
  <c r="DT222" i="3" s="1"/>
  <c r="DU222" i="3" s="1"/>
  <c r="DV222" i="3" s="1"/>
  <c r="DW222" i="3" s="1"/>
  <c r="DX222" i="3" s="1"/>
  <c r="DY222" i="3" s="1"/>
  <c r="DZ222" i="3" s="1"/>
  <c r="EA222" i="3" s="1"/>
  <c r="EB222" i="3" s="1"/>
  <c r="EC222" i="3" s="1"/>
  <c r="ED222" i="3" s="1"/>
  <c r="EC181" i="3"/>
  <c r="ED181" i="3" s="1"/>
  <c r="EA185" i="3"/>
  <c r="EB185" i="3" s="1"/>
  <c r="EC185" i="3" s="1"/>
  <c r="ED185" i="3" s="1"/>
  <c r="EA186" i="3"/>
  <c r="EB186" i="3" s="1"/>
  <c r="EC186" i="3" s="1"/>
  <c r="ED186" i="3" s="1"/>
  <c r="EB223" i="3"/>
  <c r="EC223" i="3" s="1"/>
  <c r="ED223" i="3" s="1"/>
  <c r="EB224" i="3"/>
  <c r="EC224" i="3" s="1"/>
  <c r="ED224" i="3" s="1"/>
  <c r="EB51" i="3"/>
  <c r="EC51" i="3" s="1"/>
  <c r="ED51" i="3" s="1"/>
  <c r="DX15" i="3"/>
  <c r="DY15" i="3" s="1"/>
  <c r="DZ15" i="3" s="1"/>
  <c r="EA15" i="3" s="1"/>
  <c r="EB15" i="3" s="1"/>
  <c r="EC15" i="3" s="1"/>
  <c r="ED15" i="3" s="1"/>
  <c r="EC45" i="3"/>
  <c r="ED45" i="3" s="1"/>
  <c r="EC62" i="3"/>
  <c r="ED62" i="3" s="1"/>
  <c r="EC225" i="3"/>
  <c r="ED225" i="3" s="1"/>
  <c r="EC82" i="3"/>
  <c r="ED82" i="3" s="1"/>
  <c r="EC187" i="3"/>
  <c r="ED187" i="3" s="1"/>
  <c r="EC61" i="3"/>
  <c r="ED61" i="3" s="1"/>
  <c r="DT226" i="3"/>
  <c r="DU226" i="3" s="1"/>
  <c r="DV226" i="3" s="1"/>
  <c r="DW226" i="3" s="1"/>
  <c r="DX226" i="3" s="1"/>
  <c r="DY226" i="3" s="1"/>
  <c r="DZ226" i="3" s="1"/>
  <c r="EA226" i="3" s="1"/>
  <c r="EB226" i="3" s="1"/>
  <c r="EC226" i="3" s="1"/>
  <c r="ED226" i="3" s="1"/>
  <c r="DT124" i="3"/>
  <c r="DU124" i="3" s="1"/>
  <c r="DV124" i="3" s="1"/>
  <c r="DW124" i="3" s="1"/>
  <c r="DX124" i="3" s="1"/>
  <c r="DY124" i="3" s="1"/>
  <c r="DZ124" i="3" s="1"/>
  <c r="EA124" i="3" s="1"/>
  <c r="EB124" i="3" s="1"/>
  <c r="EC124" i="3" s="1"/>
  <c r="ED124" i="3" s="1"/>
  <c r="DT109" i="3"/>
  <c r="DU109" i="3" s="1"/>
  <c r="DV109" i="3" s="1"/>
  <c r="DW109" i="3" s="1"/>
  <c r="DX109" i="3" s="1"/>
  <c r="DY109" i="3" s="1"/>
  <c r="DZ109" i="3" s="1"/>
  <c r="EA109" i="3" s="1"/>
  <c r="EB109" i="3" s="1"/>
  <c r="EC109" i="3" s="1"/>
  <c r="ED109" i="3" s="1"/>
  <c r="EC217" i="3"/>
  <c r="ED217" i="3" s="1"/>
  <c r="EA44" i="3"/>
  <c r="EB44" i="3" s="1"/>
  <c r="EC44" i="3" s="1"/>
  <c r="ED44" i="3" s="1"/>
  <c r="DS38" i="3"/>
  <c r="DT38" i="3" s="1"/>
  <c r="DU38" i="3" s="1"/>
  <c r="DV38" i="3" s="1"/>
  <c r="DW38" i="3" s="1"/>
  <c r="DX38" i="3" s="1"/>
  <c r="DY38" i="3" s="1"/>
  <c r="DZ38" i="3" s="1"/>
  <c r="EA38" i="3" s="1"/>
  <c r="EB38" i="3" s="1"/>
  <c r="EC38" i="3" s="1"/>
  <c r="ED38" i="3" s="1"/>
  <c r="DX13" i="3"/>
  <c r="DY13" i="3" s="1"/>
  <c r="DZ13" i="3" s="1"/>
  <c r="EA13" i="3" s="1"/>
  <c r="EB13" i="3" s="1"/>
  <c r="EC13" i="3" s="1"/>
  <c r="ED13" i="3" s="1"/>
  <c r="DX16" i="3"/>
  <c r="DY16" i="3" s="1"/>
  <c r="DZ16" i="3" s="1"/>
  <c r="EA16" i="3" s="1"/>
  <c r="EB16" i="3" s="1"/>
  <c r="EC16" i="3" s="1"/>
  <c r="ED16" i="3" s="1"/>
  <c r="DU219" i="3"/>
  <c r="DV219" i="3" s="1"/>
  <c r="DW219" i="3" s="1"/>
  <c r="DX219" i="3" s="1"/>
  <c r="DY219" i="3" s="1"/>
  <c r="DZ219" i="3" s="1"/>
  <c r="EA219" i="3" s="1"/>
  <c r="EB219" i="3" s="1"/>
  <c r="EC219" i="3" s="1"/>
  <c r="ED219" i="3" s="1"/>
  <c r="DX172" i="3"/>
  <c r="DY172" i="3" s="1"/>
  <c r="DZ172" i="3" s="1"/>
  <c r="EA172" i="3" s="1"/>
  <c r="EB172" i="3" s="1"/>
  <c r="EC172" i="3" s="1"/>
  <c r="ED172" i="3" s="1"/>
  <c r="DT78" i="3"/>
  <c r="DU78" i="3" s="1"/>
  <c r="DV78" i="3" s="1"/>
  <c r="DW78" i="3" s="1"/>
  <c r="DX78" i="3" s="1"/>
  <c r="DY78" i="3" s="1"/>
  <c r="DZ78" i="3" s="1"/>
  <c r="EA78" i="3" s="1"/>
  <c r="EB78" i="3" s="1"/>
  <c r="EC78" i="3" s="1"/>
  <c r="ED78" i="3" s="1"/>
  <c r="DY77" i="3"/>
  <c r="DZ77" i="3" s="1"/>
  <c r="EA77" i="3" s="1"/>
  <c r="EB77" i="3" s="1"/>
  <c r="EC77" i="3" s="1"/>
  <c r="ED77" i="3" s="1"/>
  <c r="DX220" i="3"/>
  <c r="DY220" i="3" s="1"/>
  <c r="DZ220" i="3" s="1"/>
  <c r="EA220" i="3" s="1"/>
  <c r="EB220" i="3" s="1"/>
  <c r="EC220" i="3" s="1"/>
  <c r="ED220" i="3" s="1"/>
  <c r="EA86" i="3"/>
  <c r="EB86" i="3" s="1"/>
  <c r="EC86" i="3" s="1"/>
  <c r="ED86" i="3" s="1"/>
  <c r="DT83" i="3"/>
  <c r="DU83" i="3" s="1"/>
  <c r="DV83" i="3" s="1"/>
  <c r="DW83" i="3" s="1"/>
  <c r="DX83" i="3" s="1"/>
  <c r="DY83" i="3" s="1"/>
  <c r="DZ83" i="3" s="1"/>
  <c r="EA83" i="3" s="1"/>
  <c r="EB83" i="3" s="1"/>
  <c r="EC83" i="3" s="1"/>
  <c r="ED83" i="3" s="1"/>
  <c r="EB56" i="3"/>
  <c r="EC56" i="3" s="1"/>
  <c r="ED56" i="3" s="1"/>
  <c r="EA69" i="3"/>
  <c r="EB69" i="3" s="1"/>
  <c r="EC69" i="3" s="1"/>
  <c r="ED69" i="3" s="1"/>
  <c r="DX21" i="3"/>
  <c r="DY21" i="3" s="1"/>
  <c r="DZ21" i="3" s="1"/>
  <c r="EA21" i="3" s="1"/>
  <c r="EB21" i="3" s="1"/>
  <c r="EC21" i="3" s="1"/>
  <c r="ED21" i="3" s="1"/>
  <c r="EB221" i="3"/>
  <c r="EC221" i="3" s="1"/>
  <c r="ED221" i="3" s="1"/>
  <c r="EC230" i="3"/>
  <c r="ED230" i="3" s="1"/>
  <c r="EC84" i="3"/>
  <c r="ED84" i="3" s="1"/>
  <c r="EA67" i="3"/>
  <c r="EB67" i="3" s="1"/>
  <c r="EC67" i="3" s="1"/>
  <c r="ED67" i="3" s="1"/>
  <c r="EA71" i="3"/>
  <c r="EB71" i="3" s="1"/>
  <c r="EC71" i="3" s="1"/>
  <c r="ED71" i="3" s="1"/>
  <c r="EC103" i="3"/>
  <c r="ED103" i="3" s="1"/>
  <c r="DT113" i="3"/>
  <c r="DU113" i="3" s="1"/>
  <c r="DV113" i="3" s="1"/>
  <c r="DW113" i="3" s="1"/>
  <c r="DX113" i="3" s="1"/>
  <c r="DY113" i="3" s="1"/>
  <c r="DZ113" i="3" s="1"/>
  <c r="EA113" i="3" s="1"/>
  <c r="EB113" i="3" s="1"/>
  <c r="EC113" i="3" s="1"/>
  <c r="ED113" i="3" s="1"/>
  <c r="DS12" i="3"/>
  <c r="DT12" i="3" s="1"/>
  <c r="DU12" i="3" s="1"/>
  <c r="DV12" i="3" s="1"/>
  <c r="DW12" i="3" s="1"/>
  <c r="DX12" i="3" s="1"/>
  <c r="DY12" i="3" s="1"/>
  <c r="DZ12" i="3" s="1"/>
  <c r="EA12" i="3" s="1"/>
  <c r="EB12" i="3" s="1"/>
  <c r="EC12" i="3" s="1"/>
  <c r="ED12" i="3" s="1"/>
  <c r="DX20" i="3"/>
  <c r="DY20" i="3" s="1"/>
  <c r="DZ20" i="3" s="1"/>
  <c r="EA20" i="3" s="1"/>
  <c r="EB20" i="3" s="1"/>
  <c r="EC20" i="3" s="1"/>
  <c r="ED20" i="3" s="1"/>
  <c r="EB25" i="3"/>
  <c r="EC25" i="3" s="1"/>
  <c r="ED25" i="3" s="1"/>
  <c r="DU98" i="3"/>
  <c r="DV98" i="3" s="1"/>
  <c r="DW98" i="3" s="1"/>
  <c r="DX98" i="3" s="1"/>
  <c r="DY98" i="3" s="1"/>
  <c r="DZ98" i="3" s="1"/>
  <c r="EA98" i="3" s="1"/>
  <c r="EB98" i="3" s="1"/>
  <c r="EC98" i="3" s="1"/>
  <c r="ED98" i="3" s="1"/>
  <c r="DY235" i="3"/>
  <c r="DZ235" i="3" s="1"/>
  <c r="EA235" i="3" s="1"/>
  <c r="EB235" i="3" s="1"/>
  <c r="EC235" i="3" s="1"/>
  <c r="ED235" i="3" s="1"/>
  <c r="DU237" i="3"/>
  <c r="DV237" i="3" s="1"/>
  <c r="DW237" i="3" s="1"/>
  <c r="DX237" i="3" s="1"/>
  <c r="DY237" i="3" s="1"/>
  <c r="DZ237" i="3" s="1"/>
  <c r="EA237" i="3" s="1"/>
  <c r="EB237" i="3" s="1"/>
  <c r="EC237" i="3" s="1"/>
  <c r="ED237" i="3" s="1"/>
  <c r="DT171" i="3"/>
  <c r="DU171" i="3" s="1"/>
  <c r="DV171" i="3" s="1"/>
  <c r="DW171" i="3" s="1"/>
  <c r="DX171" i="3" s="1"/>
  <c r="DY171" i="3" s="1"/>
  <c r="DZ171" i="3" s="1"/>
  <c r="EA171" i="3" s="1"/>
  <c r="EB171" i="3" s="1"/>
  <c r="EC171" i="3" s="1"/>
  <c r="ED171" i="3" s="1"/>
  <c r="DX46" i="3"/>
  <c r="DY46" i="3" s="1"/>
  <c r="DZ46" i="3" s="1"/>
  <c r="EA46" i="3" s="1"/>
  <c r="EB46" i="3" s="1"/>
  <c r="EC46" i="3" s="1"/>
  <c r="ED46" i="3" s="1"/>
  <c r="DX39" i="3"/>
  <c r="DY39" i="3" s="1"/>
  <c r="DZ39" i="3" s="1"/>
  <c r="EA39" i="3" s="1"/>
  <c r="EB39" i="3" s="1"/>
  <c r="EC39" i="3" s="1"/>
  <c r="ED39" i="3" s="1"/>
  <c r="DQ144" i="3"/>
  <c r="DQ190" i="3"/>
  <c r="DQ163" i="3"/>
  <c r="DQ181" i="3"/>
  <c r="DQ227" i="3"/>
  <c r="DQ26" i="3"/>
  <c r="DQ95" i="3"/>
  <c r="DQ174" i="3"/>
  <c r="DQ30" i="3"/>
  <c r="DQ124" i="3"/>
  <c r="ED190" i="3"/>
  <c r="DQ108" i="3"/>
  <c r="DQ141" i="3"/>
  <c r="DQ27" i="3"/>
  <c r="ED76" i="3"/>
  <c r="ED196" i="3"/>
  <c r="ED155" i="3"/>
  <c r="ED35" i="3"/>
  <c r="DQ61" i="3"/>
  <c r="ED197" i="3"/>
  <c r="DQ230" i="3"/>
  <c r="ED117" i="3"/>
  <c r="ED14" i="3"/>
  <c r="ED227" i="3"/>
  <c r="DQ162" i="3"/>
  <c r="ED108" i="3"/>
  <c r="ED30" i="3"/>
  <c r="ED236" i="3"/>
  <c r="DQ37" i="3"/>
  <c r="DQ107" i="3"/>
  <c r="DQ16" i="3"/>
  <c r="ED49" i="3"/>
  <c r="ED229" i="3"/>
  <c r="DQ172" i="3"/>
  <c r="DQ82" i="3"/>
  <c r="DQ110" i="3"/>
  <c r="DQ146" i="3"/>
  <c r="DQ76" i="3"/>
  <c r="DQ85" i="3"/>
  <c r="DQ127" i="3"/>
  <c r="ED143" i="3"/>
  <c r="DQ218" i="3"/>
  <c r="DQ170" i="3"/>
  <c r="DQ175" i="3"/>
  <c r="DQ60" i="3"/>
  <c r="ED17" i="3"/>
  <c r="DQ40" i="3"/>
  <c r="BQ10" i="3"/>
  <c r="ED131" i="3"/>
  <c r="ED127" i="3"/>
  <c r="DQ62" i="3"/>
  <c r="DQ101" i="3"/>
  <c r="ED218" i="3"/>
  <c r="ED228" i="3"/>
  <c r="DQ78" i="3"/>
  <c r="ED40" i="3"/>
  <c r="ED162" i="3"/>
  <c r="DQ236" i="3"/>
  <c r="DQ223" i="3"/>
  <c r="ED100" i="3"/>
  <c r="DQ24" i="3"/>
  <c r="DQ65" i="3"/>
  <c r="DQ109" i="3"/>
  <c r="ED173" i="3"/>
  <c r="ED101" i="3"/>
  <c r="DQ32" i="3"/>
  <c r="ED107" i="3"/>
  <c r="DQ69" i="3"/>
  <c r="ED147" i="3"/>
  <c r="ED60" i="3"/>
  <c r="DQ80" i="3"/>
  <c r="DQ88" i="3"/>
  <c r="DQ183" i="3"/>
  <c r="DQ111" i="3"/>
  <c r="ED24" i="3"/>
  <c r="ED65" i="3"/>
  <c r="DQ92" i="3"/>
  <c r="DQ119" i="3"/>
  <c r="ED32" i="3"/>
  <c r="ED178" i="3"/>
  <c r="DQ86" i="3"/>
  <c r="DQ58" i="3"/>
  <c r="ED231" i="3"/>
  <c r="ED90" i="3"/>
  <c r="DQ87" i="3"/>
  <c r="DQ98" i="3"/>
  <c r="ED122" i="3"/>
  <c r="ED80" i="3"/>
  <c r="ED151" i="3"/>
  <c r="DQ185" i="3"/>
  <c r="CF10" i="3"/>
  <c r="ED183" i="3"/>
  <c r="ED111" i="3"/>
  <c r="DQ158" i="3"/>
  <c r="DQ99" i="3"/>
  <c r="DQ63" i="3"/>
  <c r="DQ140" i="3"/>
  <c r="DQ106" i="3"/>
  <c r="ED189" i="3"/>
  <c r="DQ132" i="3"/>
  <c r="ED58" i="3"/>
  <c r="ED87" i="3"/>
  <c r="DQ39" i="3"/>
  <c r="ED134" i="3"/>
  <c r="DQ220" i="3"/>
  <c r="DQ184" i="3"/>
  <c r="DQ157" i="3"/>
  <c r="ED158" i="3"/>
  <c r="ED123" i="3"/>
  <c r="ED99" i="3"/>
  <c r="ED145" i="3"/>
  <c r="ED92" i="3"/>
  <c r="ED119" i="3"/>
  <c r="ED170" i="3"/>
  <c r="ED27" i="3"/>
  <c r="ED106" i="3"/>
  <c r="DQ83" i="3"/>
  <c r="DQ161" i="3"/>
  <c r="ED164" i="3"/>
  <c r="DQ152" i="3"/>
  <c r="DQ48" i="3"/>
  <c r="ED146" i="3"/>
  <c r="ED157" i="3"/>
  <c r="DQ52" i="3"/>
  <c r="DQ134" i="3"/>
  <c r="DQ155" i="3"/>
  <c r="DQ55" i="3"/>
  <c r="DQ94" i="3"/>
  <c r="ED141" i="3"/>
  <c r="ED167" i="3"/>
  <c r="ED28" i="3"/>
  <c r="DQ137" i="3"/>
  <c r="DQ49" i="3"/>
  <c r="ED161" i="3"/>
  <c r="ED191" i="3"/>
  <c r="DQ67" i="3"/>
  <c r="DQ197" i="3"/>
  <c r="ED144" i="3"/>
  <c r="DQ148" i="3"/>
  <c r="DQ75" i="3"/>
  <c r="DQ133" i="3"/>
  <c r="ED52" i="3"/>
  <c r="ED55" i="3"/>
  <c r="DQ35" i="3"/>
  <c r="ED94" i="3"/>
  <c r="DQ151" i="3"/>
  <c r="DQ143" i="3"/>
  <c r="ED174" i="3"/>
  <c r="ED137" i="3"/>
  <c r="ED120" i="3"/>
  <c r="DQ56" i="3"/>
  <c r="ED26" i="3"/>
  <c r="DQ79" i="3"/>
  <c r="ED177" i="3"/>
  <c r="ED148" i="3"/>
  <c r="ED128" i="3"/>
  <c r="DQ120" i="3"/>
  <c r="ED140" i="3"/>
  <c r="DQ189" i="3"/>
  <c r="DQ159" i="3"/>
  <c r="DQ131" i="3"/>
  <c r="DQ225" i="3"/>
  <c r="DQ114" i="3"/>
  <c r="DQ102" i="3"/>
  <c r="DQ21" i="3"/>
  <c r="ED152" i="3"/>
  <c r="ED175" i="3"/>
  <c r="DQ191" i="3"/>
  <c r="DQ222" i="3"/>
  <c r="DQ17" i="3"/>
  <c r="ED114" i="3"/>
  <c r="DQ165" i="3"/>
  <c r="ED102" i="3"/>
  <c r="ED63" i="3"/>
  <c r="ED118" i="3"/>
  <c r="ED153" i="3"/>
  <c r="ED160" i="3"/>
  <c r="DQ105" i="3"/>
  <c r="DQ221" i="3"/>
  <c r="DQ188" i="3"/>
  <c r="DQ154" i="3"/>
  <c r="DQ121" i="3"/>
  <c r="DQ117" i="3"/>
  <c r="ED165" i="3"/>
  <c r="DQ149" i="3"/>
  <c r="DQ168" i="3"/>
  <c r="DQ113" i="3"/>
  <c r="ED105" i="3"/>
  <c r="DQ136" i="3"/>
  <c r="ED188" i="3"/>
  <c r="ED154" i="3"/>
  <c r="ED121" i="3"/>
  <c r="ED149" i="3"/>
  <c r="DQ231" i="3"/>
  <c r="DQ71" i="3"/>
  <c r="DQ122" i="3"/>
  <c r="ED136" i="3"/>
  <c r="DQ14" i="3"/>
  <c r="DQ187" i="3"/>
  <c r="DQ123" i="3"/>
  <c r="DQ128" i="3"/>
  <c r="DQ38" i="3"/>
  <c r="DQ229" i="3"/>
  <c r="ED132" i="3"/>
  <c r="ED159" i="3"/>
  <c r="DQ84" i="3"/>
  <c r="DQ53" i="3"/>
  <c r="ED168" i="3"/>
  <c r="DQ90" i="3"/>
  <c r="DQ160" i="3"/>
  <c r="DQ169" i="3"/>
  <c r="DQ70" i="3"/>
  <c r="DQ118" i="3"/>
  <c r="DQ138" i="3"/>
  <c r="DQ139" i="3"/>
  <c r="DQ164" i="3"/>
  <c r="DQ196" i="3"/>
  <c r="DQ20" i="3"/>
  <c r="ED79" i="3"/>
  <c r="ED169" i="3"/>
  <c r="ED75" i="3"/>
  <c r="ED37" i="3"/>
  <c r="ED133" i="3"/>
  <c r="ED48" i="3"/>
  <c r="DQ224" i="3"/>
  <c r="DQ15" i="3"/>
  <c r="DQ45" i="3"/>
  <c r="DQ100" i="3"/>
  <c r="DQ156" i="3"/>
  <c r="DQ22" i="3"/>
  <c r="DQ129" i="3"/>
  <c r="DQ77" i="3"/>
  <c r="ED70" i="3"/>
  <c r="ED138" i="3"/>
  <c r="DQ147" i="3"/>
  <c r="ED139" i="3"/>
  <c r="DQ235" i="3"/>
  <c r="DQ31" i="3"/>
  <c r="DQ54" i="3"/>
  <c r="DQ182" i="3"/>
  <c r="ED184" i="3"/>
  <c r="DQ19" i="3"/>
  <c r="DQ104" i="3"/>
  <c r="ED85" i="3"/>
  <c r="DQ116" i="3"/>
  <c r="DQ145" i="3"/>
  <c r="DQ173" i="3"/>
  <c r="DQ126" i="3"/>
  <c r="ED95" i="3"/>
  <c r="ED156" i="3"/>
  <c r="DQ59" i="3"/>
  <c r="ED22" i="3"/>
  <c r="ED129" i="3"/>
  <c r="DQ81" i="3"/>
  <c r="ED53" i="3"/>
  <c r="DQ153" i="3"/>
  <c r="DQ103" i="3"/>
  <c r="DQ96" i="3"/>
  <c r="DQ177" i="3"/>
  <c r="ED31" i="3"/>
  <c r="ED54" i="3"/>
  <c r="ED182" i="3"/>
  <c r="ED19" i="3"/>
  <c r="ED104" i="3"/>
  <c r="DQ51" i="3"/>
  <c r="DQ226" i="3"/>
  <c r="ED116" i="3"/>
  <c r="ED88" i="3"/>
  <c r="ED126" i="3"/>
  <c r="DQ167" i="3"/>
  <c r="DQ217" i="3"/>
  <c r="ED59" i="3"/>
  <c r="DQ28" i="3"/>
  <c r="DQ228" i="3"/>
  <c r="DQ178" i="3"/>
  <c r="DQ13" i="3"/>
  <c r="DQ219" i="3"/>
  <c r="ED81" i="3"/>
  <c r="ED163" i="3"/>
  <c r="ED96" i="3"/>
  <c r="DQ25" i="3"/>
  <c r="ED66" i="3"/>
  <c r="DQ171" i="3"/>
  <c r="DU110" i="3"/>
  <c r="AH10" i="3"/>
  <c r="AG10" i="3"/>
  <c r="DE10" i="3"/>
  <c r="DM10" i="3"/>
  <c r="CG10" i="3"/>
  <c r="DN10" i="3"/>
  <c r="DE9" i="3"/>
  <c r="DM9" i="3"/>
  <c r="DO10" i="3"/>
  <c r="DF9" i="3"/>
  <c r="DN9" i="3"/>
  <c r="DR10" i="3"/>
  <c r="DP10" i="3" l="1"/>
  <c r="DS10" i="3"/>
  <c r="DQ10" i="3"/>
  <c r="AA6" i="3"/>
  <c r="DQ9" i="3"/>
  <c r="DS9" i="3"/>
  <c r="DV110" i="3"/>
  <c r="DP9" i="3"/>
  <c r="DW110" i="3" l="1"/>
  <c r="DT10" i="3"/>
  <c r="DT9" i="3"/>
  <c r="DU10" i="3" l="1"/>
  <c r="DU9" i="3"/>
  <c r="DX110" i="3"/>
  <c r="DY110" i="3" l="1"/>
  <c r="DV9" i="3"/>
  <c r="DV10" i="3"/>
  <c r="DW10" i="3" l="1"/>
  <c r="DW9" i="3"/>
  <c r="DZ110" i="3"/>
  <c r="EA110" i="3" l="1"/>
  <c r="DX10" i="3"/>
  <c r="DX9" i="3"/>
  <c r="DY9" i="3" l="1"/>
  <c r="DY10" i="3"/>
  <c r="EB110" i="3"/>
  <c r="EC110" i="3" l="1"/>
  <c r="DZ9" i="3"/>
  <c r="DZ10" i="3"/>
  <c r="EA10" i="3" l="1"/>
  <c r="EA9" i="3"/>
  <c r="ED110" i="3"/>
  <c r="EB10" i="3" l="1"/>
  <c r="EB9" i="3"/>
  <c r="EC10" i="3" l="1"/>
  <c r="EC9" i="3"/>
  <c r="ED10" i="3" l="1"/>
  <c r="ED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uthor>
  </authors>
  <commentList>
    <comment ref="Y7" authorId="0" shapeId="0" xr:uid="{DD04F14E-58EF-4F05-8C97-3B4965B3CDE4}">
      <text>
        <r>
          <rPr>
            <b/>
            <sz val="9"/>
            <color indexed="81"/>
            <rFont val="Tahoma"/>
            <family val="2"/>
          </rPr>
          <t>BRI:</t>
        </r>
        <r>
          <rPr>
            <sz val="9"/>
            <color indexed="81"/>
            <rFont val="Tahoma"/>
            <family val="2"/>
          </rPr>
          <t xml:space="preserve">
Mengacu pada nominal total proyek dari dokumen Surat Penawaran Harga/SPK/IP (jika ada) atau estimasi perhitungan.</t>
        </r>
      </text>
    </comment>
    <comment ref="CP7" authorId="0" shapeId="0" xr:uid="{19C6E449-6600-43C1-99A5-979E9720D2DA}">
      <text>
        <r>
          <rPr>
            <b/>
            <sz val="9"/>
            <color rgb="FF000000"/>
            <rFont val="Tahoma"/>
            <family val="2"/>
          </rPr>
          <t>BRI:</t>
        </r>
        <r>
          <rPr>
            <sz val="9"/>
            <color rgb="FF000000"/>
            <rFont val="Tahoma"/>
            <family val="2"/>
          </rPr>
          <t xml:space="preserve">
</t>
        </r>
        <r>
          <rPr>
            <sz val="9"/>
            <color rgb="FF000000"/>
            <rFont val="Tahoma"/>
            <family val="2"/>
          </rPr>
          <t>Estimasi waktu melakukan pengadaan.</t>
        </r>
      </text>
    </comment>
    <comment ref="CQ7" authorId="0" shapeId="0" xr:uid="{21442625-D174-4B69-8492-35EC6543D78F}">
      <text>
        <r>
          <rPr>
            <b/>
            <sz val="9"/>
            <color rgb="FF000000"/>
            <rFont val="Tahoma"/>
            <family val="2"/>
          </rPr>
          <t>BRI:</t>
        </r>
        <r>
          <rPr>
            <sz val="9"/>
            <color rgb="FF000000"/>
            <rFont val="Tahoma"/>
            <family val="2"/>
          </rPr>
          <t xml:space="preserve">
</t>
        </r>
        <r>
          <rPr>
            <sz val="9"/>
            <color rgb="FF000000"/>
            <rFont val="Tahoma"/>
            <family val="2"/>
          </rPr>
          <t>Estimasi waktu pelunasan pembayaran.</t>
        </r>
      </text>
    </comment>
    <comment ref="CT7" authorId="0" shapeId="0" xr:uid="{E2BF016D-948A-48FA-A911-E81746981A74}">
      <text>
        <r>
          <rPr>
            <b/>
            <sz val="9"/>
            <color indexed="81"/>
            <rFont val="Tahoma"/>
            <family val="2"/>
          </rPr>
          <t>BRI:</t>
        </r>
        <r>
          <rPr>
            <sz val="9"/>
            <color indexed="81"/>
            <rFont val="Tahoma"/>
            <family val="2"/>
          </rPr>
          <t xml:space="preserve">
Definisi Rutin : Pengadaan yang mendukung proses operasional, pemeliharaan, atau yang terus dilakukan perpanjangan secara berkala selama layanan masih digunakan.</t>
        </r>
      </text>
    </comment>
    <comment ref="H8" authorId="0" shapeId="0" xr:uid="{AC6A1DBD-9372-4F16-A99E-A054CA259E4E}">
      <text>
        <r>
          <rPr>
            <b/>
            <sz val="9"/>
            <color indexed="81"/>
            <rFont val="Tahoma"/>
            <family val="2"/>
          </rPr>
          <t>BRI:</t>
        </r>
        <r>
          <rPr>
            <sz val="9"/>
            <color indexed="81"/>
            <rFont val="Tahoma"/>
            <family val="2"/>
          </rPr>
          <t xml:space="preserve">
Menggunakan singkatan 3 huruf.</t>
        </r>
      </text>
    </comment>
    <comment ref="I8" authorId="0" shapeId="0" xr:uid="{22C6E336-8D07-40E3-8FB1-3B84D0D44843}">
      <text>
        <r>
          <rPr>
            <b/>
            <sz val="9"/>
            <color indexed="81"/>
            <rFont val="Tahoma"/>
            <family val="2"/>
          </rPr>
          <t>BRI:</t>
        </r>
        <r>
          <rPr>
            <sz val="9"/>
            <color indexed="81"/>
            <rFont val="Tahoma"/>
            <family val="2"/>
          </rPr>
          <t xml:space="preserve">
Menggunakan singkatan 3 huruf.</t>
        </r>
      </text>
    </comment>
    <comment ref="CL8" authorId="0" shapeId="0" xr:uid="{CEF1D2F6-F11B-42A8-AB69-4B8D67F59263}">
      <text>
        <r>
          <rPr>
            <b/>
            <sz val="9"/>
            <color indexed="81"/>
            <rFont val="Tahoma"/>
            <family val="2"/>
          </rPr>
          <t>BRI:</t>
        </r>
        <r>
          <rPr>
            <sz val="9"/>
            <color indexed="81"/>
            <rFont val="Tahoma"/>
            <family val="2"/>
          </rPr>
          <t xml:space="preserve">
Nama Aplikasi mengacu pada sheet </t>
        </r>
        <r>
          <rPr>
            <b/>
            <sz val="9"/>
            <color indexed="81"/>
            <rFont val="Tahoma"/>
            <family val="2"/>
          </rPr>
          <t>Kritikalitas Aplikasi</t>
        </r>
      </text>
    </comment>
    <comment ref="CM8" authorId="0" shapeId="0" xr:uid="{6BD9F862-E8B9-4C4A-8AFD-A023351CFE75}">
      <text>
        <r>
          <rPr>
            <b/>
            <sz val="9"/>
            <color rgb="FF000000"/>
            <rFont val="Tahoma"/>
            <family val="2"/>
          </rPr>
          <t>BRI:</t>
        </r>
        <r>
          <rPr>
            <sz val="9"/>
            <color rgb="FF000000"/>
            <rFont val="Tahoma"/>
            <family val="2"/>
          </rPr>
          <t xml:space="preserve">
</t>
        </r>
        <r>
          <rPr>
            <sz val="9"/>
            <color rgb="FF000000"/>
            <rFont val="Tahoma"/>
            <family val="2"/>
          </rPr>
          <t xml:space="preserve">Pemilik Aplikasi mengacu pada sheet </t>
        </r>
        <r>
          <rPr>
            <b/>
            <sz val="9"/>
            <color rgb="FF000000"/>
            <rFont val="Tahoma"/>
            <family val="2"/>
          </rPr>
          <t>Kritikalitas Aplikasi</t>
        </r>
        <r>
          <rPr>
            <sz val="9"/>
            <color rgb="FF000000"/>
            <rFont val="Tahoma"/>
            <family val="2"/>
          </rPr>
          <t>.</t>
        </r>
      </text>
    </comment>
  </commentList>
</comments>
</file>

<file path=xl/sharedStrings.xml><?xml version="1.0" encoding="utf-8"?>
<sst xmlns="http://schemas.openxmlformats.org/spreadsheetml/2006/main" count="11889" uniqueCount="1825">
  <si>
    <t>Nama GL</t>
  </si>
  <si>
    <t>Material Class</t>
  </si>
  <si>
    <t>Jenis Anggaran</t>
  </si>
  <si>
    <t>Investasi TI</t>
  </si>
  <si>
    <t>Eksploitasi TI</t>
  </si>
  <si>
    <t>Asset Class</t>
  </si>
  <si>
    <t>Hardware_Gol.1A</t>
  </si>
  <si>
    <t>Hardware_Gol.1B</t>
  </si>
  <si>
    <t>Hardware_Gol.2</t>
  </si>
  <si>
    <t>E_Channel_Gol.1</t>
  </si>
  <si>
    <t>E_Channel_Gol.2</t>
  </si>
  <si>
    <t>Satelit</t>
  </si>
  <si>
    <t>Software_Komp_Gol.1</t>
  </si>
  <si>
    <t>Software_Komp_Gol.2</t>
  </si>
  <si>
    <t>Hardware</t>
  </si>
  <si>
    <t xml:space="preserve">Biaya Instalasi/Implementasi </t>
  </si>
  <si>
    <t>Hardware Gol.1A</t>
  </si>
  <si>
    <t>ITD1500001 - Notebook Standar</t>
  </si>
  <si>
    <t>ITI1510001 - AS400</t>
  </si>
  <si>
    <t>ITD1520001 - Tablet IOS/Android</t>
  </si>
  <si>
    <t>ITD1600001 - ATM</t>
  </si>
  <si>
    <t>ITD1610001 - EDC Android</t>
  </si>
  <si>
    <t>ITI1800001 - Satelit</t>
  </si>
  <si>
    <t>ITI1700001 - Software/Lisence/ Aplikasi 1</t>
  </si>
  <si>
    <t>ITI1710001 - Software/Lisence/ Aplikasi 2</t>
  </si>
  <si>
    <t>Software</t>
  </si>
  <si>
    <t>Sewa Saluran Komunikasi</t>
  </si>
  <si>
    <t>Hardware Gol.1B</t>
  </si>
  <si>
    <t>ITD1500002 - Notebook Intermediate</t>
  </si>
  <si>
    <t>ITI1510002 - Mainframe</t>
  </si>
  <si>
    <t>ITD1520002 - Smartphone IOS/Android</t>
  </si>
  <si>
    <t>ITD1600002 - CDM/CRM</t>
  </si>
  <si>
    <t>ITD1610002 - EDC Konvensional</t>
  </si>
  <si>
    <t>Sewa Komputer</t>
  </si>
  <si>
    <t>Hardware Gol.2</t>
  </si>
  <si>
    <t>ITD1500003 - Notebook High End</t>
  </si>
  <si>
    <t>ITI1510003 - Antenna C Band, Ku Band, Control di PSCF &amp; BSCF</t>
  </si>
  <si>
    <t>ITD1600003 - SSB/HYBRID</t>
  </si>
  <si>
    <t>Pemeliharaan &amp; Perbaikan AT HW SW</t>
  </si>
  <si>
    <t>E Channel Gol.1</t>
  </si>
  <si>
    <t>ITD1500004 - Thin Client</t>
  </si>
  <si>
    <t>ITI1510004 - Antenna dan RF System</t>
  </si>
  <si>
    <t>ITD1600004 - KiosK</t>
  </si>
  <si>
    <t>Operasional karena Gangguan Sistem</t>
  </si>
  <si>
    <t>E Channel Gol.2</t>
  </si>
  <si>
    <t>ITD1500005 - PC All-In-One Standar</t>
  </si>
  <si>
    <t>ITI1510005 - Ground Segment Satelit - HPA</t>
  </si>
  <si>
    <t>ITD1600005 - TCR</t>
  </si>
  <si>
    <t>Biaya Supplies</t>
  </si>
  <si>
    <t>ITD1500006 - PC All-In-One Intermediate</t>
  </si>
  <si>
    <t>ITD1600006 - SSPP</t>
  </si>
  <si>
    <t>Honorarium Operasional TI</t>
  </si>
  <si>
    <t>Software Komp Gol.1</t>
  </si>
  <si>
    <t>ITD1500007 - PC All-In-One High End</t>
  </si>
  <si>
    <t>Biaya Managed Services Perangkat TI Unit Kerja</t>
  </si>
  <si>
    <t>Software Komp Gol.2</t>
  </si>
  <si>
    <t>ITD1500008 - Mini PC Standar</t>
  </si>
  <si>
    <t>Biaya Managed Service Digital &amp; IT</t>
  </si>
  <si>
    <t>ITD1500009 - Mini PC Intermediate</t>
  </si>
  <si>
    <t>Jasa Berlangganan Software</t>
  </si>
  <si>
    <t>ITD1500010 - Mini PC High End</t>
  </si>
  <si>
    <t>Honorarium Konsultan TI</t>
  </si>
  <si>
    <t>ITD1500011 - Deskjet/Inkjet</t>
  </si>
  <si>
    <t>Honorarium Development TI</t>
  </si>
  <si>
    <t>ITD1500012 - Laserjet Colour Printer</t>
  </si>
  <si>
    <t>ITD1500013 - Laserjet Mono Printer</t>
  </si>
  <si>
    <t>ITD1500014 - Dot Matrix</t>
  </si>
  <si>
    <t>ITD1500015 - Print Server</t>
  </si>
  <si>
    <t>ITD1500016 - Passbook Printer</t>
  </si>
  <si>
    <t>ITD1500017 - Line printer</t>
  </si>
  <si>
    <t>ITD1500018 - Multifunction Printer</t>
  </si>
  <si>
    <t>ITD1500019 - ADF Scanner</t>
  </si>
  <si>
    <t>ITD1500020 - Dual Flatbed ADF</t>
  </si>
  <si>
    <t>ITD1500021 - Dual Flatbed ADF Scanner A3</t>
  </si>
  <si>
    <t>ITD1500022 - PMS LAN</t>
  </si>
  <si>
    <t>ITD1500023 - Panel SDP</t>
  </si>
  <si>
    <t>ITD1500024 - Hub Switch</t>
  </si>
  <si>
    <t>ITD1500025 - Rack Network</t>
  </si>
  <si>
    <t>ITD1500026 - Access Point (Wireless)</t>
  </si>
  <si>
    <t>ITD1500027 - UPS/SPS ≥ 3KVA</t>
  </si>
  <si>
    <t>ITD1500028 - Isolation transformer</t>
  </si>
  <si>
    <t>ITD1500029 - Inverter</t>
  </si>
  <si>
    <t>ITD1500030 - CCTV</t>
  </si>
  <si>
    <t>ITD1500031 - CCTV ATM/CRM</t>
  </si>
  <si>
    <t>ITD1500032 - Smart Qboard</t>
  </si>
  <si>
    <t>ITD1500033 - E-KTP Reader</t>
  </si>
  <si>
    <t>ITI1500001 - Notebook Standar</t>
  </si>
  <si>
    <t>ITI1500002 - Notebook Intermediate</t>
  </si>
  <si>
    <t>ITI1500003 - Notebook High End</t>
  </si>
  <si>
    <t>ITI1500004 - Thin Client</t>
  </si>
  <si>
    <t>ITI1500005 - PC All-In-One Standar</t>
  </si>
  <si>
    <t>ITI1500006 - PC All-In-One Intermediate</t>
  </si>
  <si>
    <t>ITI1500007 - PC All-In-One High End</t>
  </si>
  <si>
    <t>ITI1500008 - Mini PC Standar</t>
  </si>
  <si>
    <t>ITI1500009 - Mini PC Intermediate</t>
  </si>
  <si>
    <t>ITI1500010 - Mini PC High End</t>
  </si>
  <si>
    <t>ITI1500011 - Deskjet/Inkjet</t>
  </si>
  <si>
    <t>ITI1500012 - Laserjet Colour Printer</t>
  </si>
  <si>
    <t>ITI1500013 - Laserjet Mono Printer</t>
  </si>
  <si>
    <t>ITI1500014 - Dot Matrix</t>
  </si>
  <si>
    <t>ITI1500015 - Print Server</t>
  </si>
  <si>
    <t>ITI1500016 - Passbook Printer</t>
  </si>
  <si>
    <t>ITI1500017 - Line printer</t>
  </si>
  <si>
    <t>ITI1500018 - Multifunction Printer</t>
  </si>
  <si>
    <t>ITI1500019 - ADF Scanner</t>
  </si>
  <si>
    <t>ITI1500020 - Dual Flatbed ADF</t>
  </si>
  <si>
    <t>ITI1500021 - Dual Flatbed ADF Scanner A3</t>
  </si>
  <si>
    <t>ITI1500022 - PMS LAN</t>
  </si>
  <si>
    <t>ITI1500023 - Panel SDP</t>
  </si>
  <si>
    <t>ITI1500024 - Hub Switch</t>
  </si>
  <si>
    <t>ITI1500025 - Rack Network</t>
  </si>
  <si>
    <t>ITI1500026 - Access Point (Wireless)</t>
  </si>
  <si>
    <t>ITI1500027 - Perangkat Fiber Optik</t>
  </si>
  <si>
    <t>ITI1500028 - Router 4G</t>
  </si>
  <si>
    <t>ITI1500029 - Antenna</t>
  </si>
  <si>
    <t>ITI1500030 - Block Up Converter (BUC)</t>
  </si>
  <si>
    <t>ITI1500031 - Low Noise Blockdownconverter (LNB)</t>
  </si>
  <si>
    <t>ITI1500032 - Line Amplifier Splitter /Combiner</t>
  </si>
  <si>
    <t>ITI1500033 - Modem</t>
  </si>
  <si>
    <t>ITI1500034 - UPS/SPS ≥ 3KVA</t>
  </si>
  <si>
    <t>ITI1500035 - CCTV</t>
  </si>
  <si>
    <t>ITI1500036 - Smart Qboard</t>
  </si>
  <si>
    <t>ITI1500037 - Mesin Perso</t>
  </si>
  <si>
    <t>ITI1500038 - Commodity Server x86</t>
  </si>
  <si>
    <t>ITI1500039 - Storage Data Center</t>
  </si>
  <si>
    <t>ITI1500040 - Router</t>
  </si>
  <si>
    <t>ITI1500041 - Hardware-SDN Switch &amp; Co</t>
  </si>
  <si>
    <t>ITI1500042 - Switch</t>
  </si>
  <si>
    <t>ITI1500043 - Optical Line Terminal (OLT)</t>
  </si>
  <si>
    <t>ITI1500044 - Optical Network Terminal (ONT)</t>
  </si>
  <si>
    <t>ITI1500045 - DNS, DHCP dan IP Address Management Appliance</t>
  </si>
  <si>
    <t>ITI1500046 - Load Balancer/GSLB Appliance</t>
  </si>
  <si>
    <t>ITI1500047 - NPM (Network Performance Monitor) Appliance</t>
  </si>
  <si>
    <t>ITI1500048 - NMS (Network Monitoring System) Appliance</t>
  </si>
  <si>
    <t>ITI1500049 - Wireless LAN Controller/Captive Portal Non Cloud</t>
  </si>
  <si>
    <t>ITI1500050 - Firewall Appliance</t>
  </si>
  <si>
    <t>ITI1500051 - IPS Appliance</t>
  </si>
  <si>
    <t>ITI1500052 - WAF Appliance</t>
  </si>
  <si>
    <t>ITI1500053 - Container Security Appliance</t>
  </si>
  <si>
    <t>ITI1500054 - Vulnerability Management Appliance</t>
  </si>
  <si>
    <t>ITI1500055 - PAM Appliance</t>
  </si>
  <si>
    <t>ITI1500056 - Panel</t>
  </si>
  <si>
    <t>ITI1500057 - Busduct System</t>
  </si>
  <si>
    <t>ITI1500058 - Rack &amp; Containment</t>
  </si>
  <si>
    <t>ITI1500059 - Monitoring DC Facility</t>
  </si>
  <si>
    <t>ITI1500060 - Smart PDU</t>
  </si>
  <si>
    <t>ITI1500061 - AC Presisi</t>
  </si>
  <si>
    <t>Group</t>
  </si>
  <si>
    <t>Alokasi RKA TI 2026</t>
  </si>
  <si>
    <t>Usulan RKA TI 2026 Revisi</t>
  </si>
  <si>
    <t>Hasil Challenge Session</t>
  </si>
  <si>
    <t>INF</t>
  </si>
  <si>
    <t>No</t>
  </si>
  <si>
    <t>ID</t>
  </si>
  <si>
    <t>Kegiatan</t>
  </si>
  <si>
    <t>Catatan</t>
  </si>
  <si>
    <t>Belum Mulai</t>
  </si>
  <si>
    <t>IP Terbit</t>
  </si>
  <si>
    <t xml:space="preserve">1984594762	</t>
  </si>
  <si>
    <t>Sisa Anggaran yang Dapat Digunakan = Alokasi Update - Nominal yang telah digunakan</t>
  </si>
  <si>
    <t>Legenda :
- sumber switching
- Pindah ESO - TBC</t>
  </si>
  <si>
    <t>"-" BATAL</t>
  </si>
  <si>
    <t>No.</t>
  </si>
  <si>
    <t>Parent / Child</t>
  </si>
  <si>
    <t>Planned / Unplanned</t>
  </si>
  <si>
    <t>Nomor Nota Dinas (jika itu Unplanned)</t>
  </si>
  <si>
    <t>Kanpus/ UPA</t>
  </si>
  <si>
    <t>HO/RO</t>
  </si>
  <si>
    <t>Group Pengusul</t>
  </si>
  <si>
    <t>SK RKA TI 2026</t>
  </si>
  <si>
    <t>SK RKA TI 2026 REVISI</t>
  </si>
  <si>
    <r>
      <rPr>
        <b/>
        <i/>
        <sz val="11"/>
        <color theme="0"/>
        <rFont val="Aptos Narrow"/>
        <family val="2"/>
      </rPr>
      <t>Total Project Cost</t>
    </r>
    <r>
      <rPr>
        <b/>
        <sz val="11"/>
        <color theme="0"/>
        <rFont val="Aptos Narrow"/>
        <family val="2"/>
      </rPr>
      <t>*)</t>
    </r>
  </si>
  <si>
    <t>RKA TI 2026</t>
  </si>
  <si>
    <t>USULAN RKA TI 2026 REVISI</t>
  </si>
  <si>
    <t>Challenge Session</t>
  </si>
  <si>
    <t>Nota Dinas Konfirmasi 2024</t>
  </si>
  <si>
    <t>Nota Dinas Konfirmasi 2025</t>
  </si>
  <si>
    <t>Keterangan
(Mohon mencantumkan komponen pengadaan, detail perhitungan alokasi, estimasi termin pembayaran)</t>
  </si>
  <si>
    <t>Catatan Penyesuaian</t>
  </si>
  <si>
    <t>IT Budget Forum</t>
  </si>
  <si>
    <t>Realisasi</t>
  </si>
  <si>
    <t>PROGNOSA
(TANPA DESIMAL)</t>
  </si>
  <si>
    <t>Inisiatif</t>
  </si>
  <si>
    <r>
      <t>Pengadaan ini Mendukung Apikasi/</t>
    </r>
    <r>
      <rPr>
        <b/>
        <i/>
        <sz val="11"/>
        <color theme="1"/>
        <rFont val="Aptos Narrow"/>
        <family val="2"/>
      </rPr>
      <t>Service</t>
    </r>
    <r>
      <rPr>
        <b/>
        <sz val="11"/>
        <color theme="1"/>
        <rFont val="Aptos Narrow"/>
        <family val="2"/>
      </rPr>
      <t>?</t>
    </r>
  </si>
  <si>
    <r>
      <t xml:space="preserve">Apakah termasuk pengadaan </t>
    </r>
    <r>
      <rPr>
        <b/>
        <i/>
        <sz val="11"/>
        <color rgb="FF000000"/>
        <rFont val="Aptos Narrow"/>
        <family val="2"/>
      </rPr>
      <t>resource</t>
    </r>
    <r>
      <rPr>
        <b/>
        <sz val="11"/>
        <color rgb="FF000000"/>
        <rFont val="Aptos Narrow"/>
        <family val="2"/>
      </rPr>
      <t>?</t>
    </r>
  </si>
  <si>
    <t>Mulai Pelaksanaan*)
(mm/yyyy)</t>
  </si>
  <si>
    <t>Selesai Pelaksanaan*)
(mm/yyyy)</t>
  </si>
  <si>
    <t>Kategori Pengadaan</t>
  </si>
  <si>
    <r>
      <rPr>
        <b/>
        <sz val="11"/>
        <color rgb="FF000000"/>
        <rFont val="Aptos Narrow"/>
        <family val="2"/>
      </rPr>
      <t>Klasifikasi Pengadaan</t>
    </r>
    <r>
      <rPr>
        <b/>
        <i/>
        <sz val="11"/>
        <color rgb="FF000000"/>
        <rFont val="Aptos Narrow"/>
        <family val="2"/>
      </rPr>
      <t xml:space="preserve">
Run/ Change/ Transform</t>
    </r>
  </si>
  <si>
    <t>Rutin/
Tidak Rutin*)</t>
  </si>
  <si>
    <t>Baru/
Sisa Bayar/
Perpanjangan</t>
  </si>
  <si>
    <t>Status Pengadaan Proyek/ Kegiatan Pengadaan</t>
  </si>
  <si>
    <t>Nomor SPK 
(jika sisa pembayaran atau bersifat rutin/perpanjangan)</t>
  </si>
  <si>
    <t>Nama SPK
(jika sisa pembayaran atau bersifat rutin/perpanjangan)</t>
  </si>
  <si>
    <t>Nominal SPK
(jika sisa pembayaran atau bersifat rutin/perpanjangan)</t>
  </si>
  <si>
    <t>Periode SPK</t>
  </si>
  <si>
    <t>Principle</t>
  </si>
  <si>
    <t>BP</t>
  </si>
  <si>
    <t>Prognosa Realisasi Tahun 2026
(Non Kumulatif)</t>
  </si>
  <si>
    <t>Prognosa Realisasi Tahun 2026
(Kumulatif)</t>
  </si>
  <si>
    <t>Group*)</t>
  </si>
  <si>
    <t>DEPT*)</t>
  </si>
  <si>
    <t>Tim</t>
  </si>
  <si>
    <t>Jenis Anggaran
Akhir</t>
  </si>
  <si>
    <t>ID RKA TI 2025</t>
  </si>
  <si>
    <t>Kode Nomor
(akan diisi oleh ISG Group)</t>
  </si>
  <si>
    <t>ID RKA TI 2026
(akan diisi oleh ISG Group)</t>
  </si>
  <si>
    <t>Nama Usulan Proyek/Kegiatan Pengadaan*)
(berdasarkan hasil Challenge Session)</t>
  </si>
  <si>
    <t>Nama Usulan Proyek/Kegiatan Pengadaan*)
(Pos Kegiatan pada SK RKA TI 2026)</t>
  </si>
  <si>
    <t>Nama Usulan Proyek/Kegiatan Pengadaan*)
(berdasarkan hasil Challenge Session Revisi)</t>
  </si>
  <si>
    <t>Total Kebutuhan 1 Tahun 
(pada tahun 2026)**)</t>
  </si>
  <si>
    <t>Nominal Switching</t>
  </si>
  <si>
    <t>Alokasi Update</t>
  </si>
  <si>
    <t>IP Switching/Link Confluence</t>
  </si>
  <si>
    <t>Keterangan</t>
  </si>
  <si>
    <t>Total Project Cost*)
Revisi
(TANPA DESIMAL)</t>
  </si>
  <si>
    <t>Total Kebutuhan 1 Tahun (pada tahun 2026) Revisi
(TANPA DESIMAL)</t>
  </si>
  <si>
    <t xml:space="preserve">Nominal Minimum Alokasi (Inisiasi 2024, Inisiasi 2025, Inisiasi 2026, Realisasi) </t>
  </si>
  <si>
    <t xml:space="preserve">Selisih </t>
  </si>
  <si>
    <t>Nominal Penyesuaian Challenge Session</t>
  </si>
  <si>
    <t>Selisih dengan RKA TI 2026</t>
  </si>
  <si>
    <t>Kode Inisasi</t>
  </si>
  <si>
    <t>Link Inisiasi</t>
  </si>
  <si>
    <t>Nota Dinas Konfirmasi</t>
  </si>
  <si>
    <t>Status Pengadaan</t>
  </si>
  <si>
    <t>Nominal 2026 
Awal</t>
  </si>
  <si>
    <t>Nominal 2026 
Update</t>
  </si>
  <si>
    <t>Sama/Terupdate</t>
  </si>
  <si>
    <t>Kode Inisiasi</t>
  </si>
  <si>
    <t xml:space="preserve">Nama Proyek </t>
  </si>
  <si>
    <t xml:space="preserve">Status Pengadaan </t>
  </si>
  <si>
    <t>Total Project Cost</t>
  </si>
  <si>
    <t>Tahun 2026</t>
  </si>
  <si>
    <t>Tahun 2027</t>
  </si>
  <si>
    <t>Tahun 2028</t>
  </si>
  <si>
    <t>Tahun 2029</t>
  </si>
  <si>
    <t>Tahun 2030</t>
  </si>
  <si>
    <t>Tahun 2031</t>
  </si>
  <si>
    <t>Tahun 2032</t>
  </si>
  <si>
    <t>Nominal Update 2026</t>
  </si>
  <si>
    <t>Update Progress Pengadaan</t>
  </si>
  <si>
    <t>SI/Non SI-RBB/Non SI-RKF</t>
  </si>
  <si>
    <t>Apakah terdaftar pada JPS</t>
  </si>
  <si>
    <t>Nama Program Kerja</t>
  </si>
  <si>
    <t>Ya/Tidak</t>
  </si>
  <si>
    <r>
      <t>Nama Aplikasi/</t>
    </r>
    <r>
      <rPr>
        <b/>
        <i/>
        <sz val="11"/>
        <color theme="1"/>
        <rFont val="Aptos Narrow"/>
        <family val="2"/>
      </rPr>
      <t>Service</t>
    </r>
    <r>
      <rPr>
        <b/>
        <sz val="11"/>
        <color theme="1"/>
        <rFont val="Aptos Narrow"/>
        <family val="2"/>
      </rPr>
      <t>*)</t>
    </r>
  </si>
  <si>
    <r>
      <rPr>
        <b/>
        <i/>
        <sz val="11"/>
        <color theme="1"/>
        <rFont val="Aptos Narrow"/>
        <family val="2"/>
      </rPr>
      <t>Group</t>
    </r>
    <r>
      <rPr>
        <b/>
        <sz val="11"/>
        <color theme="1"/>
        <rFont val="Aptos Narrow"/>
        <family val="2"/>
      </rPr>
      <t xml:space="preserve"> Pemilik Aplikasi/</t>
    </r>
    <r>
      <rPr>
        <b/>
        <i/>
        <sz val="11"/>
        <color theme="1"/>
        <rFont val="Aptos Narrow"/>
        <family val="2"/>
      </rPr>
      <t>Service</t>
    </r>
  </si>
  <si>
    <t>Fungsi/ Tim terkait</t>
  </si>
  <si>
    <t>Mulai</t>
  </si>
  <si>
    <t>Selesai</t>
  </si>
  <si>
    <t>JAN</t>
  </si>
  <si>
    <t>FEB</t>
  </si>
  <si>
    <t xml:space="preserve">MAR </t>
  </si>
  <si>
    <t>APR</t>
  </si>
  <si>
    <t>MEI</t>
  </si>
  <si>
    <t>JUN</t>
  </si>
  <si>
    <t>JUL</t>
  </si>
  <si>
    <t>AGST</t>
  </si>
  <si>
    <t>SEP</t>
  </si>
  <si>
    <t>OKT</t>
  </si>
  <si>
    <t>NOV</t>
  </si>
  <si>
    <t>DES</t>
  </si>
  <si>
    <t>TOTAL</t>
  </si>
  <si>
    <t xml:space="preserve">SELISIH
( EY - AB) </t>
  </si>
  <si>
    <t>Selisih</t>
  </si>
  <si>
    <t>MAR</t>
  </si>
  <si>
    <t>TOTAL
(JAN - DES)</t>
  </si>
  <si>
    <t xml:space="preserve">SELISIH
(TOTAL PROG - ALOKASI PENYESUAIAN) </t>
  </si>
  <si>
    <t>5/19/2026</t>
  </si>
  <si>
    <t>Parent</t>
  </si>
  <si>
    <t>Unplanned</t>
  </si>
  <si>
    <t>B.38.e-INF/ICE/PIN/04/2026</t>
  </si>
  <si>
    <t>UPA</t>
  </si>
  <si>
    <t>HO</t>
  </si>
  <si>
    <t>CDQ</t>
  </si>
  <si>
    <t>IDC</t>
  </si>
  <si>
    <t>A.01</t>
  </si>
  <si>
    <t>-</t>
  </si>
  <si>
    <t>2026-INF-A.01.159</t>
  </si>
  <si>
    <t>Pengadaan Mesin Staging IBM AS/400 Power11</t>
  </si>
  <si>
    <t>Pengadaan Mesin IBM AS/400 Power11</t>
  </si>
  <si>
    <t>17/04/2026
2026 213 INF 2026-lNF-A.01.159, link https://confluence.bri.co.id/x/N81iYw
28/04/2026:
2026 230 INF 2026-INF-A.02.027. https://confluence.bri.co.id/x/4t8CZg
29/04/2026:
2026 230 INF 2026-INF-A.01.167. https://confluence.bri.co.id/x/moVvZg</t>
  </si>
  <si>
    <t xml:space="preserve">17/04/2026
Bertambah, sebesar Rp5.685.047.339,- dari Pemenuhan Cabling System untuk Project Workload DC Ragunan 2024-2025 (2026-INF-A.01.004)
Bertambah, sebesar Rp13.721.000.000,- dari Modernisasi Infrastructure Transport Network (Edge WAN, Edge Internet, dan RR) BRI (2026-INF-A.01.010)
Bertambah, sebesar Rp8.819.896.128,- dari Modernisasi Infrastructure Network LAN Campus site Menara Brilian (2026-INF-A.01.019)
Bertambah, sebesar Rp8.819.896.128,- dari Neo-LAN Network Infrastructure Site Ragunan (2026-INF-A.01.020)
Bertambah, sebesar Rp8.100.000.000,-dari Modernisasi Infrastructure Network  BSCF DRC PSCF (2026-INF-A.01.021)
Bertambah, sebesar Rp4.435.200.000,- dari Pengadaan Cold Spare TWTA TL22CI di BSCF (2026-INF-A.01.026)
Bertambah, sebesar Rp2.754.380.733,- dari Storage Tier 2 GTI 2026 (2026-INF-A.01.027)
Bertambah, sebesar Rp2.500.000.000,- dari Pengadaan Penambahan Koneksi Interbuilding BRI Tabanan IT Facility (2026-INF-A.01.029)
Bertambah, sebesar Rp2.000.000.000,- dari Pengadaan Uninterruptible Power Supply Smart Office Tabanan IT Facility (2026-INF-A.01.031)
Bertambah, sebesar Rp6.144.800.000,- dari Pengadaan Infrastruktur New Data Center IT Facility BRI Ragunan: Paket Pekerjaan Rack &amp; Containment (2026-INF-A.01.043)
Bertambah, sebesar Rp472.731.293,- dari Pengadaan Reengineering Switch DC Facility BRI DC Ragunan (HO ke CNO) (2026-INF-A.01.049)
Bertambah, sebesar Rp1.000.000.000,- dari Pengadaan Smart PDU DC Ragunan (2026-INF-A.01.055)
Bertambah, sebesar Rp1.123.557.207,- dari Environment Cloud AWS (2026-INF-A.01.078)
Bertambah, sebesar Rp11.703.969.391,- dari Pengadaan Next Generation Firewall Software Define Network (SDN) untuk Proteksi Traffic North-South Intranet (2026-INF-A.01.090)
Bertambah, sebesar Rp27.252.154.634,8,- dari Peningkatan Resiliensi Melalui Dedicated Infrastruktur Hygiene Aplikasi Site Ragunan Dan Tabanan Tahun 2025 (Server) (2026-INF-A.01.101)
Bertambah, sebesar Rp4.140.215.741,- dari Peningkatan Resiliensi Melalui Dedicated Infrastruktur Hygiene Aplikasi Site Ragunan Dan Tabanan Tahun 2025 (Object Storage) (2026-INF-A.01.102)
Bertambah, sebesar Rp1.650.000.000,- dari Pengadaan Jasa Pengawas Proyek Upgrade Capacity DC TBN IT Facility (2026-INF-A.01.105)
Bertambah, sebesar Rp22.746.062.830 dari Peningkatan Resiliensi Melalui Dedicated Infrastruktur Hygiene Aplikasi Site Ragunan dan Tabanan (SDN OOB Management) (2026-INF-A.01.106)
Bertambah, sebesar Rp76.378.975.010,- dari Peningkatan Resiliensi Melalui Dedicated Infrastruktur Hygiene Aplikasi Site Ragunan dan Tabanan (Firewall Private Data Center) (2026-INF-A.01.110)
Bertambah sebesar Rp9.007.246.672,- dari Peningkatan Resiliensi Melalui Dedicated Infrastruktur Hygiene Aplikasi Site Ragunan Dan Tabanan (Firewall Management OOB) (2026-INF-A.01.111)
Bertambah, sebesar Rp1.127.772.176,- dari Peningkatan Resiliensi Melalui Dedicated Infrastruktur Hygiene Aplikasi Site Ragunan Dan Tabanan (ADC DC) (2026-INF-A.01.112)
Bertambah, sebesar Rp31.046.902.242,- dari Peningkatan Resiliensi Melalui Dedicated Infrastruktur Hygiene Aplikasi Site Ragunan dan Tabanan (SDN DC) (2026-INF-A.01.113)
Bertambah, sebesar Rp9.010.288.844,- dari Peningkatan Resiliensi Melalui Dedicated Infrastruktur Hygiene Aplikasi Site Ragunan Dan Tabanan (DNS DC) (2026-INF-A.01.115)
Bertambah, sebesar Rp500.000.000,- dari Pengadaan PC Monitoring Direksi Tahap 2 (2026-INF-A.01.118)
Bertambah, sebesar Rp2.352.000.000,- dari Pengadaan Precision Air Conditioning  (PAC) Ruang Data Center BSCF (2026-INF-A.01.131)
Bertambah, sebesar Rp14.278.276.761,- dari Peningkatan Resiliensi Melalui Dedicated Infrastruktur Hygiene Aplikasi Site Ragunan dan Tabanan Tahun 2025 (Virtualisasi) (2026-INF-A.02.001)
Bertambah, sebesar Rp1.500.931.528,- dari Maintenance dan Penambahan Fitur Automation ke Cloud untuk Titan (2026-INF-A.02.004)
Bertambah, sebesar Rp2.414.577.168,- dari Pengadaan Penambahan Kapasitas VOIP, DSP Resource &amp; Recording Avaya sistem Contact BRI (2026-INF-A.02.007)
Bertambah, sebesar Rp5.438.251.638,- dari Pengadaan Lisensi dan Perangkat untuk Kebutuhan Pengembangan Contact Center (2026-INF-A.02.015)
Bertambah, sebesar Rp2.310.953.840,- dari Pengadaan License OS Windows Server Data Center Tahun 2024 - 2027 (2026-INF-A.02.019)
Bertambah, sebesar Rp44.708.186.567,- dari Pengadaan Lisensi Platform Virtualisasi (2026-INF-A.02.023)
28/04/2026:
Berkurang, sebesar Rp17.124.594.064,- ke Pengadaan Mesin Production IBM AS400 P11 (Software Replikasi MIMIX) (2026-INF-A.02.027)
29/04/2026:
Berkurang, sebesar Rp.74.328.774.267 ke [Pengadaan Perangkat Object Storage Appliance Aplikasi BRImen untuk DC GTI dan DC Tabanan Tahun 2026] (2026-INF-A.01.167)
</t>
  </si>
  <si>
    <t>Prod: Estimasi realisasi maksimum tahun 2026: Rp171.039.589.665,60,- untuk pembayaran DP, delivery
Estimasi realisasi maksimum tahun 2027: Rp192.419.538.373,80,- untuk pembayaran implementasi
Estimasi realisasi maksimum tahun 2028: Rp21.379.948.708,20,- untuk pembayaran maintenance tahun ke-1
Estimasi realisasi maksimum tahun 2029: Rp21.379.948.708,20,- untuk pembayaran maintenance tahun ke-2
Estimasi realisasi maksimum tahun 2030: Rp21.379.948.708,20,- untuk pembayaran maintenance tahun ke-3
Dev: Estimasi realisasi maksimum tahun 2026: Rp70.650.177.032,40,- untuk pembayaran DP, delivery
Estimasi realisasi maksimum tahun 2027: Rp79.481.449.161,45,- untuk pembayaran implementasi
Estimasi realisasi maksimum tahun 2028: Rp8.831.272.129,05,- untuk pembayaran maintenance tahun ke-1
Estimasi realisasi maksimum tahun 2029: Rp8.831.272.129,05,- untuk pembayaran maintenance tahun ke-2
Estimasi realisasi maksimum tahun 2030: Rp8.831.272.129,05,- untuk pembayaran maintenance tahun ke-3</t>
  </si>
  <si>
    <t>2026 213 INF 2026-lNF-A.01.159 
2026 231 INF 2026-lNF-A.01.159 
2026 213 INF 2026-lNF-A.01.159</t>
  </si>
  <si>
    <t>https://confluence.bri.co.id/x/094CZg 
https://confluence.bri.co.id/x/wuYCZg 
https://confluence.bri.co.id/x/N81iYw</t>
  </si>
  <si>
    <t>Pengadaan Mesin Production IBM AS/400 Power11 E1180 (Hardware) 
Pengadaan Mesin Development &amp; Testing IBM AS/400 Power11 S1124 
Pengadaan Mesin Staging IBM AS/400 Power11</t>
  </si>
  <si>
    <t>Baru 
Baru 
Baru</t>
  </si>
  <si>
    <t>24/04/2026 : 
ada kemungkinan terdapat perubahan ruang lingkup yang sebelumnya untuk testing menjadi dev sehingga akan berubah nominal pengajuan dan juga timeline proyek.​</t>
  </si>
  <si>
    <t>Non SI-RKF</t>
  </si>
  <si>
    <t>Tidak</t>
  </si>
  <si>
    <t>Ya</t>
  </si>
  <si>
    <t>All</t>
  </si>
  <si>
    <t>Hygiene Factor/Rass</t>
  </si>
  <si>
    <t>Change</t>
  </si>
  <si>
    <t>Tidak Rutin</t>
  </si>
  <si>
    <t>Baru</t>
  </si>
  <si>
    <t>Planned</t>
  </si>
  <si>
    <t>IDS</t>
  </si>
  <si>
    <t>2025-INF-A.01.005</t>
  </si>
  <si>
    <t>100</t>
  </si>
  <si>
    <t>2026-INF-A.01.100</t>
  </si>
  <si>
    <t>Peningkatan Resiliensi Melalui Dedicated Infrastruktur Hygiene Aplikasi Site Ragunan Dan Tabanan Tahun 2025 (Storage, Storage Backup dan SAN Director)</t>
  </si>
  <si>
    <t>Pengadaan Block Storage dan SAN Director Dedicated Infrastructure Aplikasi QLola dan BRImo DC Ragunan</t>
  </si>
  <si>
    <r>
      <rPr>
        <b/>
        <sz val="10"/>
        <color rgb="FF000000"/>
        <rFont val="Aptos Narrow"/>
        <family val="2"/>
      </rPr>
      <t xml:space="preserve">27/01/2026: 
</t>
    </r>
    <r>
      <rPr>
        <sz val="10"/>
        <color rgb="FF000000"/>
        <rFont val="Aptos Narrow"/>
        <family val="2"/>
      </rPr>
      <t xml:space="preserve">2026 026 INF 2026-INF-A.02.023
https://confluence.bri.co.id/x/4AbNWw
</t>
    </r>
    <r>
      <rPr>
        <b/>
        <sz val="10"/>
        <color rgb="FF000000"/>
        <rFont val="Aptos Narrow"/>
        <family val="2"/>
      </rPr>
      <t xml:space="preserve">20/02/2026 :
</t>
    </r>
    <r>
      <rPr>
        <sz val="10"/>
        <color rgb="FF000000"/>
        <rFont val="Aptos Narrow"/>
        <family val="2"/>
      </rPr>
      <t xml:space="preserve">2026 060 INF 2026-INF-A.01.100
link https://confluence.bri.co.id/x/C-A3XQ
23/02/2026 :
</t>
    </r>
    <r>
      <rPr>
        <b/>
        <sz val="10"/>
        <color rgb="FF000000"/>
        <rFont val="Aptos Narrow"/>
        <family val="2"/>
      </rPr>
      <t>2026 061 INF 2026-INF-A.01.100
link https://confluence.bri.co.id/x/7O83XQ</t>
    </r>
  </si>
  <si>
    <r>
      <rPr>
        <b/>
        <sz val="10"/>
        <color rgb="FF000000"/>
        <rFont val="Aptos Narrow"/>
        <family val="2"/>
      </rPr>
      <t xml:space="preserve">27/01/2026:
</t>
    </r>
    <r>
      <rPr>
        <sz val="10"/>
        <color rgb="FF000000"/>
        <rFont val="Aptos Narrow"/>
        <family val="2"/>
      </rPr>
      <t xml:space="preserve">Berkurang, sebesar Rp100.299.622.894,- ke Pengadaan Lisensi Platform Virtualisasi  (2026-INF-A.02.023)
</t>
    </r>
    <r>
      <rPr>
        <b/>
        <sz val="10"/>
        <color rgb="FF000000"/>
        <rFont val="Aptos Narrow"/>
        <family val="2"/>
      </rPr>
      <t xml:space="preserve">20/02/2026 :
</t>
    </r>
    <r>
      <rPr>
        <sz val="10"/>
        <color rgb="FF000000"/>
        <rFont val="Aptos Narrow"/>
        <family val="2"/>
      </rPr>
      <t>Bertambah, sebesar Rp18.861.488.034,- dari Peningkatan Resiliensi Melalui Dedicated Infrastruktur Hygiene Aplikasi Site Ragunan Dan Tabanan Tahun 2025 (Archive Storage) (2026-INF-A.01.104)
Bertambah, sebesar Rp5.793.955.533,- dari Peningkatan Resiliensi Melalui Dedicated Infrastruktur Hygiene Aplikasi Site Ragunan Dan Tabanan Tahun 2025 (Backup Solution DB/ Fileset) (2026-INF-A.01.108)
23/02/2026 :
Bertambah, sebesar Rp52.583.842.693,- dari Peningkatan Resiliensi Melalui Dedicated Infrastruktur Hygiene Aplikasi Site Ragunan Dan Tabanan Tahun 2025 (Backup Solution DB/ Fileset) (2026-INF-A.01.108)</t>
    </r>
  </si>
  <si>
    <t>"QLola: 
Estimasi realisasi maksimum tahun 2026 : Rp78.875.764.039,- (oktober)
Estimasi realisasi maksimum tahun 2027 : Rp88.345.869.537,-
Estimasi realisasi maksimum tahun 2028 : Rp5.512.801.106,91,-
Estimasi realisasi maksimum tahun 2029 : Rp5.512.801.106,91,-
Estimasi realisasi maksimum tahun 2030 : Rp5.512.801.106,91,-
BRImo:
Estimasi realisasi maksimum tahun 2026 : Rp78.875.764.039,27,-
Estimasi realisasi maksimum tahun 2027 : Rp88.345.869.537,- 
Estimasi realisasi maksimum tahun 2028 : Rp5.512.801.106,91,-
Estimasi realisasi maksimum tahun 2029 : Rp5.512.801.106,91,-
Estimasi realisasi maksimum tahun 2030 : Rp5.512.801.106,91,"</t>
  </si>
  <si>
    <t>Sama</t>
  </si>
  <si>
    <t>2025 282 DTI INF 
2025 308 DTI INF 
2025 309 DTI INF</t>
  </si>
  <si>
    <t>https://confluence.bri.co.id/x/PAOGUw 
https://confluence.bri.co.id/x/oHa1V 
https://confluence.bri.co.id/x/tni1V</t>
  </si>
  <si>
    <t/>
  </si>
  <si>
    <t>Terupdate</t>
  </si>
  <si>
    <t>Inisiasi 2025 dibatalkan, nominal alokasi di switch untuk ID  2026-INF-A.01.100</t>
  </si>
  <si>
    <t>2026 059 INF 2026-INF-A.01.100 
2026 060 INF 2026-INF-A.01.100 
2026 061 INF 2026-INF-A.01.100 
2026 060 INF 2026-INF-A.01.100</t>
  </si>
  <si>
    <t>https://confluence.bri.co.id/x/qKosXQ 
https://confluence.bri.co.id/x/d2JMYg 
https://confluence.bri.co.id/x/7O83XQ 
https://confluence.bri.co.id/x/C-A3XQ</t>
  </si>
  <si>
    <t>Pengadaan Dedicated Infrastructure Aplikasi Brimo dan QLola (Storage BRImo) 
Pengadaan Block Storage dan SAN Director Dedicated Infrastructure Aplikasi QLola DC Ragunan 
Pengadaan Dedicated Infrastructure Aplikasi BRImo dan Qlola (Storage Shared Surrounding) 
Pengadaan Dedicated Infrastructure Aplikasi BRImo dan Qlola (Storage QLola)</t>
  </si>
  <si>
    <t>Baru 
Baru 
Baru 
Baru</t>
  </si>
  <si>
    <t>25/02/2026
Penyusunan dokumen pengadaan karena ada perubahan ruang lingkup (exclude shared surrounding)
01/04/2026:
Approval IP
24/04/2026 :
Sedang proses approval nota dinas konfirmasi 8/17​
Sedang menunggu opini risk dari DRD baru Dir IT akan melakukan approval IP</t>
  </si>
  <si>
    <t>Non SI-RBB</t>
  </si>
  <si>
    <t>Strengthen Infrastructure Foundation Resiliency</t>
  </si>
  <si>
    <t>Brimo, Qlola</t>
  </si>
  <si>
    <t>DRB, DWI</t>
  </si>
  <si>
    <t>Transform</t>
  </si>
  <si>
    <t>Belum mulai</t>
  </si>
  <si>
    <t>- Pure Storage
- Netapp
- Brocade</t>
  </si>
  <si>
    <t>PT. Mastersystem Infotama (Preferred)
PT. Packet Systems Indonesia (Preferred)
PT. Synergi Lestari Pratama (Preferred)
PT. Berca Hardayaperkasa (Prestige)
PT. Juke Solusi Teknologi (Prestige)
PT. Mastersystem Infotama (Prestige)
PT. NTT Indonesia Technology (Prestige)
PT. Verita Informatika (Prestige)</t>
  </si>
  <si>
    <t>NSQ</t>
  </si>
  <si>
    <t>SCT</t>
  </si>
  <si>
    <t>2025-INF-A.01.139</t>
  </si>
  <si>
    <t>127</t>
  </si>
  <si>
    <t>2026-INF-A.01.127</t>
  </si>
  <si>
    <t>Modernisasi Infrastructure Network &amp; Keamanan Unit Kerja Melalui Implementasi Unified Secure Access Service Edge (SASE) Solution BRI Tahun 2025 (Penyediaan Perangkat SDWAN, Implementasi dan Maintenance perangkat SDWAN)</t>
  </si>
  <si>
    <t>Berdasarkan SPK
Estimasi realisasi maksimum tahun 2026: Rp 109.734.350.000,-
Estimasi realisasi maksimum tahun 2027: Rp 7.545.650.000,-</t>
  </si>
  <si>
    <t>2025 219 DTI INF</t>
  </si>
  <si>
    <t>https://confluence.bri.co.id/x/i0d5TQ</t>
  </si>
  <si>
    <t>R.433.e-ISG/IBP/IBV/08/2025</t>
  </si>
  <si>
    <t>Estimasi realisasi Tahun 2026 (Implementasi dan Maintenance Tahun Pertama ): Rp8.567.807.170,-</t>
  </si>
  <si>
    <t>SPK Terbit</t>
  </si>
  <si>
    <t>25/02/2026
Approval SPK
TL : Upload dokumen hasil nego 
01/04/2026:
SPK Terbit
24/04/2026 :
pemenang: dinamika, SPK suda keluar, SIK implementasi suda: 15%an</t>
  </si>
  <si>
    <t>Secure Office Network Modernization​</t>
  </si>
  <si>
    <t>IDN</t>
  </si>
  <si>
    <t>Sisa Bayar</t>
  </si>
  <si>
    <t>4200005670-PLO/IGP/IPT/03/2026</t>
  </si>
  <si>
    <t>Tidak ada</t>
  </si>
  <si>
    <t>PT NTT Indonesia Technology
PT Packet System Indonesia
Metrocom Global Solusi
PT. Dinamika Sistem Integrasi Solusi</t>
  </si>
  <si>
    <t>023</t>
  </si>
  <si>
    <t>2026-INF-A.01.023</t>
  </si>
  <si>
    <t>Archive Storage GTI 2026 (13 PB)</t>
  </si>
  <si>
    <t>Pengadaan Penambahan Kapasitas Archive Storage Untuk Backup &amp; Recovery Solution Tahun 2026</t>
  </si>
  <si>
    <t xml:space="preserve">27/03/2026:
2026 101 INF 2026-INF-A.01.023. https://confluence.bri.co.id/x/XCxyXw
</t>
  </si>
  <si>
    <t>27/03/2026:
Bertambah, sebesar Rp. 39.064.933.747,20 dari Peningkatan Resiliensi Melalui Dedicated Infrastruktur Hygiene Aplikasi Site Ragunan Dan Tabanan Tahun 2025 (Server) (2026-INF-A.01.101)</t>
  </si>
  <si>
    <t>Sesuai dengan inisiasi confluence
Estimasi realisasi maksimum tahun 2026 : Rp 98.579.267.135,- untuk pembayaran termin DP (5%) &amp; Delivery dan PAT (40%), (okt)
Estimasi realisasi maksimum tahun 2027 : Rp 87.626.015.231 Untuk implementasi (40%) &amp; Rp 10.953.251.904,- untuk pembayaran termin maintenance (5%)
Estimasi realisasi maksimum tahun 2028 : Rp 10.953.251.904,- untuk pembayaran termin maintenance (5%)
Estimasi realisasi maksimum tahun 2029 : Rp 10.953.251.904,- untuk pembayaran termin maintenance (5%)</t>
  </si>
  <si>
    <t>2026 101 INF 2026-INF-A.01.023</t>
  </si>
  <si>
    <t>https://confluence.bri.co.id/x/XCxyXw</t>
  </si>
  <si>
    <t>25/02/2026
Penyusunan dokumen inisiasi, target IP : Q1
01/04/2026 :
Approval IP
24/04/2026 :
Sedang menunggu opini risk</t>
  </si>
  <si>
    <t>Netapp</t>
  </si>
  <si>
    <t>PT Berca Hardayaperkasa 
PT Juke Solusi Teknologi
PT Mastersystem Infotama
PT NTT Indonesia Technology
PT Verita Informatika</t>
  </si>
  <si>
    <t>2025-INF-A.01.004</t>
  </si>
  <si>
    <t>101</t>
  </si>
  <si>
    <t>2026-INF-A.01.101</t>
  </si>
  <si>
    <t>Peningkatan Resiliensi Melalui Dedicated Infrastruktur Hygiene Aplikasi Site Ragunan Dan Tabanan Tahun 2025 (Server)</t>
  </si>
  <si>
    <t>Pengadaan Server Dedicated Infrastructure Aplikasi Brimo dan QLola DC Ragunan</t>
  </si>
  <si>
    <t>27/03/2026:
2026 101 INF 2026-INF-A.01.023. https://confluence.bri.co.id/x/XCxyXw
17/04/2026
2026 213 INF 2026-lNF-A.01.159, link https://confluence.bri.co.id/x/N81iYw</t>
  </si>
  <si>
    <t>27/03/2026:
Berkurang, sebesar Rp. 39.064.933.747,20 ke Archive Storage GTI 2026 (13 PB) (2026-INF-A.01.023)
17/04/2026
Berkurang, sebesar Rp27.252.154.634,8,- ke Pengadaan Mesin Staging IBM AS/400 Power11 (2026-INF-A.01.159)</t>
  </si>
  <si>
    <t>BRIMO:
Estimasi realisasi maksimum tahun 2026: Rp44.422.531.994,05,- untuk pembayaran DP dan delivery
Estimasi realisasi maksimum tahun 2027: Rp63.460.759.991,50,- untuk pembayaran implementasi dan maintenance Estimasi realisasi maksimum tahun 2028: Rp. 6.346.075.999,15- untuk pembayaran maintenance ke-1
Estimasi realisasi maksimum tahun 2029: Rp6.346.075.999,15,- untuk pembayaran maintenance ke-2
Estimasi realisasi maksimum tahun 2030: Rp6.346.075.999,15,- untuk pembayaran maintenance ke-3
QLOLA:
Estimasi realisasi maksimum tahun 2026: Rp43.415.237.123,65,- untuk pembayaran DP dan delivery
Estimasi realisasi maksimum tahun 2027: Rp62.021.767.319,50,- untuk pembayaran implementasi
Estimasi realisasi maksimum tahun 2028: Rp6.202.176.731,95,- untuk pembayaran maintenance ke-1
Estimasi realisasi maksimum tahun 2029: Rp6.202.176.731,95,- untuk pembayaran maintenance ke-2
Estimasi realisasi maksimum tahun 2029: Rp6.202.176.731,95,- untuk pembayaran maintenance ke-3</t>
  </si>
  <si>
    <t>2025 281 DTI INF</t>
  </si>
  <si>
    <t>https://confluence.bri.co.id/x/vHx5Uw</t>
  </si>
  <si>
    <t xml:space="preserve">Terdapat perubahan ruang lingkup </t>
  </si>
  <si>
    <t>2026 217 INF 2026-INF-A.01.101 
2026 216 INF 2026-INF-A.01.101 
2026 055 INF 2026-INF-A.01.101</t>
  </si>
  <si>
    <t>https://confluence.bri.co.id/x/3nUvYg 
https://confluence.bri.co.id/x/ayQvYg 
https://confluence.bri.co.id/x/cEUlXQ</t>
  </si>
  <si>
    <t>Pengadaan Server Dedicated Infrastructure Aplikasi QLola DC Ragunan 
Pengadaan Server Dedicated Infrastructure Aplikasi Brimo DC Ragunan 
Pengadaan Dedicated Infrastructure Aplikasi Brimo dan QLola (Server Virtualisasi dan Baremetal)</t>
  </si>
  <si>
    <t xml:space="preserve">25/02/2026
Penyusunan dokumen pengadaan karena ada perubahan ruang lingkup (exclude shared surrounding)
01/04/2026:
Approval IP
24/04/2026 :
Sedang proses approval nota dinas konfirmasi 8/17​
Sedang menunggu opini risk dari DRD baru Dir IT akan melakukan approval IP
</t>
  </si>
  <si>
    <t>- HPE
- Lenovo
- Dell</t>
  </si>
  <si>
    <t xml:space="preserve">PT. Mastersystem Infotama (Platinum) 
PT. Metrocom Global Solusi (Platinum) 
PT. Sidola (Platinum) 
PT. Binareka Tata Mandiri (Platinum) 
PT. Multipolar Technology (Platinum) 
PT. Sentral Data Solusindo (Platinum) 
PT. Berca Hardaya Perkasa (Titanium) 
PT. Infracom Technology (Titanium) 
PT. Sapta Tunas Teknologi (Titanium) </t>
  </si>
  <si>
    <t>2025-INF-A.01.033</t>
  </si>
  <si>
    <t>034</t>
  </si>
  <si>
    <t>2026-INF-A.01.034</t>
  </si>
  <si>
    <t>Pengadaan Penambahan Kapasitas Workload Storage Tier 1 DC Ragunan Sistem 2 Tahun 2025 – 2026</t>
  </si>
  <si>
    <t>SPK
Pembayaran Tahap 1 Uang Muka sebesar 20% dari nilai perangkat atau sebesar
Rp16.889.600.OOO,-  (lunas)
Pembayaran Tahap 2 (Perangkat) sebesar 80% dari nilai perangkat atau sebesar
Rp67.558.400.OOO,-  (Mei 2026)
Pembayaran Tahap 3 (Implementasi) sebesar Rp888.OOO.OOO,-  (Juli)</t>
  </si>
  <si>
    <t xml:space="preserve">2025 243 DTI INF </t>
  </si>
  <si>
    <t>https://confluence.bri.co.id/x/xuboTw</t>
  </si>
  <si>
    <t>R.428.e-ISG/IBP/IBV/08/2025</t>
  </si>
  <si>
    <t>Pembayaran</t>
  </si>
  <si>
    <t>25/02/2026
Approval SPK
TL : Upload dokumen hasil nego 
01/04/2026 :
akan dilakukan pembayaran di bulan April untuk termin DP 20%
24/04/2026 : 
Proses implementasi
Termin DP sudah terbayarkan (17/04/20260</t>
  </si>
  <si>
    <t>Pengadaan</t>
  </si>
  <si>
    <t>4200005638-PLO/IGP/IPT/02/2026</t>
  </si>
  <si>
    <t>Pengadaan Business Partner penambahan kapasitas workload storage Tier 1 sistem 2 DC Ragunan sampai dengan tahun 2026 (Netapp)</t>
  </si>
  <si>
    <t>-Pure Storage
-NetApp</t>
  </si>
  <si>
    <t>PT. Bringin Inti Teknologi</t>
  </si>
  <si>
    <t>2026-INF-A.01.033</t>
  </si>
  <si>
    <t>Pengadaan Penambahan Kapasitas Workload Storage Tier 1 DC Ragunan Sistem 1 Tahun 2025 – 2026</t>
  </si>
  <si>
    <t xml:space="preserve">SPK
Pembayaran Tahap 1 Uang Muka sebesar 20% dari nilai perangkat atau sebesar
Rp16.889.600.OOO,-  (lunas)
Pembayaran Tahap 2 (Perangkat) sebesar 80% dari nilai perangkat atau sebesar
Rp67.558.400.OOO,- 
Pembayaran Tahap 3 (Implementasi) sebesar Rp888.OOO.OOO,- </t>
  </si>
  <si>
    <t>01/04/2026 :
Kick off
2026 : 20%
24/04/2026 :</t>
  </si>
  <si>
    <t>012</t>
  </si>
  <si>
    <t>2026-INF-A.01.012</t>
  </si>
  <si>
    <t>Penambahan Kapasitas Backup Solution GTI dan TBN 2026 (GTI 1,4 PB dan TBN 700 TB)</t>
  </si>
  <si>
    <t>Pengadaan Penambahan Kapasitas Backup &amp; Recovery Solution DC Ragunan Tahun 2026</t>
  </si>
  <si>
    <t>"Estimasi realisasi maksimum tahun 2026 : Rp83.215.261.440,- untuk pembayaran termin DP 5%, Delivery 40%  (nov)
Estimasi realisasi maksimum tahun 2027 : Rp90.612.173.568,- untuk pembayaran Implementasi 46% &amp; Maintenance tahun ke-1 3%
Estimasi realisasi maksimum tahun 2028 : Rp5.547.684.096,- untuk pembayaran Maintenance tahun ke-2 3%
Estimasi realisasi maksimum tahun 2029 : Rp5.547.684.096,- untuk pembayaran Maintenance tahun ke-3 3%"</t>
  </si>
  <si>
    <t>x
01/04/2026 :
Penyusuanan FS TOR
IP : April 2026
24/04/2026 :
Approval IP (GH INF)</t>
  </si>
  <si>
    <t>Rubrik</t>
  </si>
  <si>
    <t>PT Infracom Technology (ICT) - Elite Partner
PT Mastersystem Infotama (MSI) - Elite Partner</t>
  </si>
  <si>
    <t>B.49.e-INF/ICE/PIN/05/2026</t>
  </si>
  <si>
    <t>2026-INF-A.01.167</t>
  </si>
  <si>
    <t>Pengadaan Perangkat Object Storage Appliance Aplikasi BRImen untuk DC GTI dan DC Tabanan Tahun 2026</t>
  </si>
  <si>
    <t>29/04/2026:
2026 230 INF 2026-INF-A.01.167. https://confluence.bri.co.id/x/moVvZg</t>
  </si>
  <si>
    <t>29/04/2026:
Bertambah, sebesar Rp.74.328.774.267 dari [Pengadaan Mesin Staging IBM AS/400 Power11] (2026-INF-A.01.159)</t>
  </si>
  <si>
    <t>Estimasi realisasi maksimum tahun 2026: Rp74.328.774.267,- (DP, Delivery, dan Implementasi) (juni,sep,okt)
Estimasi realisasi maksimum tahun 2027: Rp16.600.689.012,30,- (Implementasi &amp; Maintenance 1)
Estimasi realisasi maksimum tahun 2028: Rp5.051.636.848,85,- (Maintenance 2)
Estimasi realisasi maksimum tahun 2029: Rp5.051.636.848,85,- (Maintenance 3)</t>
  </si>
  <si>
    <t>2026 233 INF 2026-INF-A.01.167</t>
  </si>
  <si>
    <t>https://confluence.bri.co.id/x/moVvZg</t>
  </si>
  <si>
    <t>2025-INF-A.01.154</t>
  </si>
  <si>
    <t>113</t>
  </si>
  <si>
    <t>2026-INF-A.01.113</t>
  </si>
  <si>
    <t>Peningkatan Resiliensi Melalui Dedicated Infrastruktur Hygiene Aplikasi Site Ragunan Dan Tabanan (SDN DC)</t>
  </si>
  <si>
    <t>Pengadaan Dedicated Infrastructure Aplikasi BRImo site Ragunan (SDN DC)</t>
  </si>
  <si>
    <t>17/04/2026
2026 213 INF 2026-lNF-A.01.159, link https://confluence.bri.co.id/x/N81iYw</t>
  </si>
  <si>
    <t>17/04/2026
Berkurang, sebesar Rp31.046.902.242,- ke Pengadaan Mesin Staging IBM AS/400 Power11 (2026-INF-A.01.159)</t>
  </si>
  <si>
    <t>Estimasi realisasi maksimum tahun 2026: Rp 10.497.140.177,-
Estimasi realisasi maksimum tahun 2027: Rp 31.491.420.532,-
Estimasi realisasi maksimum tahun 2028: Rp 5.248.570.089,-
Estimasi realisasi maksimum tahun 2029: Rp 5.248.570.089,-</t>
  </si>
  <si>
    <t xml:space="preserve">2026 051 INF 2026-INF-A.01.113  
2026 051 INF 2026-INF-A.01.113 </t>
  </si>
  <si>
    <t>https://confluence.bri.co.id/x/LzbGYg 
https://confluence.bri.co.id/x/4E-kX</t>
  </si>
  <si>
    <t>Pengadaan Dedicated Infrastructure Aplikasi BRImo site Ragunan (Software Defined Network (SDN) Data Center) 
Pengadaan Dedicated Infrastructure Aplikasi BRImo dan QLola (Software Defined Network (SDN) Data Center)</t>
  </si>
  <si>
    <t>Baru 
Baru</t>
  </si>
  <si>
    <t>SI-RBB</t>
  </si>
  <si>
    <t>Cisco</t>
  </si>
  <si>
    <t xml:space="preserve">- PT. Logistik Teknologi Indonesia (Gold)
- PT. Mastersystem Infotama (Gold) 
- PT. Sinergy Informasi Pratama (Gold) 
- PT. Sisindokom Lintas Buana (Gold) </t>
  </si>
  <si>
    <t>DCO</t>
  </si>
  <si>
    <t>DEN</t>
  </si>
  <si>
    <t>2025-INF-A.01.009</t>
  </si>
  <si>
    <t>082</t>
  </si>
  <si>
    <t>2026-INF-A.01.082</t>
  </si>
  <si>
    <t>Pengadaan Infrastruktur New Data Center IT Facility BRI Ragunan: Paket Pekerjaan DC Equipment</t>
  </si>
  <si>
    <t>note:
SPK
saat pembuatan IP sudah dipisahkan antara IT dan Non IT, tapi saat SPK PLOtidak memisahkan 2 anggaran tersebut</t>
  </si>
  <si>
    <t>Jangka Waktu : 20 (dua puluh) Bulan
Estimasi Termin Pembayaran :
1. Down Payment (DP) | Rp29.832.514.956 | Maret 2025
2. Purchase Order (PO) | Rp14.916.257.478 | April 2025
3. Factory Acceptance Test (FAT) | Rp13.424.631.730 | Juni 2025
4. Material On Site (MOS) | Rp22.374.386.217 | Agustus 2025
5. Installation | Rp37.290.643.695 | Oktober 2025
6. Integrated System Test | Rp1.491.625.748 | Juni 2026
7. Certification | Rp7.458.128.739 | Juni 2026
8. Maintenance Tahap 1 | Rp7.458.128.739 | Juni 2027
9. Maintenance Tahap 2 | Rp7.458.128.739 | Juni 2028
10. Maintenance Tahap 3 | Rp7.458.128.739 | Juni 2029</t>
  </si>
  <si>
    <t xml:space="preserve">25/02/2026
Approval SPK
TL : Upload dokumen hasil nego
01/04/2026: 
kick off meeting done
2026 : 70%
24/04/2026 :
Sedang review dokumen material equipment </t>
  </si>
  <si>
    <t>DCI</t>
  </si>
  <si>
    <t>4200005640-PLO/IGP/IPT/02/2026</t>
  </si>
  <si>
    <t>PT.Dwimitra Ekatama Mandiri</t>
  </si>
  <si>
    <t>B.14.e-INF/CDQ/03/2026</t>
  </si>
  <si>
    <t>2026-INF-A.01.156</t>
  </si>
  <si>
    <t>Pengadaan Perangkat Server Aplikasi Cloudera Data Platform di New Co-Location</t>
  </si>
  <si>
    <t>* Status Pengadaan : Pengadaan
* Jumlah SPK : - 
* Dasar Perhitungan : SPH dan Confluence
* Komponen Pengadaan : -
* TPC : Rp68.212.869.934,-
* Realisasi 2025 : -
Estimasi realisasi maksimum tahun 2026: Rp51.159.652.451,-
Estimasi realisasi maksimum tahun 2027: Rp6.139.158.294,-
Estimasi realisasi maksimum tahun 2028: Rp5.457.029.595,-
Estimasi realisasi maksimum tahun 2029: Rp5.457.029.595,-</t>
  </si>
  <si>
    <t>24/04/2026 :</t>
  </si>
  <si>
    <t>Data Warehouse</t>
  </si>
  <si>
    <t>EDM</t>
  </si>
  <si>
    <t>Hygiene</t>
  </si>
  <si>
    <t>Tidak rutin</t>
  </si>
  <si>
    <t>baru</t>
  </si>
  <si>
    <t>Hardware : HPE dan Lenovo
Software : Red Hat Enterprise Linux</t>
  </si>
  <si>
    <t>SND</t>
  </si>
  <si>
    <t>040</t>
  </si>
  <si>
    <t>2026-INF-A.01.040</t>
  </si>
  <si>
    <t>Implementasi New ADC Module untuk DC Tabanan</t>
  </si>
  <si>
    <t>Pengadaan Containment DC Lantai 3</t>
  </si>
  <si>
    <t xml:space="preserve">Penyusunan, belum ada inisiasi confluence
* Status Pengadaan : Belum mulai
* Jumlah SPK : - 
* Dasar Perhitungan :-
* Komponen Pengadaan :
* TPC :  468.491.040
* Realisasi 2025 :
Estimasi realisasi maksimum tahun 2026: Rp  47.131.427.599 
Estimasi realisasi maksimum tahun 2027: Rp 12.152.830.509 
Estimasi realisasi maksimum tahun 2028: Rp 10.742.293.652 
Estimasi realisasi maksimum tahun 2029: Rp  10.742.293.652 
Estimasi realisasi maksimum tahun 2030: Rp. 10.742.293.652  
Estimasi realisasi maksimum tahun 2031: Rp.   1.984.594.762 </t>
  </si>
  <si>
    <t>Mulai inisiasi Q2
01/04/2026 :
24/04/2026 :</t>
  </si>
  <si>
    <t>Run</t>
  </si>
  <si>
    <t>open tender</t>
  </si>
  <si>
    <t>2025-INF-A.02.002</t>
  </si>
  <si>
    <t>001</t>
  </si>
  <si>
    <t>2026-INF-A.02.001</t>
  </si>
  <si>
    <t>Peningkatan Resiliensi Melalui Dedicated Infrastruktur Hygiene Aplikasi Site Ragunan Dan Tabanan Tahun 2025 (Virtualisasi)</t>
  </si>
  <si>
    <t>Pengadaan Virtualisasi Dedicated Infrastructure Aplikasi BRImo dan QLola DC Ragunan</t>
  </si>
  <si>
    <t>17/04/2026
Berkurang, sebesar Rp14.278.276.761,- ke Pengadaan Mesin Staging IBM AS/400 Power11 (2026-INF-A.01.159)</t>
  </si>
  <si>
    <t>BRIMO:
Estimasi realisasi maksimum tahun 2026: Rp20.687.225.932,80,- untuk pembayaran DP, delivery
Estimasi realisasi maksimum tahun 2027: Rp29.553.179.904,00,- untuk pembayaran implementasi
Estimasi realisasi maksimum tahun 2028: Rp2.955.317.990,40,- untuk pembayaran maintenance ke-1
Estimasi realisasi maksimum tahun 2029: Rp2.955.317.990,40,- untuk pembayaran maintenance ke-2
Estimasi realisasi maksimum tahun 2030: Rp2.955.317.990.40,- untuk pembayaran maintenance ke-3
Qlola:
Estimasi realisasi maksimum tahun 2026: Rp20.019.896.064,00,- untuk pembayaran DP, delivery
Estimasi realisasi maksimum tahun 2027: Rp28.599.851.520,00,- untuk pembayaran implementasi
Estimasi realisasi maksimum tahun 2028: Rp2.859.985.152,00,- untuk pembayaran maintenance ke-1
Estimasi realisasi maksimum tahun 2029: Rp2.859.985.152,00,- untuk pembayaran maintenance ke-2
Estimasi realisasi maksimum tahun 2030: Rp2.859.985.152,00,- untuk pembayaran maintenance ke-3</t>
  </si>
  <si>
    <t>5%
Penyesuaian terakhir
Penyesuaian alokasi dikarenakan inisiasi belum  mulai pada posisi Desember 2025</t>
  </si>
  <si>
    <t>2026 056 INF 2026-INF-A.02.001 
2026 215 INF 2026-INF-A.02.001 
2026 214 INF 2026-INF-A.02.001 
2026 057 INF 2026-INF-A.02.001</t>
  </si>
  <si>
    <t>https://confluence.bri.co.id/x/9Zc3XQ 
https://confluence.bri.co.id/x/DHwvYg 
https://confluence.bri.co.id/x/OmIvYg 
https://confluence.bri.co.id/x/3fM3XQ</t>
  </si>
  <si>
    <t>Pengadaan Dedicated Infrastructure Aplikasi BRImo dan QLola (Virtualisasi) 
Pengadaan Virtualisasi Dedicated Infrastructure Aplikasi BRImo DC Ragunan  
Pengadaan Virtualisasi Dedicated Infrastructure Aplikasi BRImo DC Ragunan  
Pengadaan Dedicated Infrastructure Aplikasi Brimo dan QLola (Virtualisasi DB)</t>
  </si>
  <si>
    <t>-Huawei DCS
-Sangfor
-OLVM</t>
  </si>
  <si>
    <t>-PT. Infracom Technology (Gold)
-PT. Intikom Berlian Mustika (Gold)
-PT. Multipolar Technology (Gold)
-PT. Gwen Tekno Pratama  (Platinum)
-PT. Komputama Nusantara (Platinum)
-PT. Berca Hardayaperkasa (Gold)
-PT. Mastersystem Infotama Tbk (Gold)
-PT. Metrocom Global Solusi (Gold)
-PT. Infracom Technology(QualifiedLinux PSADDOSS)PT. Mitra Integrasi Informatika(Qualified Linux PSADD OSS)
PT. Multipolar Technology(Qualified Linux PSADD OSS)</t>
  </si>
  <si>
    <t>B.43.e-INF/ICE/PIN/04/2026</t>
  </si>
  <si>
    <t>2026-INF-A.01.165</t>
  </si>
  <si>
    <t>Proyek New Co-location Data Center BRI (P Router)</t>
  </si>
  <si>
    <t>Penyediaan P Router untuk Mendukung Proyek New Co-location Data Center BRI</t>
  </si>
  <si>
    <t>Inisiasi conflu, belum ada konfirmasi anggaran
Estimasi realisasi maksimum tahun 2026: Rp 36.675.534.529,-
Estimasi realisasi maksimum tahun 2027: Rp 2.157.384.384,-
Estimasi realisasi maksimum tahun 2028: Rp 2.157.384.384,-
Estimasi realisasi maksimum tahun 2029: Rp 2.157.384.384,-"</t>
  </si>
  <si>
    <t>TIDAK</t>
  </si>
  <si>
    <t>Tranform</t>
  </si>
  <si>
    <t>2025-INF-A.01.095</t>
  </si>
  <si>
    <t>095</t>
  </si>
  <si>
    <t>2026-INF-A.01.095</t>
  </si>
  <si>
    <t>Pengadaan Peningkatan Kapasitas dan Performance Sistem SAP
BRIFIRST (Pekerjaan Upgrade Hardware dan Jasa Implementasi serta
rekonfigurasi Server BRIFIRST)</t>
  </si>
  <si>
    <t>Sisa bayar
Implementasi Fase 3: 35.403.200.000 (Tahun ini)
Maintenance 1-11:590.053.000
Maintenance 12: 590.057.000</t>
  </si>
  <si>
    <t>Jangka Waktu Pekerjaan dibagi menjadi sbb:
Jangka Waktu Implementasi Fase 1 selama 20 minggu sejak Kick Off Meeting.✓
Jangka Waktu Implementasi Fase 2 selama 22 minggu sejak SIK Implementasi Fase 2 yang diterbitkan oleh Divisi FMA dan/atau Divisi INF
Jangka Waktu Implementasi Fase 3 selama 52 minggu sejak SIK Implementasi Fase 3 yang diterbitkan oleh Divisi FMA dan/atau Divisi INF
Jangka Waktu Warranty selama 3 (tiga) tahun terhitung sejak Penyelesaian Pekerjaan Fase 1 (Berita Acara
Serah Terima Pekerjaan Fase 1), Adapun Warranty Perangkat DR untuk Backup Solution dan Archiving
Solution terhitung setelah Implementasi Fase 3 (Berita Acara Serah Terima Pekerjaan Fase 3).
Jangka Waktu Support &amp; Maintenance selama 3 (tiga) tahun terhitung sejak Penyelesaian Pekerjaan Fase
3 (Berita Acara Serah Terima Pekerjaan Fase 3). Pelaksana Pekerjaan bertanggung jawab untuk tetap
melakukan support &amp; maintenance selama gap antara Fase 1 sampai dengan 3.
Detail sesuai dokumen TOR.</t>
  </si>
  <si>
    <t>25/02/2026
Pembayaran fase 3 di Q2
Maintenance : 4 tahun (pembayaran per 3 bulan)
Estimasi pelunasan :
01/04/2026:
menunggu proyek QSFP terlebih dahulu baru dilakukan pembayaran untuk fase 3
24/04/2026 :
Sama</t>
  </si>
  <si>
    <t xml:space="preserve"> SAP BRIFIRST</t>
  </si>
  <si>
    <t>FMA</t>
  </si>
  <si>
    <t>PT. Info Solusindo Data Utama</t>
  </si>
  <si>
    <t>083</t>
  </si>
  <si>
    <t>2026-INF-A.01.083</t>
  </si>
  <si>
    <t>Pengadaan Infrastruktur New Data Center IT Facility BRI Ragunan: Paket Pekerjaan Precision Air Conditioner</t>
  </si>
  <si>
    <t>SPK terbit
note:
saat pembuatan IP sudah dipisahkan antara IT dan Non IT, tapi saat SPK PLOtidak memisahkan 2 anggaran tersebut</t>
  </si>
  <si>
    <t>Komponen Pengadaan : 
- Perangkat PAC
- FAT
- Maintenance
- Testing &amp; Commissioning
Jangka Waktu : 7 (tujuh) Bulan
1. Down Payment (DP) | Rp12.953.620.609 | Maret 2025
2. Purchase Order (PO) | Rp6.476.810.305 | April 2025
3. Factory Acceptance Test (FAT) | Rp6.476.810.305 | Juni 2025
4. Material On Site (MOS) | Rp9.715.215.457 | Agustus 2025
5. Installation | Rp16.192.025.762 | Oktober 2025
6. Integrated System Test | Rp3.238.405.152 | Juni 2026
7. Maintenance Tahap 1 | Rp3.238.405.152 | Juni 2027
8. Maintenance Tahap 2 | Rp3.238.405.152 | Juni 2028
9. Maintenance Tahap 3 | Rp3.238.405.152 | Juni 2029</t>
  </si>
  <si>
    <t xml:space="preserve">25/02/2026
Approval SPK
TL : Upload dokumen hasil nego 
01/04/2026:
Kick off
2026 : 70%
24/04/2026 :
Sedang review dokumen material equipment </t>
  </si>
  <si>
    <t>4200005641-PLO/IGP/IPT/02/2026</t>
  </si>
  <si>
    <t xml:space="preserve">PT. Mustika Memadata </t>
  </si>
  <si>
    <t>Pengadaan Infrastructure Network Mesin Production IBM AS/400 Power11 E1180</t>
  </si>
  <si>
    <t xml:space="preserve">Estimasi realisasi maksimum tahun 
Inisiasi baru
2026: Rp 34.532.441.267,-        
Estimasi realisasi maksimum tahun 2027: Rp 2.031.320.075,-        
Estimasi realisasi maksimum tahun 2028: Rp 2.031.320.075,-        
Estimasi realisasi maksimum tahun 2029: Rp 2.031.320.075,-  </t>
  </si>
  <si>
    <t>NSO</t>
  </si>
  <si>
    <t>CNO</t>
  </si>
  <si>
    <t>2025-INF-A.01.157</t>
  </si>
  <si>
    <t>120</t>
  </si>
  <si>
    <t>2026-INF-A.01.120</t>
  </si>
  <si>
    <t>Kegiatan Transformasi Firewall Data Center Pendukung Unified Security Solution 2025</t>
  </si>
  <si>
    <t>Sudah disesuaikan dengan SPK
"Estimasi realisasi maksimum tahun 2026: Rp 33.966.000.000,-
Estimasi realisasi maksimum tahun 2027: Rp 111.000.000,-
Estimasi realisasi maksimum tahun 2028: Rp 111.000.000,-
Esitmasi realisasi maksimum tahun 2029: Rp 111.000.000,-"</t>
  </si>
  <si>
    <t>2025 300 DTI INF</t>
  </si>
  <si>
    <t>https://confluence.bri.co.id/x/Y2APV</t>
  </si>
  <si>
    <t>R.602.e-ISG/IBP/IBV/10/2025</t>
  </si>
  <si>
    <t>25/02/2026
TBC
01/04/2026 :
Sedang menunggu SPK Terbit
24/04/2026 :
SPK sudah terbit
menunggu Kick Off Meeting</t>
  </si>
  <si>
    <t>4200005701-PLO/IGP/IPT/03/2026</t>
  </si>
  <si>
    <t>Pengadaan Transformasi Firewall Data Center Pendukung Unified Security Solution 2025</t>
  </si>
  <si>
    <t>Palo Alto Networks</t>
  </si>
  <si>
    <t>PT. Dinamika Sistem Integrasi Solusi (Diamond)PT.Mastersystem Infotama (Diamond)PT.Metrocom Global Solusi (Diamond)
PT.NTT Indonesia Technology (Diamond)PT.Packet Systems Indonesia (Diamond)</t>
  </si>
  <si>
    <t>DRM</t>
  </si>
  <si>
    <t>A.02</t>
  </si>
  <si>
    <t>2025-INF-A.02.036</t>
  </si>
  <si>
    <t>018</t>
  </si>
  <si>
    <t>2026-INF-A.02.018</t>
  </si>
  <si>
    <t>Pengadaan Software Replikasi Data MIMIX</t>
  </si>
  <si>
    <t>Setelah di cek pada SAP ternyata belum ada pembayaran</t>
  </si>
  <si>
    <t>2025 128 DTI INF</t>
  </si>
  <si>
    <t>https://confluence.bri.co.id/x/QjDTRQ</t>
  </si>
  <si>
    <t>R.312.e-ISG/IBP/IBV/07/2025</t>
  </si>
  <si>
    <t>25/02/2026
Maintenance s.d Desember 2028
01//04/2026:
-
24/04/2026 :</t>
  </si>
  <si>
    <t>BRINETS</t>
  </si>
  <si>
    <t>OPX</t>
  </si>
  <si>
    <t>Rutin</t>
  </si>
  <si>
    <t>4200005425-PLO/IGP/PTT/12/2025</t>
  </si>
  <si>
    <t>Pengadaan License Software Assure MIMIX</t>
  </si>
  <si>
    <t>PT Kyndryl Solutions Indonesia</t>
  </si>
  <si>
    <t xml:space="preserve">Investasi TI </t>
  </si>
  <si>
    <t>2025-ISC-A.01.034</t>
  </si>
  <si>
    <t>091</t>
  </si>
  <si>
    <t>2026-INF-A.01.091</t>
  </si>
  <si>
    <t>Pengadaan Enhancement Firewall Segment Internet DC Ragunan</t>
  </si>
  <si>
    <t xml:space="preserve">Pengadaan Penggantian Perangkat Server Matrix Switcher untuk Ruang Meeting VVIP Lantai 20 </t>
  </si>
  <si>
    <t>Handover dari CISO</t>
  </si>
  <si>
    <t>Perangkat, Lisensi , Jasa Implementasi, PM CM</t>
  </si>
  <si>
    <t>25/02/2026
Saat ini masih komite
pindahan dari CIS
01/04/2026:
TBC CISO
24/04/2026 :
Pelaksanaan KoM</t>
  </si>
  <si>
    <t xml:space="preserve">
'- PT. Dinamika Sistem Integrasi Solusi (Diamond) 
- PT. Mastersystem Infotama (Diamond) 
- PT. Metrocom Global Solusi (Diamond) 
- PT. NTT Indonesia Technology (Diamond) 
- PT. Packet Systems Indonesia (Diamond) </t>
  </si>
  <si>
    <t>B.87.e-INF/02/2027</t>
  </si>
  <si>
    <t>2026-INF-A.01.143</t>
  </si>
  <si>
    <t>Proyek New Co-location Data Center BRI (Firewall North South)</t>
  </si>
  <si>
    <t>Proyek New Co-location Data Center BRI (Firewall)</t>
  </si>
  <si>
    <t>"Estimasi Realisasi Maksimum Tahun 2026: Rp 30.129.090.817,-
Estimasi Realisasi Maksimum Tahun 2027: Rp 1.772.299.460,-
Estimasi Realisasi Maksimum Tahun 2028: Rp 1.772.299.460,-
Estimasi Realisasi Maksimum Tahun 2029: Rp 1.772.299.460,-"</t>
  </si>
  <si>
    <t>13/03/2026 :
 Inisiasi ini sedang dalam proses
01/04/2026:
24/04/2026 :</t>
  </si>
  <si>
    <t>Pengadaan Lisensi Platform Virtualisasi Sangfor untuk Workload High dan Medium di DC GTI dan DC TBN</t>
  </si>
  <si>
    <t>* Status Pengadaan : Belum Mulai
* Jumlah SPK : -
* Dasar Perhitungan : SPH
* Komponen Pengadaan : - 
* TPC : - 
* Realisasi 2025 : - 
* Estimasi termin pembayaran 2026 : Rp26.730.010.309</t>
  </si>
  <si>
    <t>SSO</t>
  </si>
  <si>
    <t>SCO</t>
  </si>
  <si>
    <t>2025-INF-A.01.050</t>
  </si>
  <si>
    <t>050</t>
  </si>
  <si>
    <t>2026-INF-A.01.050</t>
  </si>
  <si>
    <t>In-orbit Incentive Performance</t>
  </si>
  <si>
    <t>rutin per-3 bulan</t>
  </si>
  <si>
    <t>Pembayaran BRIsat Orbital Performance Incentive kepada manufaktur satelit (MAXAR) dilakukan per-quartal. Berdasarkan Contract BRI dengan manufaktur satelit total biaya Orbital Performance Incentive yang perlu dibayarkan BRI kepada MAXAR selama periode operasional satelit BRIsat adalah sejumlah Dua Belas Juta Empat Ratus Ribu Dolar Amerika Serikat (U.S. $12,400,000) ditambah dengan bunga sebesar 6% per tahun (Article 13.1 &amp; 1.50).
Pembayaran tahun 2026:
- Februari 2026 = USD347,676
- Mei 2026 = USD341,049
- Agustus 2026 = USD358,238
- November 2026 = USD363,638
Pembayaran in orbit Insetif dilakukan sampai 2031
Kurs yang digunakan pengisian form ini, kurs tengah BI pada 19/09/2025, 1USD= IDR16,479.5</t>
  </si>
  <si>
    <t>25/02/2026
Rutin per 3 bulan 
01/04/2026:
-
24/04/2026 :</t>
  </si>
  <si>
    <t>BRI Contract No B.367-DIR/SAT/04/2014 tgl 28 April 2014
Cover Note No : 11506012100001</t>
  </si>
  <si>
    <t>In-orbit Incentive performance</t>
  </si>
  <si>
    <t>MAXAR Technologies</t>
  </si>
  <si>
    <t>Pengadaan Infrastructure Network Dev P11 Tabanan</t>
  </si>
  <si>
    <t>Belum ada Conflu
Estimasi realiasi maksimum tahun 2026: Rp 22.187.076.303,-
Estimasi realisasi maksimum tahun 2027: Rp 1.305.122.135,-
Estimasi realisasi maksimum tahun 2028: Rp 1.305.122.135,-
Estimasi realisasi maksimum tahun 2029: Rp 1.305.122.135,-</t>
  </si>
  <si>
    <t>DBL</t>
  </si>
  <si>
    <t>2025-INF-A.01.011</t>
  </si>
  <si>
    <t>011</t>
  </si>
  <si>
    <t>2026-INF-A.01.011</t>
  </si>
  <si>
    <t>Enhancement Sistem Kelistrikan GTI Ragunan</t>
  </si>
  <si>
    <t>SPK</t>
  </si>
  <si>
    <t>Support Maintenance dan Managed Service
Material UPS &amp; Battery UPS serta Busway
Instalasi UPS &amp; Battery UPS serta Busway
Material on site Panel TM dan Panel TR
Instalasi dan Testing Panel
Instal &amp; Test Comm Kabel TM TR
Implementasi Sarana Pendukung
Instalasi PAC, FSS, Sistem Ventilasi
Instalasi dan Testing Tranformer
Pembongkaran Perangkat Lama
Support Maintenance dan Managed Service
Instalasi Proteksi dan Security
2026: 19.865.120.000</t>
  </si>
  <si>
    <t>25/02/2026
Target implementasi : April 2026
Maintenance 3 tahun (pert3bulan
01/04/2026 :
Sedang integrated testing
24/04/2026 :
Sama</t>
  </si>
  <si>
    <t xml:space="preserve">DCI </t>
  </si>
  <si>
    <t>Pengadaan Proyek Enhancement Sistem Kelistrikan GTI Ragunan</t>
  </si>
  <si>
    <t>2025-ISC-A.01.022</t>
  </si>
  <si>
    <t>090</t>
  </si>
  <si>
    <t>2026-INF-A.01.090</t>
  </si>
  <si>
    <t>Pengadaan Next Generation Firewall Software Define Network (SDN) untuk Proteksi Traffic North-South Intranet</t>
  </si>
  <si>
    <t>17/04/2026
Berkurang, sebesar Rp11.703.969.391,- ke Pengadaan Mesin Staging IBM AS/400 Power11 (2026-INF-A.01.159)</t>
  </si>
  <si>
    <t xml:space="preserve">Estimasi pembayaran 2026 untuk termin perangkat : Rp8.129.363.943,-
Alokasi di INF hanya untuk 2 kali maintenance
</t>
  </si>
  <si>
    <t>25/02/2026
Sudah kick off, sedang proses delivery dan implementasi
01/04/2026 :
TBC CISO
24/04/2026 :
Estimasi pembayaran untuk termin perangkat : Rp8.129.363.943,-
Sedang implementasi</t>
  </si>
  <si>
    <t>Governance</t>
  </si>
  <si>
    <t>B.47.e-INF/ICE/PIN/04/2026</t>
  </si>
  <si>
    <t>PIN</t>
  </si>
  <si>
    <t>2026-INF-A.02.027</t>
  </si>
  <si>
    <t>Pengadaan Mesin Production IBM AS/400 Power11 (Software MIMIX)</t>
  </si>
  <si>
    <t>28/04/2026:
2026 230 INF 2026-INF-A.02.027. https://confluence.bri.co.id/x/4t8CZg</t>
  </si>
  <si>
    <t>28/04/2026:
Bertambah, sebesar Rp17.124.594.064 dari Pengadaan Mesin Staging IBM AS/400 Power11( 2026-lNF-A.01.159)</t>
  </si>
  <si>
    <t>full 17124594064</t>
  </si>
  <si>
    <t>2026 230 INF 2026-INF-A.02.027</t>
  </si>
  <si>
    <t>https://confluence.bri.co.id/x/4t8CZg</t>
  </si>
  <si>
    <t>Pengadaan Mesin Production IBM AS/400 Power11 E1180 (Software MIMIX)</t>
  </si>
  <si>
    <t>06/206</t>
  </si>
  <si>
    <t>PT Multipolar Technology Group</t>
  </si>
  <si>
    <t>B.44.e-INF/ICE/PIN/04/2026</t>
  </si>
  <si>
    <t>2026-INF-A.01.166</t>
  </si>
  <si>
    <t>Pengadaan NGFW Playground Environment</t>
  </si>
  <si>
    <t>Belum mulai
Estimasi 2026: 13.800.000.000
Estimasi 2027: 1.200.000.000
Estimasi 2028: 1.200.000.000</t>
  </si>
  <si>
    <t>B.87.e-INF/02/2030</t>
  </si>
  <si>
    <t>2026-INF-A.01.146</t>
  </si>
  <si>
    <t>Proyek New Co-location Data Center BRI (Switch Server Virtualisasi)</t>
  </si>
  <si>
    <t>Proyek New Co-location Data Center BRI (Leaf Switch Big Data Platform)</t>
  </si>
  <si>
    <t>Belum mulai
"Estimasi realisasi maksimum tahun 2026: Rp 13.763.854.235,-
Estimasi realisasi maksimum tahun 2027: Rp 809.638.484,-
Estimasi realisasi maksimum tahun 2028: Rp 809.638.484,-
Estimasi realisasi maksimum tahun 2029: Rp 809.638.484,-"</t>
  </si>
  <si>
    <t>13/03/2026 :
 Inisiasi ini sedang dalam proses
01/04/2026:</t>
  </si>
  <si>
    <t>tidak</t>
  </si>
  <si>
    <t>transform</t>
  </si>
  <si>
    <t>Modernisasi Application Delivery Controller (ADC) Infrastruktur ODC BRI</t>
  </si>
  <si>
    <t>belum mulai</t>
  </si>
  <si>
    <t>SAC</t>
  </si>
  <si>
    <t>SCI</t>
  </si>
  <si>
    <t>Pengadaan Perpanjangan Rubrik Cluster 2</t>
  </si>
  <si>
    <t>Perpanjangan SPK 420002595</t>
  </si>
  <si>
    <t>ALL</t>
  </si>
  <si>
    <t>Perpanjangan</t>
  </si>
  <si>
    <t>085</t>
  </si>
  <si>
    <t>2026-INF-A.01.085</t>
  </si>
  <si>
    <t>Pengadaan Infrastruktur New Data Center IT Facility BRI Ragunan: Paket Pekerjaan Busduct</t>
  </si>
  <si>
    <t>04/03/2026
2026 085 INF 2026-INF-A.01.085. link https://confluence.bri.co.id/x/ZzpSXw"</t>
  </si>
  <si>
    <t>04/03/2026:
Bertambah, sebesar Rp ke/dari [Modernisasi Infrastructure Network  SAP Ragunan dan Tabanann] (2026-INF-A.01.013)</t>
  </si>
  <si>
    <t>Berdasarkan IP
note:
saat pembuatan IP sudah dipisahkan antara IT dan Non IT, tapi saat SPK PLOtidak memisahkan 2 anggaran tersebut</t>
  </si>
  <si>
    <t>Komponen Pengadaan : 
- Perangkat Busduct
- FAT
- Maintenance
- Testing &amp; Commissioning
Jangka Waktu : 8 (delapan) Bulan
1. Down Payment (DP) | Rp7.458.715.811 | Maret 2025
2. Purchase Order (PO) | Rp3.729.357.905 | April 2025
3. Factory Acceptance Test (FAT) | Rp3.729.357.905 | Juni 2025
4. Material On Site (MOS) | Rp5.594.036.858 | Agustus 2025
5. Installation | Rp9.323.394.764 | Oktober 2025
6. Integrated System Test | Rp1.864.678.953 | Juni 2026
7. Maintenance Tahap 1 | Rp1.864.678.953 | Juni 2027
8. Maintenance Tahap 2 | Rp1.864.678.953 | Juni 2028
9. Maintenance Tahap 3 | Rp1.864.678.953 | Juni 2029</t>
  </si>
  <si>
    <t>2026 085 INF 2026-INF-A.01.085</t>
  </si>
  <si>
    <t>https://confluence.bri.co.id/x/ZzpSXw</t>
  </si>
  <si>
    <t>Pengadaan Infrastruktur New Data Center IT Facility BRI Ragunan:PaketPekerjaan Busduct</t>
  </si>
  <si>
    <t>25/02/2026
Approval SPK
TL : Upload dokumen hasil nego
01/04/2026: 
sudah komite, menunggu SPK terbit</t>
  </si>
  <si>
    <t>PAC</t>
  </si>
  <si>
    <t>025</t>
  </si>
  <si>
    <t>2026-INF-A.01.025</t>
  </si>
  <si>
    <t>Pengadaan hardware refreshment server CSM</t>
  </si>
  <si>
    <t>Pengadaan Hardware Refreshment Server CSM</t>
  </si>
  <si>
    <t>04/02/2026:
2026 010 INF 2026-INF-A.01.025. https://confluence.bri.co.id/x/LKCeWw</t>
  </si>
  <si>
    <t>04/02/2026:
Bertambah, sebesar Rp.6.351.521.010,- dari [Pengadaan Next Generation  QLOLA Hygiene TBN] (2026-INF-A.01.006)</t>
  </si>
  <si>
    <t>Estimasi realisasi maksimum tahun 2026 : Rp10.810.157.910,-
Estimasi realisasi maksimum tahun 2027 : Rp189.297.180,-
Estimasi realisasi maksimum tahun 2028 : Rp189.297.180,-
Estimasi realisasi maksimum tahun 2029 : Rp1.469.338.080,-</t>
  </si>
  <si>
    <t>Komponen: 10 unit HPE DL360 Gen 12 Server (CSM System)
harga per unit: 586.662.750
Estimasi termin pembayaran: 95% di 2026, 5% di 2028
Jangka waktu pengadaan: 10 bulan sejak kick off meeting</t>
  </si>
  <si>
    <t>2026 010 INF 2026-INF-A.01.025</t>
  </si>
  <si>
    <t>https://confluence.bri.co.id/x/LKCeWw</t>
  </si>
  <si>
    <t>25/02/2026
proses handover tim 
01/04/2026 :
TBC
24/04/2026 :
TBC</t>
  </si>
  <si>
    <t>2025-INF-A.02.053</t>
  </si>
  <si>
    <t>2026-INF-A.02.023</t>
  </si>
  <si>
    <t xml:space="preserve">Pengadaan Lisensi Platform Virtualisasi </t>
  </si>
  <si>
    <t>Pengadaan Lisensi Platform Virtualisasi Sangfor</t>
  </si>
  <si>
    <t>27/01/2026: 
https://confluence.bri.co.id/x/4AbNWw
17/04/2026
2026 213 INF 2026-lNF-A.01.159, link https://confluence.bri.co.id/x/N81iYw</t>
  </si>
  <si>
    <t>27/01/2026:
Bertambah, sebesar Rp100.299.622.894,-  dari Peningkatan Resiliensi Melalui Dedicated Infrastruktur Hygiene Aplikasi Site Ragunan Dan Tabanan Tahun 2025 (Storage, Storage Backup dan SAN Director) (2026-INF-A.01.100)
17/04/2026
Berkurang, sebesar Rp44.708.186.567,-  ke Pengadaan Mesin Staging IBM AS/400 Power11 (2026-INF-A.01.159)</t>
  </si>
  <si>
    <t>Inisiasi belum ada conflu
* Status Pengadaan : belum mulai (TIDAK JADI BATAL, JADI DIJALANKAN TAPI UNTUK VIRTUALISASI SANGFOR)
* Jumlah SPK : -
* Dasar Perhitungan : SPH/Confluence
* Komponen Pengadaan : -
* TPC : 11.006.474.833
Estimasi realisasi maksimum tahun 2026: Rp10.676.280.588,01.- untuk pembayaran termin DP (5%), Delivery (42%), Implementasi (50%)
Estimasi realisasi maksimum tahun 2027: Rp110.064.748,33.- untuk pembayaran maintenance 1%
Estimasi realisasi maksimum tahun 2028: Rp110.064.748,33- untuk pembayaran maintenance 1%
Estimasi realisasi maksimum tahun 2029: Rp110.064.748,33- untuk pembayaran maintenance 1%</t>
  </si>
  <si>
    <t>2026 026 INF 2026-INF-A.02.023</t>
  </si>
  <si>
    <t>https://confluence.bri.co.id/x/4AbNWw</t>
  </si>
  <si>
    <t>Pengadaan Lisensi Platform Virtualisasi</t>
  </si>
  <si>
    <t>Batal</t>
  </si>
  <si>
    <t>25/02/2026
Penyusunan dokumen pengadaan karena ada perubahan ruang lingkup (exclude shared surrounding)
01/04/2026:
Approval IP
24/04/2026 :
Kegiatan ini dibatalkan karena terdapat pertimbangan kondisi dunia saat ini. Sehingga alokasi di switching ke ID A.01.156 sebesar Rp55.591.436.327,-</t>
  </si>
  <si>
    <t>Semua aplikasi</t>
  </si>
  <si>
    <t>Semua Pemilik Aplikasi</t>
  </si>
  <si>
    <t>Sangfor dan Huawei</t>
  </si>
  <si>
    <t>Huawei:
PT. Multipolar Technology
PT. Intikom Berlian Mustika
PT. Infracom Technology
Sangfor:
PT. Mastersystem Infotama Tbk
PT. Berca Hardayaperkasa
PT. Metrocom Global Solusi
PT. Komputama Nusantara
PT. Gwen Tekno Pratama</t>
  </si>
  <si>
    <t>Pengadaan Dedicated Infrastructure Aplikasi QLola site Ragunan (SDN DC)</t>
  </si>
  <si>
    <t xml:space="preserve">Estimasi realisasi maksimum tahun 2026: Rp 10.451.127.925,-        
Estimasi realisasi maksimum tahun 2027: Rp 131.353.383.776,-        
Estimasi realisasi maksimum tahun 2028: Rp 5.225.563.963,-        
Estimasi realisasi maksimum tahun 2029: Rp 5.225.563.963,-   </t>
  </si>
  <si>
    <t>YA</t>
  </si>
  <si>
    <t xml:space="preserve"> Ya</t>
  </si>
  <si>
    <t>lo</t>
  </si>
  <si>
    <t>017</t>
  </si>
  <si>
    <t>2026-INF-A.01.017</t>
  </si>
  <si>
    <t>Next Gen DDI Ragunan Tabanan ODC</t>
  </si>
  <si>
    <t>Modernisasi Perangkat DNS Internal Data Center BRI</t>
  </si>
  <si>
    <t xml:space="preserve">* Status Pengadaan : BELUM MULAI
* Jumlah SPK : -
* Dasar Perhitungan : total untuk internal + external + dedicated
* Komponen Pengadaan : -
* TPC :  144.000.000.000
* Realisasi 2025 : -
* Estimasi termin pembayaran 2026 : 10.000.000.000
* Estimasi termin pembayaran 2027 : 115.000.000.000
</t>
  </si>
  <si>
    <t>DP: Rp28,800,000,000
Delivery: Rp86,400,000,000
Implementasi: Rp7,200,000,000</t>
  </si>
  <si>
    <t>25/02/2026
Target naik IP : Q1
01/04/2026 :
Target IP : Q2
24/04/2026 :
Perubahan nama proyek : 
TBC kode inisiasi</t>
  </si>
  <si>
    <t>2025-ISC-A.01.035</t>
  </si>
  <si>
    <t>093</t>
  </si>
  <si>
    <t>2026-INF-A.01.093</t>
  </si>
  <si>
    <t>Pengadaan Next Generation Firewall Environment PreProd</t>
  </si>
  <si>
    <t xml:space="preserve">SPK
* Status Pengadaan : Proses Komite
* Jumlah SPK : - 
* Dasar Perhitungan : HO CISO
* Komponen Pengadaan : 
* TPC : 21047582182
* Realisasi 2025 : 
* Estimasi termin pembayaran 2026 :  17890444855
* Estimasi termin pembayaran 2027 : - </t>
  </si>
  <si>
    <t xml:space="preserve">2025 053 DTI ISC </t>
  </si>
  <si>
    <t>https://confluence.bri.co.id/x/6s-YT</t>
  </si>
  <si>
    <t>R.369.e-ISG/IBP/IBV/08/2025</t>
  </si>
  <si>
    <t>Sudah terbit SPK :
4200005750-PLO/IGP/IPT/04/2026
Confirm Nominal 2026</t>
  </si>
  <si>
    <t>Masih proses komite
01/04/2026:
TBC CISO
24/04/2026 :
Menunggu dokumen dari CISO
menunggu KoM</t>
  </si>
  <si>
    <t>4200005750-PLO/IGP/IPT/04/2026</t>
  </si>
  <si>
    <t>Pengadaan Next Generation Firewall Environment Preprod</t>
  </si>
  <si>
    <t xml:space="preserve">
PT. Dinamika Sistem Integrasi Solusi (Diamond) 
</t>
  </si>
  <si>
    <t>DIQ</t>
  </si>
  <si>
    <t>IDD</t>
  </si>
  <si>
    <t>Implementasi CCTV AI Data Center GTI</t>
  </si>
  <si>
    <t>Kebutuhan baru, ongoing RFI</t>
  </si>
  <si>
    <t>All Aplikasi</t>
  </si>
  <si>
    <t>021</t>
  </si>
  <si>
    <t>2026-INF-A.01.021</t>
  </si>
  <si>
    <t>Modernisasi Infrastructure Network  BSCF DRC PSCF</t>
  </si>
  <si>
    <t>17/04/2026
Berkurang sebesar Rp8.100.000.000,- ke Pengadaan Mesin Staging IBM AS/400 Power11 (2026-INF-A.01.159)</t>
  </si>
  <si>
    <t>"* Status Pengadaan : BELUM MULAI
* Jumlah SPK :
* Dasar Perhitungan : 
* Komponen Pengadaan : -
* TPC :  54.000.000.000
* Realisasi 2025 : -
* Estimasi termin pembayaran 2026 :  8.100.000.000
*  Estimasi termin pembayaran 2027 :  45.900.000.000</t>
  </si>
  <si>
    <t>DP: Rp10,800,000,000
Delivery: Rp32,400,000,000
Implementasi: Rp2,700,000,000</t>
  </si>
  <si>
    <t>25/02/2026
Target mulai : Q3
01/04/2026 :
Target mulai : Q4
Sumber switching
24/04/2026 :</t>
  </si>
  <si>
    <t>CAC</t>
  </si>
  <si>
    <t>CHP</t>
  </si>
  <si>
    <t>032</t>
  </si>
  <si>
    <t>2026-INF-A.01.032</t>
  </si>
  <si>
    <t>Pemenuhan Media Data Cartridge 3592 dan Cleaning Tape Cartridge untuk EATL IBM TS4500 &amp;TS3500 Tahun 2026</t>
  </si>
  <si>
    <t>belum ada pembayaran</t>
  </si>
  <si>
    <t>25/02/2026
Sedang menunggu risk assesment dari DRD
01/04/2026 :
Approval risk assessment
IP Terbit
24/04/2026 :
Menunggu jadwal Anwjzing</t>
  </si>
  <si>
    <t>CHO</t>
  </si>
  <si>
    <t>DON</t>
  </si>
  <si>
    <t>2025-INF-A.01.133</t>
  </si>
  <si>
    <t>133</t>
  </si>
  <si>
    <t>2026-INF-A.01.133</t>
  </si>
  <si>
    <t>Pengadaan dan Implementasi Cabling Infrastructure New Data Center di IT Facility Tabanan</t>
  </si>
  <si>
    <t>MOS cabling: 3.194.104.805
Instalasi Cabling: 1.597.052.402
TestComm Cabling: 1.597.052.402</t>
  </si>
  <si>
    <t>MOS cabling
Instalasi Cabling
TestComm Cabling
TestComm Interbuilding</t>
  </si>
  <si>
    <t>25/02/2026
Proses implementasi
01/04/2026:
Sudah BAST
24/04/2026 :
Sama</t>
  </si>
  <si>
    <t>SRO</t>
  </si>
  <si>
    <t>DCS</t>
  </si>
  <si>
    <t>2025-INF-A.01.002</t>
  </si>
  <si>
    <t>002</t>
  </si>
  <si>
    <t>2026-INF-A.01.002</t>
  </si>
  <si>
    <t>Pengadaan Additional Switch dan Backup Unit DC Ragunan</t>
  </si>
  <si>
    <t>update: 
menunggu SPK Terbit</t>
  </si>
  <si>
    <t>25/02/2026
Approval SPK
TL : Upload dokumen hasil nego
01/04/2026 :
Menunggu SPK terbit
24/04/2026 :</t>
  </si>
  <si>
    <t>B.987.P-PLO/IGP/PTT/06/2021</t>
  </si>
  <si>
    <t>Mastersystem Infotama, P</t>
  </si>
  <si>
    <t>2025-INF-A.01.046</t>
  </si>
  <si>
    <t>046</t>
  </si>
  <si>
    <t>2026-INF-A.01.046</t>
  </si>
  <si>
    <t>Pengadaan Penambahan Kapasitas Workload ODC Tahun 2022-2024 (Perangkat Switch DC)</t>
  </si>
  <si>
    <t>Maintenance:712.500.003
Salah mapping realisasi</t>
  </si>
  <si>
    <t>Sisa Maintenance</t>
  </si>
  <si>
    <t>25/02/2026
Maintenance s.d November 2026
01/04/2026: 
24/04/2026 :</t>
  </si>
  <si>
    <t>4200002462
Add 4500000157</t>
  </si>
  <si>
    <t>Pengadaan Penambahan Kapasitas Workload ODC Tahun 2022-2024
SPK : Pengadaan Penambahan Kapasitas Workload ODC Tahun 2022-2024 (Pekerjaan Perangkat Switch DC)</t>
  </si>
  <si>
    <t>2025-INF-A.01.152</t>
  </si>
  <si>
    <t>111</t>
  </si>
  <si>
    <t>2026-INF-A.01.111</t>
  </si>
  <si>
    <t>Peningkatan Resiliensi Melalui Dedicated Infrastruktur Hygiene Aplikasi Site Ragunan Dan Tabanan (Firewall Management OOB)</t>
  </si>
  <si>
    <t>Pengadaan Dedicated Infrastructure Aplikasi BRImo site Ragunan (Firewall Management OOB)</t>
  </si>
  <si>
    <t>17/04/2026
Berkurang, sebesar Rp9.007.246.672,- ke Pengadaan Mesin Staging IBM AS/400 Power11 (2026-INF-A.01.159)</t>
  </si>
  <si>
    <t>Estimasi Realisasi Maksimum Tahun 2026: Rp 6.506.568.629,-
Estimasi Realisasi Maksimum Tahun 2027: Rp 19.519.705.889,-
Estimasi Realisasi Maksimum Tahun 2028: Rp 3.253.284.315,-
Estimasi Realisasi Maksimum Tahun 2029: Rp 3.253.284.315,-</t>
  </si>
  <si>
    <t>2026 049 INF 2026-INF-A.01.111</t>
  </si>
  <si>
    <t>https://confluence.bri.co.id/x/yEzkX</t>
  </si>
  <si>
    <t>Pengadaan Infrastructure Network untuk Mendukung Database ExaCC</t>
  </si>
  <si>
    <t xml:space="preserve">Estimasi realisasi maksimum tahun 2026: Rp 6.341.041.859,-        
Estimasi realisasi maksimum tahun 2027: Rp 11.625.243.408,-        
Estimasi realisasi maksimum tahun 2028: Rp 1.056.840.310,-        
Estimasi realisasi maksimum tahun 2029: Rp 1.056.840.310,-
Estimasi realisasi maksimum tahun 2030: Rp 1.056.840.310,-  </t>
  </si>
  <si>
    <t>CMO</t>
  </si>
  <si>
    <t>2025-INF-A.01.129</t>
  </si>
  <si>
    <t>129</t>
  </si>
  <si>
    <t>2026-INF-A.01.129</t>
  </si>
  <si>
    <t>Pengadaan UPS Data Center BRI Tabanan IT Facility</t>
  </si>
  <si>
    <t>Komponen Pengadaan : Perangkat UPS
Detail Perhitungan Alokasi : Harga perkiraan sementara
Estimasi kebutuhan di tahun 2026 : Rp7.805.777.778</t>
  </si>
  <si>
    <t>25/02/2026
Penyusunan TOR
target mulai : Q2
01/04/2026:
-
24/04/2026 :
Penyusunan TOR di Eproc</t>
  </si>
  <si>
    <t>DRI</t>
  </si>
  <si>
    <t>TSO</t>
  </si>
  <si>
    <t>2025-INF-A.01.080</t>
  </si>
  <si>
    <t>080</t>
  </si>
  <si>
    <t>2026-INF-A.01.080</t>
  </si>
  <si>
    <t>Pengadaan Refreshment Perangkat Network PSCF dan GTI (Perangkat Juniper)</t>
  </si>
  <si>
    <t>Maintenance 12: 5.521.199.400
Maintenance 1-11: 690.149.919</t>
  </si>
  <si>
    <t>Maintenance 1 tahun: Rp690,149,925 per 3 bulan</t>
  </si>
  <si>
    <t>TBC 
01/04/2026:
s.d Nov 2026
24/04/2026 :</t>
  </si>
  <si>
    <t>4200003803-PLO/IGP/PTT/04/2024</t>
  </si>
  <si>
    <t>Satkomindo Mediyasa</t>
  </si>
  <si>
    <t>ENO</t>
  </si>
  <si>
    <t>EXO</t>
  </si>
  <si>
    <t>2025-INF-A.01.134</t>
  </si>
  <si>
    <t>134</t>
  </si>
  <si>
    <t>2026-INF-A.01.134</t>
  </si>
  <si>
    <t>Peremajaan Perangkat Router P3 (PSC-P3-CR5 dan PSC-P3-CR6)</t>
  </si>
  <si>
    <t>Maintenance 12: 5.521.199.400
Maintenance 11: 690.149.919</t>
  </si>
  <si>
    <t xml:space="preserve">Maintenance 12: 7,591,649,175		
Implementasi: 867,461,948
Maintenance 1-11: 690,149,919	</t>
  </si>
  <si>
    <t>TBC
01/04/2026:
Maintenance s.d Sep 2026
24/04/2026 :</t>
  </si>
  <si>
    <t>Pengadaan Refreshment Perangkat Network PSCF dan GTI (Perangkat
Juniper)</t>
  </si>
  <si>
    <t>043</t>
  </si>
  <si>
    <t>2026-INF-A.01.043</t>
  </si>
  <si>
    <t>Pengadaan Infrastruktur New Data Center IT Facility BRI Ragunan: Paket Pekerjaan Rack &amp; Containment</t>
  </si>
  <si>
    <t>17/04/2026
Berkurang, sebesar Rp6.144.800.000,- ke Pengadaan Mesin Staging IBM AS/400 Power11 (2026-INF-A.01.159)</t>
  </si>
  <si>
    <t>Belum mulai
Target Q3</t>
  </si>
  <si>
    <t>Komponen Pengadaan : 
- Perangkat Rack &amp; Containment
- Smart PDU
- Maintenance
- Testing &amp; Commissioning
Jangka Waktu : 8 (delapan) Bulan
Termin:
1. Down Payment (DP) | Rp6.144.800.000 | Juli 2026
2. Purchase Order (PO) | Rp3.072.400.000 | Agustus 2026
3. Material On Site (MOS) | Rp7.681.000.000 | November 2026
4. Testing &amp; Commissioning | Rp9.217.200.000 | Desember 2026
5. Maintenance Tahap 1 | Rp1.536.200.000 | Desember 2027
6. Maintenance Tahap 2 | Rp1.536.200.000 | Desember 2028
7. Maintenance Tahap 3 | Rp1.536.200.000 | Desember 2029</t>
  </si>
  <si>
    <t>25/02/2026
01/04/2026: 
Kick off
2026 : 70%
24/04/2026 :
Target mulai : Q3</t>
  </si>
  <si>
    <t>GCS</t>
  </si>
  <si>
    <t>026</t>
  </si>
  <si>
    <t>2026-INF-A.01.026</t>
  </si>
  <si>
    <t>Pengadaan Cold Spare TWTA TL22CI di BSCF</t>
  </si>
  <si>
    <t>17/04/2026
Berkurang, sebesar Rp4.435.200.000,- ke Pengadaan Mesin Staging IBM AS/400 Power11 (2026-INF-A.01.159)</t>
  </si>
  <si>
    <t>Termin Pembayaran:
- Estimasi realisasi tahun 2026: 
DP 20% dari TPC Rp. 5.544.000.000,-  (akan ditentukan oleh panitia pengadaan pada saat proses negoisasi). 
2027:
80% untuk pembayaran final unit TWTA TL22CI  yang telah serah terima (akan ditentukan oleh panitia pengadaan pada saat proses negoisasi)</t>
  </si>
  <si>
    <t>Komponen pengadaan TWTA TL22CI:
- Unit TWTA TL22CI
- Shipping dan delivery ke BSCF
- Pengetesan Unit / SAT
- Warranty 12 bulan setelah pembelian
Termin Pembayaran:
- Estimasi realisasi maksimum tahun 2025: Rp. 5.544.000.000,- untuk pembayaran DP 20% Unit TWTA TL22CI (akan ditentukan oleh panitia pengadaan pada saat proses negoisasi). 80% untuk pembayaran final unit TWTA TL22CI  yang telah serah terima (akan ditentukan oleh panitia pengadaan pada saat proses negoisasi).</t>
  </si>
  <si>
    <t>25/02/2026
Penyusunan dokumen inisiasi, target IP : Q3 
01/04/2026 :
Penyusunan Dokumen pengadaan
24/04/2026 :</t>
  </si>
  <si>
    <t>2025-INF-A.01.079</t>
  </si>
  <si>
    <t>079</t>
  </si>
  <si>
    <t>2026-INF-A.01.079</t>
  </si>
  <si>
    <t>Pengadaan Media Data Cartridge 3592 dan Cleaning Tape Cartridge untuk EATL IBM TS4500 &amp; TS3500 Tahun 2025</t>
  </si>
  <si>
    <t>2025 302 DTI INF</t>
  </si>
  <si>
    <t>https://confluence.bri.co.id/x/GkTkUw</t>
  </si>
  <si>
    <t>R.606.e-ISG/IBP/IBV/10/2025</t>
  </si>
  <si>
    <t xml:space="preserve">
Proyek Pengadaan Media Data Cartridge 3592 dan Cleaning Tape Cartridge untuk EATL IBM TS4500 &amp; TS3500 Tahun 2025. Ruang lingkup yang diajukan adalah pemenuhan dengan detail berikut:
Media Data Cartridge TS1160 Tipe 3599 JM dengan kapasitas 5TB dengan jumlah 688 total.
Cleaning Tape Cartridge TS1160 (EATL IBM TS4500) dengan jumlah 20 total.
Cleaning Tape Cartridge TS1130 (EATL IBM TS3500) dengan jumlah 20 total.
Garansi terhadap kerusakan media selama 5 tahun dan free replacement.
</t>
  </si>
  <si>
    <t xml:space="preserve">25/02/2026
TL : Upload SPK
01/04/2026 :
Kick off
24/04/2026 : </t>
  </si>
  <si>
    <t>4200005589-PLO/IGP/IPT/02/2026</t>
  </si>
  <si>
    <t>open tender
PT. Mastersystem Infotama Tbk</t>
  </si>
  <si>
    <t>SBR</t>
  </si>
  <si>
    <t>Pengadaan Access Point untuk Unit Kerja</t>
  </si>
  <si>
    <t>DRO</t>
  </si>
  <si>
    <t>044</t>
  </si>
  <si>
    <t>2026-INF-A.01.044</t>
  </si>
  <si>
    <t>Pengadaan Infrastruktur New Data Center IT Facility BRI Tabanan</t>
  </si>
  <si>
    <t xml:space="preserve">
Instalasi
 - Pekerjaan Perangkat AC Presisi = Rp11,972,362,014
- Pekerjaan UPS = Rp9,557,812,161
- Pekerjaan Busduct DC= Rp3,994,002,000
- Pekerjaan Rack Containment = Rp8,687,588,675
- Pekerjaan Proteksi &amp; Security =Rp2,982,036,198
- Busduct PH = Rp6,134,536,000
Tescom
 - Pekerjaan Perangkat AC Presisi = Rp3,990,787,338
- Pekerjaan UPS =Rp3,185,787,387
- Pekerjaan Busduct DC= Rp1,331,334,000
- Pekerjaan Rack Containment = Rp2,895,862,891
- Pekerjaan Proteksi &amp; Security =Rp994,012,066
- Pekerjaan Busduct PH= Rp2,044,842,000
- Manage Service = Rp3,017,812,500
- Maintenance = Rp4,797,541,897</t>
  </si>
  <si>
    <t>25/02/2026
Proses implementasi
01/04/2026:
Implementasi perangkat permanen
24/04/2026 :
Sama</t>
  </si>
  <si>
    <t>2025-INF-A.02.012</t>
  </si>
  <si>
    <t>2026-INF-A.02.012</t>
  </si>
  <si>
    <t>Pengadaan Penambahan License &amp; Sensor Data Center Infrastructure Monitoring (DCIM)</t>
  </si>
  <si>
    <t>Lunas</t>
  </si>
  <si>
    <t>01/04/2026 :
24/04/2026 :</t>
  </si>
  <si>
    <t>B.547.P-PLO/IGP/PTT/03/2021</t>
  </si>
  <si>
    <t>B.31.e-INF/01/2026</t>
  </si>
  <si>
    <t>2026-INF-A.01.139</t>
  </si>
  <si>
    <t>Pengadaan Dedicated Infrastructure Aplikasi BRImo dan QLola (Firewall Perimeter Monitoring)</t>
  </si>
  <si>
    <t xml:space="preserve">Pengadaan Dedicated Infrastructure Aplikasi BRImo site Ragunan (Firewall Perimeter Internet Monitoring) </t>
  </si>
  <si>
    <t>23/04/2026:
2026 043 INF 2026-INF-A.01.139. https://confluence.bri.co.id/x/RSGtX</t>
  </si>
  <si>
    <t>23/04/2026:
Bertambah, sebesar Rp. 4.490.517.227 dari [Peningkatan Resiliensi Melalui Dedicated Infrastruktur Hygiene Aplikasi Site Ragunan Dan Tabanan (Firewall Perimeter Internet)] (2026-INF-A.01.109)</t>
  </si>
  <si>
    <t>"Estimasi realisasi maksimum tahun 2026: Rp 4.490.517.227,-
Estimasi realisasi maksimum tahun 2027: Rp 13.471.551.680,-
Estimasi realisasi maksimum tahun 2028: Rp 2.245.258.613,-
Estimasi realisasi maksimum tahun 2029: Rp 2.245.258.613,-"</t>
  </si>
  <si>
    <t>2026 043 INF 2026-INF-A.01.139</t>
  </si>
  <si>
    <t>https://confluence.bri.co.id/x/RSGtX</t>
  </si>
  <si>
    <t>Pengadaan Dedicated Infrastructure Aplikasi BRImosite Ragunan (Firewall Perimeter Internet Monitoring)</t>
  </si>
  <si>
    <t>01/04/2026 :
24/04/2026 :
Sedang proses approval nota dinas konfirmasi 8/17​
Sedang menunggu opini risk dari DRD baru Dir IT akan melakukan approval IP</t>
  </si>
  <si>
    <t>2026-INF-A.02.025</t>
  </si>
  <si>
    <t>Pengadaan Lisensi Sistem Operasi Aplikasi Cloudera Data Platform di New Co-Location</t>
  </si>
  <si>
    <t>2025-INF-A.01.153</t>
  </si>
  <si>
    <t>112</t>
  </si>
  <si>
    <t>2026-INF-A.01.112</t>
  </si>
  <si>
    <t>Peningkatan Resiliensi Melalui Dedicated Infrastruktur Hygiene Aplikasi Site Ragunan Dan Tabanan (ADC DC)</t>
  </si>
  <si>
    <t>Pengadaan Dedicated Infrastructure Aplikasi Brimo site Ragunan (Application Delivery Control (ADC))</t>
  </si>
  <si>
    <r>
      <rPr>
        <b/>
        <sz val="11"/>
        <color rgb="FF000000"/>
        <rFont val="Aptos Narrow"/>
        <family val="2"/>
      </rPr>
      <t xml:space="preserve">23/02/2026
</t>
    </r>
    <r>
      <rPr>
        <sz val="11"/>
        <color rgb="FF000000"/>
        <rFont val="Aptos Narrow"/>
        <family val="2"/>
      </rPr>
      <t>2026 050 INF 2026-INF-A.01.112
link https://confluence.bri.co.id/x/007kX
17/04/2026
2026 213 INF 2026-lNF-A.01.159, link https://confluence.bri.co.id/x/N81iYw</t>
    </r>
  </si>
  <si>
    <t>23/02/2026
Bertambah, sebesar Rp876.777.470,60,- dari Pengadaan Dedicated Infrastructure Aplikasi BRImo dan QLola (Firewall Perimeter Internet) (2026-INF-A.01.109 )
17/04/2026
Berkurang, sebesar Rp1.127.772.176,- ke Pengadaan Mesin Staging IBM AS/400 Power11 (2026-INF-A.01.159)</t>
  </si>
  <si>
    <t xml:space="preserve">Estimasi realisasi maksimum tahun 2026: Rp 4.133.128.519,-        
Estimasi realisasi maksimum tahun 2027: Rp 12.399.385.556,-        
Estimasi realisasi maksimum tahun 2028: Rp 2.066.564.260,-        
Estimasi realisasi maksimum tahun 2029: Rp 2.066.564.260,-           </t>
  </si>
  <si>
    <t>v.01 :
2026 050 INF 2026-INF-A.01.112 
v.02 :
2026 050 INF 2026-INF-A.01.112</t>
  </si>
  <si>
    <t>https://confluence.bri.co.id/x/007kX 
https://confluence.bri.co.id/x/0h3GYg</t>
  </si>
  <si>
    <t>Pengadaan Dedicated Infrastructure Aplikasi BRImo dan QLola (Application Delivery Control (ADC)) 
Pengadaan Dedicated Infrastructure Aplikasi BRImo site Ragunan (Application Delivery Control (ADC))</t>
  </si>
  <si>
    <t>F5</t>
  </si>
  <si>
    <t>PT.Mastersystem Infotama (Platinum) PT.Multipollar Techonology (Gold) 
PT. NTT Indonesia Technology (Gold)</t>
  </si>
  <si>
    <t>2025-INF-A.01.155</t>
  </si>
  <si>
    <t>114</t>
  </si>
  <si>
    <t>2026-INF-A.01.114</t>
  </si>
  <si>
    <t>Peningkatan Resiliensi Melalui Dedicated Infrastruktur Hygiene Aplikasi Site Ragunan Dan Tabanan (IGW DC)</t>
  </si>
  <si>
    <t>Pengadaan Dedicated Infrastructure Aplikasi BRImo site Ragunan (Router Internet Gateway (IGW))</t>
  </si>
  <si>
    <t xml:space="preserve">Estimasi realisasi maksimum tahun 2026: Rp 4.048.503.264,20,-
Estimasi realisasi maksimum tahun 2027: Rp 12.145.509.792,60,-
Estimasi realisasi maksimum tahun 2028: Rp 2.024.251.632,10,-
Estimasi realisasi maksimum tahun 2029: Rp 2.024.251.632,10,-
</t>
  </si>
  <si>
    <t>2026 053 INF 2026-INF-A.01.114 
2026 053 INF 2026-INF-A.01.114</t>
  </si>
  <si>
    <t>v.02 = https://confluence.bri.co.id/x/hXBmYg 
https://confluence.bri.co.id/x/71DkX</t>
  </si>
  <si>
    <t>Pengadaan Dedicated Infrastructure Aplikasi BRImo site Ragunan (Router Internet Gateway (IGW)) 
Pengadaan Dedicated Infrastructure Aplikasi BRImo dan QLola (Internet Gateway (IGW) Data Center)</t>
  </si>
  <si>
    <t>PT. Logistik Teknologi Indonesia(Gold)
PT. Mastersystem Infotama(Gold)PT. Sinergy Informasi Pratama(Gold)
PT. Sisindokom Lintas Buana (Gold)</t>
  </si>
  <si>
    <t>2026-INF-A.01.140</t>
  </si>
  <si>
    <t xml:space="preserve"> Pengadaan Dedicated Infrastructure Aplikasi BRImo dan QLola (Router Internet Gateway (IGW) Monitoring)</t>
  </si>
  <si>
    <t>Pengadaan Dedicated Infrastructure Aplikasi BRImo site Ragunan (Router Internet Gateway (IGW) Monitoring)</t>
  </si>
  <si>
    <t>23/04/206:
2026 044 INF 2026-INF-A.01.140. https://confluence.bri.co.id/x/i0WtX</t>
  </si>
  <si>
    <t>23/04/2026:
Bertambah, sebesar Rp. 4.017.865.173 dari [Peningkatan Resiliensi Melalui Dedicated Infrastruktur Hygiene Aplikasi Site Ragunan Dan Tabanan (Firewall Perimeter Internet)] 2026-INF-A.01.109</t>
  </si>
  <si>
    <t>"Estimasi realisasi maksimum tahun 2026: Rp 4.017.865.173,-
Estimasi realisasi maksimum tahun 2027: Rp 12.053.595.519,-
Estimasi realisasi maksimum tahun 2028: Rp 2.008.932.587,-
Estimasi realisasi maksimum tahun 2029: Rp 2.008.932.587,-"</t>
  </si>
  <si>
    <t>2026 044 INF 2026-INF-A.01.140</t>
  </si>
  <si>
    <t>https://confluence.bri.co.id/x/i0WtX</t>
  </si>
  <si>
    <t>Pengadaan Dedicated Infrastructure Aplikasi BRImosite Ragunan(Router InternetGateway (IGW) Monitoring)</t>
  </si>
  <si>
    <t>Pengadaan Dedicated Infrastructure Aplikasi QLola site Ragunan (Application Delivery Control (ADC))</t>
  </si>
  <si>
    <t xml:space="preserve">Estimasi realisasi maksimum tahun 2026: Rp 3.999.466.475,-        
Estimasi realisasi maksimum tahun 2027: Rp 11.998.399.424,-        
Estimasi realisasi maksimum tahun 2028: Rp 1.999.733.237,-        
Estimasi realisasi maksimum tahun 2029: Rp 1.999.733.237,-  </t>
  </si>
  <si>
    <t>Pengadaan UPS untuk Unit Kerja</t>
  </si>
  <si>
    <t>2026 046 INF 2026-INF-A.01.157, link https://confluence.bri.co.id/x/wuzZYg</t>
  </si>
  <si>
    <t>2026-INF-A.01.157</t>
  </si>
  <si>
    <t>Pengadaan Barang Penunjang Operasional IT</t>
  </si>
  <si>
    <t>tidak rutin</t>
  </si>
  <si>
    <t>SCV</t>
  </si>
  <si>
    <t>2025-INF-A.02.027</t>
  </si>
  <si>
    <t>020</t>
  </si>
  <si>
    <t>2026-INF-A.02.020</t>
  </si>
  <si>
    <t>Pengadaan Environment Pre-Production GTI Tahun 2023 (VMware)</t>
  </si>
  <si>
    <t>Tahap 3 License thn ke-3: 3.063.359.000
Maintenance thn ke-l: 18.500.000
Maintenance thn ke-2:  18.500.000
Maintenance thn ke-3:  18.500.000</t>
  </si>
  <si>
    <t>Tahap 3 License thn ke-2
Tahap 3 License thn ke-3
Maintenance thn ke-l
Maintenance thn ke-2
Maintenance thn ke-3</t>
  </si>
  <si>
    <t>25/02/2026
Maintenance : s.d Oktober 2027
01/06/2026:
-
24/04/2026 :</t>
  </si>
  <si>
    <t>038</t>
  </si>
  <si>
    <t>2026-INF-A.01.038</t>
  </si>
  <si>
    <t>Pengadaan DSP perangkat CSM</t>
  </si>
  <si>
    <t>TBC TPC - SPK
Estimasi 2026: 3000000000
Estimasi 2027: 3000000000</t>
  </si>
  <si>
    <t>Komponen: 2 unit perangkat DSP (Digital Signal Processing)</t>
  </si>
  <si>
    <t>2025-INF-A.01.151</t>
  </si>
  <si>
    <t>106</t>
  </si>
  <si>
    <t>2026-INF-A.01.106</t>
  </si>
  <si>
    <t>Peningkatan Resiliensi Melalui Dedicated Infrastruktur Hygiene Aplikasi Site Ragunan Dan Tabanan (SDN OOB Management)</t>
  </si>
  <si>
    <t>Pengadaan Dedicated Infrastructure Aplikasi BRImo site Ragunan (OOB Management)</t>
  </si>
  <si>
    <t>17/04/2026
Berkurang, sebesar Rp22.746.062.830,- ke Pengadaan Mesin Staging IBM AS/400 Power11 (2026-INF-A.01.159)</t>
  </si>
  <si>
    <t>Estimasi realisasi maksimum tahun 2026: Rp 2.791.993.706,-
Estimasi realisasi maksimum tahun 2027: Rp 8.375.981.119,-
Estimasi realisasi maksimum tahun 2028: Rp 1.395.996.853,-
Estimasi realisasi maksimum tahun 2029: Rp 1.395.996.853,-</t>
  </si>
  <si>
    <t>2026 048 INF 2026-INF-A.01.106 
2026 048 INF 2026-INF-A.01.106</t>
  </si>
  <si>
    <t>v.02 = https://confluence.bri.co.id/x/67w3Yw 
https://confluence.bri.co.id/x/YUzkX</t>
  </si>
  <si>
    <t>Pengadaan Dedicated Infrastructure Aplikasi BRImo site Ragunan(OOB Management) 
Pengadaan Dedicated Infrastructure Aplikasi BRImo dan QLola (OOB Management)</t>
  </si>
  <si>
    <t>Brimo,Qlola</t>
  </si>
  <si>
    <t xml:space="preserve">
'- PT. Logistik Teknologi Indonesia (Gold) 
-PT. Mastersystem Infotama (Gold) 
- PT. Sinergy Informasi Pratama (Gold) 
- PT. Sisindokom Lintas Buana (Gold) 
</t>
  </si>
  <si>
    <t>QAF</t>
  </si>
  <si>
    <t>2025-INF-A.01.105</t>
  </si>
  <si>
    <t>105</t>
  </si>
  <si>
    <t>2026-INF-A.01.105</t>
  </si>
  <si>
    <t>Pengadaan Jasa Pengawas Proyek Upgrade Capacity DC TBN IT Facility</t>
  </si>
  <si>
    <t>17/04/2026
Berkurang, sebesar Rp1.650.000.000,- ke Pengadaan Mesin Staging IBM AS/400 Power11 (2026-INF-A.01.159)</t>
  </si>
  <si>
    <t>Estimasi 2026:
Tahap 2
Material Onsite &amp; Instalasi Perangkat: 550.000.000
Integrasi Sistem Power House &amp; Data Center TBN: 275.000.000
Tahap 3
Kegiatan Tescom Pekerjaan Power House TBN: 275.000.000
Persiapan Kegiatan Tescom Pekerjaan Power House TBN: 275.000.000
Tescom Pekerjaan Power House TBN: 275.000.000
 Tescom Pekerjaan Data Center TBN: 550.000.000
Tahap 4:
 Proses Sertifikasi TCCF DC TBN: 275.000.000
Proses Sertifikasi TCOS DC TBN: 275.000.000</t>
  </si>
  <si>
    <t>Thp 2.2 Pengawas Intalasi DC Tabanan IT
Thp 2.4 Pengawas Intalasi DC Tabanan IT
Thp 3.4 Pgws Testing &amp; Tescom DC Tbn IT
Thp 1.2 Pengawas Persiapan DC Tabanan IT
Thp 1.3 Pengawas Persiapan DC Tabanan IT
Thp 2.3 Pengawas Intalasi DC Tabanan IT
Thp 2.5 Pengawas Intalasi DC Tabanan IT
Thp 3.1 Pgws Testing &amp; Tescom DC Tbn IT
Thp 3.2 Pgws Testing &amp; Tescom DC Tbn IT
Thp 3.3 Pgws Testing &amp; Tescom DC Tbn IT
Thp 4.1 Pengawas Sertifikasi DC Tbn IT
Thp 4.2 Pengawas Sertifikasi DC Tbn IT
Thp 4.3 Pengawas sertifikasi DC Tbn IT
Thp 4.4 Pengawas Sertifikasi DC Tbn IT</t>
  </si>
  <si>
    <t>25/02/2026
proses handover
01/04/2026:
TBC
24/04/2026 :
Sedang persiapan test com</t>
  </si>
  <si>
    <t>Jasa Konsultan Pengawas Proyek Upgrade Capacity DC Tabanan IT Facility</t>
  </si>
  <si>
    <t>PT. LAPI ITB</t>
  </si>
  <si>
    <t>2026-INF-A.02.002</t>
  </si>
  <si>
    <t>Pengadaan Instalasi, Setup Konfigurasi, dan License Subscription OS Red Hat Enterprise for Refreshment, Renewal, dan Expansion Platform Big Data Cloudera</t>
  </si>
  <si>
    <t>Subscription License tahun ke-3
2.747.733.334</t>
  </si>
  <si>
    <t xml:space="preserve">Subscription License tahun ke-3: 2,747,733,334			</t>
  </si>
  <si>
    <t>25/02/2026
Pembayaran instalasi tahap 3 - Maret 2026
01/04/2026:
24/04/2026 :</t>
  </si>
  <si>
    <t>CAM</t>
  </si>
  <si>
    <t>4300003123-PLO/IGP/PTT/12/2023</t>
  </si>
  <si>
    <t>2025-INF-A.02.022</t>
  </si>
  <si>
    <t>022</t>
  </si>
  <si>
    <t>2026-INF-A.02.022</t>
  </si>
  <si>
    <t>Pengadaan License VMware (Server 30 Lenovo Environment DC GTI)</t>
  </si>
  <si>
    <t xml:space="preserve">License tahun 3: 2.739.702.000
Local support 8: 49.950.000
Local support 9: 49.950.000
Local support 10: 49.950.000
Local support 11: 49.950.000
Local support 12: 49.950.000
total 2026: 2.889.552.000 </t>
  </si>
  <si>
    <t>Local support 2-12</t>
  </si>
  <si>
    <t>TBC
01/04/2026:
Maintenance s.d Jun 2027
24/04/2026 :</t>
  </si>
  <si>
    <t>CPO</t>
  </si>
  <si>
    <t>4200004410 -PLO/1GP/PTT/10/2024</t>
  </si>
  <si>
    <t>Pengadaan Subscription License VMware dan Perpanjangan Maintenance Agreement Server 30 Lenovo Environment 30 Lenovo DC GTI</t>
  </si>
  <si>
    <t>2025-INF-A.01.117</t>
  </si>
  <si>
    <t>117</t>
  </si>
  <si>
    <t>2026-INF-A.01.117</t>
  </si>
  <si>
    <t>Pengadaan Perangkat Network Data Center untuk ODC (GSLB &amp; License SSL Visibility)</t>
  </si>
  <si>
    <t>TBC SPK</t>
  </si>
  <si>
    <t>Perangkat GSLB 2
Perangkat GSLB 1
Instalasi
Perangkat GSLB 3</t>
  </si>
  <si>
    <t>TBC
01/04/2026:
TBC
24/04/2026 :
TBC</t>
  </si>
  <si>
    <t>Mastersystem Infotama, PT</t>
  </si>
  <si>
    <t>029</t>
  </si>
  <si>
    <t>2026-INF-A.01.029</t>
  </si>
  <si>
    <t>Pengadaan Penambahan Koneksi Interbuilding BRI Tabanan IT Facility</t>
  </si>
  <si>
    <t>17/04/2026
Berkurang, sebesar Rp2.500.000.000,- ke Pengadaan Mesin Staging IBM AS/400 Power11 (2026-INF-A.01.159)</t>
  </si>
  <si>
    <t>Komponen Pengadaan : 
Cable :
1. Smart office - BSCF
2. Smart office - New DC
Infrastructure &amp; Cable
1. Smart office - power house
2. Smart office - pos security
3. Lantai 1 - 4 Smart Office Tabanan
Detail Perhitungan Alokasi : Harga perkiraan sementara
Estimasi kebutuhan di tahun 2026 : Rp2.500.000</t>
  </si>
  <si>
    <t>25/02/2026
Penyusunan dokumen inisiasi, target Inisiasi : Q2 
01/04/2026 :
target inisiasi IP : Q3
24/04/2026 :</t>
  </si>
  <si>
    <t>2025-INF-A.01.150</t>
  </si>
  <si>
    <t>110</t>
  </si>
  <si>
    <t>2026-INF-A.01.110</t>
  </si>
  <si>
    <t>Peningkatan Resiliensi Melalui Dedicated Infrastruktur Hygiene Aplikasi Site Ragunan Dan Tabanan (Firewall Private Data Center)</t>
  </si>
  <si>
    <t>Pengadaan Dedicated Infrastructure Aplikasi BRImo site Ragunan (Firewall Private Data Center)</t>
  </si>
  <si>
    <t>17/04/2026
Berkurang ,sebesar Rp76.378.975.010,- ke Pengadaan Mesin Staging IBM AS/400 Power11 (2026-INF-A.01.159)</t>
  </si>
  <si>
    <t>Estimasi realisasi maksimum tahun 2026: Rp 2.438.624.718,-
Estimasi realisasi maksimum tahun 2027: Rp 7.315.874.154,-
Estimasi realisasi maksimum tahun 2028: Rp 1.219.312.359,-
Estimasi realisasi maksimum tahun 2029: Rp 1.219.312.359,-</t>
  </si>
  <si>
    <t>2026 047 INF 2026-INF-A.01.110 
2026 047 INF 2026-INF-A.01.110</t>
  </si>
  <si>
    <t>https://confluence.bri.co.id/x/BEzkX 
https://confluence.bri.co.id/x/WwxSXw</t>
  </si>
  <si>
    <t>Pengadaan Dedicated Infrastructure Aplikasi BRImo dan QLola (Firewall Private Data Center (NS Dedicated, NS Surrounding, dan EW Surrounding)) 
Pengadaan Dedicated Infrastructure Aplikasi BRImo site Ragunan (Firewall Private Data Center)</t>
  </si>
  <si>
    <t xml:space="preserve">Palo Alto Network </t>
  </si>
  <si>
    <t>2025-INF-A.01.131</t>
  </si>
  <si>
    <t>131</t>
  </si>
  <si>
    <t>2026-INF-A.01.131</t>
  </si>
  <si>
    <t>Pengadaan Precision Air Conditioning  (PAC) Ruang Data Center BSCF</t>
  </si>
  <si>
    <t>17/04/2026
Berkurang, sebesar Rp2.352.000.000,- ke Pengadaan Mesin Staging IBM AS/400 Power11 (2026-INF-A.01.159)</t>
  </si>
  <si>
    <t>sisa bayar</t>
  </si>
  <si>
    <t>Komponen Pengadaan : Perangkat PAC
Detail Perhitungan Alokasi : Harga perkiraan sementara
Estimasi kebutuhan di tahun 2026 : Rp2.352.000.000</t>
  </si>
  <si>
    <t>25/02/2026
Penyusunan dokumen, target mulai : Q2
01/04/2026:
Target IP naik : Q3 - agustus 2026
24/04/2026 :</t>
  </si>
  <si>
    <t>048</t>
  </si>
  <si>
    <t>2026-INF-A.01.048</t>
  </si>
  <si>
    <t>Pengadaan Reengineering Switch DC Facility BRI DC Ragunan</t>
  </si>
  <si>
    <t>Support &amp; Maintenance beserta Eos: 2.310.000.000</t>
  </si>
  <si>
    <t>Maintenance 1 tahun: Rp330,000,000 per 3 bulan</t>
  </si>
  <si>
    <t>Maintenance s.d Maret 2027
01/04/2026:
24/04/2026 :</t>
  </si>
  <si>
    <t>4200003760-PLO/IGP/PTT/04/2024</t>
  </si>
  <si>
    <t>2025-INF-A.01.149</t>
  </si>
  <si>
    <t>109</t>
  </si>
  <si>
    <t>2026-INF-A.01.109</t>
  </si>
  <si>
    <t>Peningkatan Resiliensi Melalui Dedicated Infrastruktur Hygiene Aplikasi Site Ragunan Dan Tabanan (Firewall Perimeter Internet)</t>
  </si>
  <si>
    <t>Pengadaan Dedicated Infrastructure Aplikasi BRImo site Ragunan (Firewall Perimeter Internet)</t>
  </si>
  <si>
    <r>
      <rPr>
        <b/>
        <sz val="11"/>
        <color rgb="FF000000"/>
        <rFont val="Aptos Narrow"/>
        <family val="2"/>
      </rPr>
      <t xml:space="preserve">23/02/2026
</t>
    </r>
    <r>
      <rPr>
        <sz val="11"/>
        <color rgb="FF000000"/>
        <rFont val="Aptos Narrow"/>
        <family val="2"/>
      </rPr>
      <t>2026 050 INF 2026-INF-A.01.112
link https://confluence.bri.co.id/x/007kX
23/04/2026:
2026 043 INF 2026-INF-A.01.139. https://confluence.bri.co.id/x/RSGtX
23/04/206:
2026 044 INF 2026-INF-A.01.140. https://confluence.bri.co.id/x/i0WtX</t>
    </r>
  </si>
  <si>
    <t>23/02/2026
Berkurang, sebesar Rp876.777.470,60,- ke Pengadaan Dedicated Infrastructure Aplikasi BRImo dan QLola (Application Delivery Control (ADC)) (2026-INF-A.01.112)
23/04/2026:
Berkurang, sebesar Rp. 4.490.517.227 ke [Pengadaan Dedicated Infrastructure Aplikasi BRImo site Ragunan (Firewall Perimeter Internet Monitoring)] (2026-INF-A.01.139)
23/04/2026:
Berkurang, sebesar Rp. 4.017.865.173 ke [Pengadaan Dedicated Infrastructure Aplikasi BRImo dan QLola (Router Internet Gateway (IGW) Monitoring)] (2026-INF-A.01.140)</t>
  </si>
  <si>
    <t>Estimasi realisasi maksimum tahun 2026: Rp 2.137.826.262,-
Estimasi realisasi maksimum tahun 2027: Rp 6.413.478.785,-
Estimasi realisasi maksimum tahun 2028: Rp 1.068.913.131,-
Estimasi realisasi maksimum tahun 2029: Rp 1.068.913.131,-</t>
  </si>
  <si>
    <t>2026 046 INF 2026-INF-A.01.109 
2026 046 INF 2026-INF-A.01.109</t>
  </si>
  <si>
    <t>https://confluence.bri.co.id/x/D0vkX 
https://confluence.bri.co.id/x/grtEYw</t>
  </si>
  <si>
    <t>Pengadaan Dedicated Infrastructure Aplikasi BRImo dan QLola (Firewall Perimeter Internet) 
Pengadaan Dedicated Infrastructure Aplikasi BRImo site Ragunan (Firewall Perimeter Internet)</t>
  </si>
  <si>
    <t>PT.Dinamika Sistem Integrasi Solusi (Diamond)
PT.Mastersystem Infotama (Diamond)
PT.Metrocom Global Solusi (Diamond)
PT.NTT Indonesia Technology (Diamond)
PT.Packet Systems Indonesia (Diamond)</t>
  </si>
  <si>
    <t>Nota Dinas B.42.e-INF/ICE/PIN/04/2026</t>
  </si>
  <si>
    <t>2026-INF-A.01.164</t>
  </si>
  <si>
    <t>Pengadaan Rak Server, Smart PDU dan Containment System Data Center Lantai 3 GTI</t>
  </si>
  <si>
    <t>2025-INF-A.01.063</t>
  </si>
  <si>
    <t>063</t>
  </si>
  <si>
    <t>2026-INF-A.01.063</t>
  </si>
  <si>
    <t>Pengadaan Upgrade Kapasitas P dan PE Router PSCF Ragunan, BSCF Tabanan, dan ODC Sentul (Perangkat Cisco)</t>
  </si>
  <si>
    <t>* Status Pengadaan : Sisa bayar
* Jumlah SPK : 1 
* Dasar Perhitungan : SPK
* Komponen Pengadaan :
* TPC : 64.800.000.000
* Realisasi 2025 :
Estimasi 2026:
Mainteannce Juniper: 2.055.511.321</t>
  </si>
  <si>
    <t>maintenance cisco</t>
  </si>
  <si>
    <t>Maintenance - November 2026
01/04/2026:
24/04/2026 :</t>
  </si>
  <si>
    <t>Pengadaan Upgrade Kapasitas P dan PE Router PSCF Ragunan, BSCF Tabanan dan ODC Sentul (Perangkat Juniper)</t>
  </si>
  <si>
    <t>PT. Asia Sistem Indonesia</t>
  </si>
  <si>
    <t>Pengadaan Dedicated Infrastructure Aplikasi QLola site Ragunan (Firewall Private Data Center)</t>
  </si>
  <si>
    <t xml:space="preserve">Estimasi realisasi maksimum tahun 2026: Rp 1.994.776.447,-        
Estimasi realisasi maksimum tahun 2027: Rp 5.984.329.340,-        
Estimasi realisasi maksimum tahun 2028: Rp 997.388.223,-        
Estimasi realisasi maksimum tahun 2029: Rp 997.388.223,-  </t>
  </si>
  <si>
    <t>B.47.e-INF/DCO/IBL/04/2026</t>
  </si>
  <si>
    <t>IBL</t>
  </si>
  <si>
    <t>2026-INF-A.01.160</t>
  </si>
  <si>
    <t>Pengadaan Pemenuhan 13 Unit Video Wall Untuk IT Strategy &amp; Enterprise Architecture Group</t>
  </si>
  <si>
    <t>sudah nodin pengadaan ke PLO</t>
  </si>
  <si>
    <t xml:space="preserve">24/04/2026 : </t>
  </si>
  <si>
    <t>Pengadaan Dedicated Infrastructure Aplikasi QLola site Ragunan (Firewall Perimeter Internet)</t>
  </si>
  <si>
    <t xml:space="preserve">Estimasi realisasi maksimum tahun 2026: Rp 1.873.068.916,-        
Estimasi realisasi maksimum tahun 2027: Rp 5.619.206.749,-        
Estimasi realisasi maksimum tahun 2028: Rp 936.534.458,-        
Estimasi realisasi maksimum tahun 2029: Rp 936.534.458,- </t>
  </si>
  <si>
    <t>QAN</t>
  </si>
  <si>
    <t>2025-INF-A.01.072</t>
  </si>
  <si>
    <t>072</t>
  </si>
  <si>
    <t>2026-INF-A.01.072</t>
  </si>
  <si>
    <t>Pengadaan Compute dan Network Playground Infrastructure (Network) Fase 1</t>
  </si>
  <si>
    <t>"* Status Pengadaan : Sisa bayar
* Jumlah SPK : 1 
* Dasar Perhitungan : SPK
* Komponen Pengadaan :
* TPC : 
* Realisasi 2025 :
Estimasi 2026: 27.935.148.000
Maintenance 2026 
Maintenanace Cisco: 798.275.000
Maintenance F5: 508.750.000
Maintenance Infoblox: 508.750.000</t>
  </si>
  <si>
    <t>Maintenanace Cisco
Maintenance FS
Maintenance Infoblox</t>
  </si>
  <si>
    <t>Pengadaan Compute dan Network Playground Infrastructure (Network)</t>
  </si>
  <si>
    <t>PT. Mastersystem Infotama</t>
  </si>
  <si>
    <t>Pengadaan Business Partner Ansible Automation Platform untuk Implementasi Otomasi Hardening Infrastruktur T I Skala Enterprise - RedHat</t>
  </si>
  <si>
    <t>License: 21.895.471.059
Maintenance: 1.776.000.000
Implementasi - 50%: 894.776.328
Implementasi - 30%: 536.865.797
Implementasi - Uang Muka: 357.910.531
Training: 208.447.345
License Linux Server:107.528.940</t>
  </si>
  <si>
    <t>43000Q7105 -PLO/IGP/PTT/04/2026</t>
  </si>
  <si>
    <t>060</t>
  </si>
  <si>
    <t>2026-INF-A.01.060</t>
  </si>
  <si>
    <t>Pengadaan Network Preprod Environment for Critical Application</t>
  </si>
  <si>
    <t>total maintenance: 1.575.000.000</t>
  </si>
  <si>
    <t>Maintenance 1 tahun: Rp175,000,000 per 3 bulan</t>
  </si>
  <si>
    <t>PCMP</t>
  </si>
  <si>
    <t>4200004307-PLO/IGP/PTT/10/2024</t>
  </si>
  <si>
    <t>Pengadaan Network Infrastructure Environment Pre-Production GTI</t>
  </si>
  <si>
    <t>2025-INF-A.01.068</t>
  </si>
  <si>
    <t>068</t>
  </si>
  <si>
    <t>2026-INF-A.01.068</t>
  </si>
  <si>
    <t>Pengadaan Environment Pre-Production GTI Tahun 2023 (Network)</t>
  </si>
  <si>
    <t>"* Status Pengadaan : Sisa bayar
* Jumlah SPK : 1 
* Dasar Perhitungan : SPK
* Komponen Pengadaan :
* TPC : 64.800.000.000
* Realisasi 2025 :
Estimasi 2026:
Maintenance 2026 total maintenance
1.575.ooo.ooo</t>
  </si>
  <si>
    <t xml:space="preserve">total maintenance	1,925,000,000		</t>
  </si>
  <si>
    <t>25/02/2026
Maintenance : s.d Oktober 2027
01/04/2026:
24/04/2026 :</t>
  </si>
  <si>
    <t>Nota Dinas B.48.e-INF/DCO/IBL/04/2026</t>
  </si>
  <si>
    <t>2026-INF-A.01.161</t>
  </si>
  <si>
    <t>Pengadaan Perangkat Display untuk CIA Team (CISO Group) di GTI Ragunan Lantai 8</t>
  </si>
  <si>
    <t>DCF</t>
  </si>
  <si>
    <t>Penggantian Baterai UPS Lantai 4 GTI BRI Ragunan</t>
  </si>
  <si>
    <t>004</t>
  </si>
  <si>
    <t>2026-INF-A.02.004</t>
  </si>
  <si>
    <t>Maintenance dan Penambahan Fitur Automation ke Cloud untuk Titan</t>
  </si>
  <si>
    <t>17/04/2026
Berkurang, sebesar Rp1.500.931.528,- ke Pengadaan Mesin Staging IBM AS/400 Power11 (2026-INF-A.01.159)</t>
  </si>
  <si>
    <t>2 termin</t>
  </si>
  <si>
    <t>TBC
01/04/2026:
Target IP : Q3
24/04/2026 :</t>
  </si>
  <si>
    <t>Tidak Ada</t>
  </si>
  <si>
    <t>2025-INF-A.01.052</t>
  </si>
  <si>
    <t>052</t>
  </si>
  <si>
    <t>2026-INF-A.01.052</t>
  </si>
  <si>
    <t>Pengadaan Mesin IBM Tape Library TS4500 dan Tape Drive TS1160 untuk DC GTI, DC Tabanan, dan ODC Sentul</t>
  </si>
  <si>
    <t>"belum dibayarkan
Tahap 4x Maintenance: 300.000.000"</t>
  </si>
  <si>
    <t>Maintenance tahap 4: 1.500.000.000</t>
  </si>
  <si>
    <t>Maintenance s.d Januari 2027
01/04/2026: 
24/04/2026 :</t>
  </si>
  <si>
    <t>Pengadaan Mesin IBM Tape Library TS4500 dan Tape Drive TS1160 untuk DC GTI, DC Tabanan dan ODC Sentul</t>
  </si>
  <si>
    <t>RSQ</t>
  </si>
  <si>
    <t>2025-INF-A.01.036</t>
  </si>
  <si>
    <t>036</t>
  </si>
  <si>
    <t>2026-INF-A.01.036</t>
  </si>
  <si>
    <t>Pengadaan Network Packet Broker Tools DC Ragunan</t>
  </si>
  <si>
    <t>2025 100 DTI INF</t>
  </si>
  <si>
    <t>https://confluence.bri.co.id/x/Fvy1QQ</t>
  </si>
  <si>
    <t>R.139.e-ISG/IBP/IBV/03/2025</t>
  </si>
  <si>
    <t>Estimasi realisasi maksimum tahun 2026 : Rp 1.347.228.933,- untuk pembayaran maintenance tahun ke-1 (6,5%)</t>
  </si>
  <si>
    <t>25/02/2026
pindah deparment
01/04/2026 : 
Target mulai : TBC
24/04/2026 :
Target IP : Q2</t>
  </si>
  <si>
    <t>Arista</t>
  </si>
  <si>
    <t>2025-INF-A.01.064</t>
  </si>
  <si>
    <t>064</t>
  </si>
  <si>
    <t>2026-INF-A.01.064</t>
  </si>
  <si>
    <t>Refreshment Perangkat Network Tahun 2024 (DC, LAN, Mgmt)</t>
  </si>
  <si>
    <t xml:space="preserve">* Status Pengadaan : Sisa bayar
* Jumlah SPK : 1 
* Dasar Perhitungan : SPK
* Komponen Pengadaan :
* TPC : 64.800.000.000
* Realisasi 2025 :
Estimasi 2026:
Implementasi: 734.307.693
Maintenance 1-11: 560.929.490
Maintenance 12: 50.993.587
</t>
  </si>
  <si>
    <t>Implementasi
Maintenance 1-11
Maintenance 12</t>
  </si>
  <si>
    <t>Maintenance s.d April 2026
Perpanjangan belum ada inisiasi
01/04/2026:
24/04/2026 :
Sama</t>
  </si>
  <si>
    <t>Pengadaan Refreshment Perangkat Network PSCF dan GTI (Perangkat Cisco)</t>
  </si>
  <si>
    <t>071</t>
  </si>
  <si>
    <t>2026-INF-A.01.071</t>
  </si>
  <si>
    <t>Implementasi: 734.307.693
Maintenance 1-11
560.929.490</t>
  </si>
  <si>
    <t>Maintenance 1 tahun: Rp50,993,590 per 3 bulan</t>
  </si>
  <si>
    <t>4200003802-PLO/IGP/PTT/04/2024</t>
  </si>
  <si>
    <t>B.3.e-INF/SNQ/SND/01/2026</t>
  </si>
  <si>
    <t>2026-INF-A.01.141</t>
  </si>
  <si>
    <t>Pengadaan QSFP untuk Kebutuhan Integrasi Switch Leaf SAP DC Tabanan</t>
  </si>
  <si>
    <t>02/02/2026: 
2026 006 INF 2026-INF-A.01.141
https://confluence.bri.co.id/x/DQ6cWw</t>
  </si>
  <si>
    <t>02/02/2026:
Bertambah, sebesar Rp1.245.619.267,- dari Storage Tier 2 GTI 2026 (2026-INF-A.01.027)</t>
  </si>
  <si>
    <t>Estimasi realisasi maksimum tahun 2026 :  Rp1.245.619.267 ,- untuk Pembayaran sebesar 100% setelah barang diterima dan dibuktikan dengan BAST</t>
  </si>
  <si>
    <t>2026 006 INF 2026-INF-A.01.141</t>
  </si>
  <si>
    <t>https://confluence.bri.co.id/x/DQ6cWw</t>
  </si>
  <si>
    <t>Pengadaan QSFP untuk Kebutuhan Integrasi Switch Leaf SAP BRIFIRST DC Tabanan</t>
  </si>
  <si>
    <t>25/02/2026
Approval IP
01/04/2026:
24/04/2026 :
Sedang pengiriman penilaian teknis ke PLO</t>
  </si>
  <si>
    <t>2025-INF-A.01.015</t>
  </si>
  <si>
    <t>015</t>
  </si>
  <si>
    <t>2026-INF-A.01.015</t>
  </si>
  <si>
    <t>Pengadaan Penambahan Kapasitas Archive Rubrik Tahun  2022-2023 DC GTI Ragunan  (Archive Rubrik)</t>
  </si>
  <si>
    <t>Lunas, diperpanjang di SPK 4300006872-PLO/IGP/PTT/02/2026
Renewal License
1.221.000.000</t>
  </si>
  <si>
    <t>Selesai (Lunas)</t>
  </si>
  <si>
    <t>Pengadaan Penambahan Kapasitas Backup Solution Workload 2022 – 2023 DC Ragunan dan DC Tabanan</t>
  </si>
  <si>
    <t>2025-INF-B.12.013</t>
  </si>
  <si>
    <t>013</t>
  </si>
  <si>
    <t>2026-INF-A.02.013</t>
  </si>
  <si>
    <t>Pengadaan License Subscription OS Red Hat Enterprise Linux for Virtual Datacenter Periode 2024 - 2027</t>
  </si>
  <si>
    <t>Sisa bayar: 1.152.180.000</t>
  </si>
  <si>
    <t>Pembayaran license tahun ke-3 sebesar Rp. 1.152.180.000</t>
  </si>
  <si>
    <t>25/02/2026
masih proses serah terima karena reorganisasi
01/04/2026:
menunggu kelengkapan BA serah terima
24/04/2026 :
Sama</t>
  </si>
  <si>
    <t>4300003894-PLO/IGP/PTT/06/2024</t>
  </si>
  <si>
    <t>SSQ</t>
  </si>
  <si>
    <t>2024-ISC-A.01.039</t>
  </si>
  <si>
    <t>099</t>
  </si>
  <si>
    <t>2026-INF-A.01.099</t>
  </si>
  <si>
    <t>Pengadaaan Rejuvenate NGFW PSCF &amp; BSCF</t>
  </si>
  <si>
    <t>Maintenance PSCF 1 Tahun: 250.000.000
Maintenance BSCF 1 Tahun: 250.000.000</t>
  </si>
  <si>
    <t>Sisa pembayaran jasa implementasi dan maintenance</t>
  </si>
  <si>
    <t>25/02/2026
TBC
01/04/2026:
TBC
24/04/2026 :
masih di CIS sedang menunggu closing baru ke INF</t>
  </si>
  <si>
    <t>4200004667-PLO/IGP/PTT/01/2025</t>
  </si>
  <si>
    <t>Pengadaan Rejuvenate NGFW Site PSCF &amp; BSCF</t>
  </si>
  <si>
    <t xml:space="preserve">UPA </t>
  </si>
  <si>
    <t>DRF</t>
  </si>
  <si>
    <t xml:space="preserve">2025-INF-A.01.165 </t>
  </si>
  <si>
    <t>094</t>
  </si>
  <si>
    <t>2026-INF-A.01.094</t>
  </si>
  <si>
    <t>Pengadaan Uninterruptible Power Supply Smart Office Kawasan IT Facility BRI Tabanan</t>
  </si>
  <si>
    <t>2025 335 DTI INF</t>
  </si>
  <si>
    <t>https://confluence.bri.co.id/x/B9i8W</t>
  </si>
  <si>
    <t>R.64.e-ISG/IPB/IBM/12/2025</t>
  </si>
  <si>
    <t>-Vektor
-Eaton
-Schneider Electric
-Socomec
-ABB</t>
  </si>
  <si>
    <t>QAC</t>
  </si>
  <si>
    <t>2025-INF-A.02.015</t>
  </si>
  <si>
    <t>107</t>
  </si>
  <si>
    <t>2026-INF-A.01.107</t>
  </si>
  <si>
    <t>Pengadaan Compute dan Network Playground Infrastructure (Network - VMware)</t>
  </si>
  <si>
    <t>Pembayaran tahap ke 4
1.023.586.500
Maintenance ke 2: 22.200.000</t>
  </si>
  <si>
    <t>Tahap 3:	1,023,586,500	
Tahap 4:	1,023,586,500
Maintenance: 66,600,000</t>
  </si>
  <si>
    <t>25/02/2026
Maintenance : s.d Desember 2027
01/04/2026:
24/04/2026 :</t>
  </si>
  <si>
    <t>Pengadaan License VMware untuk Playground Infrastructure</t>
  </si>
  <si>
    <t>055</t>
  </si>
  <si>
    <t>2026-INF-A.01.055</t>
  </si>
  <si>
    <t>Pengadaan Smart PDU DC Ragunan</t>
  </si>
  <si>
    <t>17/04/2026
Berkurang, sebesar Rp1.000.000.000,- ke Pengadaan Mesin Staging IBM AS/400 Power11 (2026-INF-A.01.159)</t>
  </si>
  <si>
    <t>25/02/2026
Penyusunan dokumen pengadaan, target mulai Q2
01/04/2026:
IP tebit : Q3
24/04/2026 :</t>
  </si>
  <si>
    <t>PT. Mustika Memadata</t>
  </si>
  <si>
    <t>2025-INF-A.01.001</t>
  </si>
  <si>
    <t>2026-INF-A.01.001</t>
  </si>
  <si>
    <t>Pengadaan Backup &amp; Recovery dan Object Storage</t>
  </si>
  <si>
    <t>25/02/2026
01/04/2026 :
24/04/2026 :</t>
  </si>
  <si>
    <t>B.318.P-PLO/IGP/PTT/11/2020</t>
  </si>
  <si>
    <t>037</t>
  </si>
  <si>
    <t>2026-INF-A.01.037</t>
  </si>
  <si>
    <t>Pengadaan CCTV Gedung New DC BRI IT Facility Tabanan</t>
  </si>
  <si>
    <t>Tidak ada perubahan</t>
  </si>
  <si>
    <t>Komponen Pengadaan : Perangkat CCTV
Jangka Waktu : Selama 1 (tahun) tahun
Detail Perhitungan Alokasi : Harga perkiraan sementara
Estimasi kebutuhan di tahun 2026 : Rp900.000.000</t>
  </si>
  <si>
    <t>Pengadaan Spectrum Analyzer portable dan Horn Schwarzbeck (BBHA 9120 D) Sebagai Tools Scanning Interference Signal di BSCF</t>
  </si>
  <si>
    <t>Full payment di 2026</t>
  </si>
  <si>
    <t xml:space="preserve">B.22.e-INF/ICE/PIN/03/2026 </t>
  </si>
  <si>
    <t>2026-INF-A.01.151</t>
  </si>
  <si>
    <t>Pengadaan dan Rekonfigurasi Baterai UPS Ruang Network Sudirman</t>
  </si>
  <si>
    <t>16/03/2026:
2026 065 INF 2026-INF-A.01.151. https://confluence.bri.co.id/x/JWxHXQ</t>
  </si>
  <si>
    <t>16/03/2026
Bertambah, sebesar Rp 847.268.707 dari Pengadaan Reengineering Switch DC Facility BRI DC Ragunan (2026-INF-A.01.049)</t>
  </si>
  <si>
    <t>20 Apr
ND pnerusan ke PLO, menunggu jadwal aanwijzing</t>
  </si>
  <si>
    <t>2026 065 INF 2026-INF-A.01.151</t>
  </si>
  <si>
    <t>https://confluence.bri.co.id/x/JWxHXQ</t>
  </si>
  <si>
    <t>Pengadaan Peremajaan dan Rekonfigurasi Baterai UPS Ruang Network Sudirman</t>
  </si>
  <si>
    <t>24/04/2026 :
Sedang menunggu jadwal anwjzing</t>
  </si>
  <si>
    <t>DQA</t>
  </si>
  <si>
    <t>056</t>
  </si>
  <si>
    <t>2026-INF-A.01.056</t>
  </si>
  <si>
    <t>Pengadaan Network Playground Infrastructure 
(HO ke QAN)</t>
  </si>
  <si>
    <t xml:space="preserve">Pengadaan Network Playground Infrastructure </t>
  </si>
  <si>
    <t>* Status Pengadaan : Sisa bayar
* Jumlah SPK : 1 
* Dasar Perhitungan : SPK
* Komponen Pengadaan :
* TPC :  27.935.148.000
* Realisasi 2025 :
Estimasi 2026:
Maintenanace Cisco: 798.275.000
Maintenance F5: 508.750.000
Maintenance Infoblox: 508.750.000</t>
  </si>
  <si>
    <t>Maintenance 1 tahun: Rp181,577,500 per 3 bulan</t>
  </si>
  <si>
    <t>4200003850-PLO/IGP/PTT/05/2024</t>
  </si>
  <si>
    <t>Pengadaan Network Playground Infrastructure</t>
  </si>
  <si>
    <t>PT. Mastersystem Infotama
PT. Bringin Inti Teknologi
PT. Info Solusindo Data Utama</t>
  </si>
  <si>
    <t>Pengadaan GPS Timeserver Microchip S650 untuk menggantikan GPS Microsemi XLI system GRCS Obsolete</t>
  </si>
  <si>
    <t>2025-INF-A.01.054</t>
  </si>
  <si>
    <t>054</t>
  </si>
  <si>
    <t>2026-INF-A.01.054</t>
  </si>
  <si>
    <t>Pengadaan Penambahan Kapasitas Workload ODC Tahun 2022-2024 (Perangkat Storage  - System 1)</t>
  </si>
  <si>
    <t>baru dibayar sampai maintenance ke 5
belum dibayar:
maintenance 6-12: 643.749.996</t>
  </si>
  <si>
    <t>Tahap 4 (Maintenance) Periode 1-11
Tahap 4 (Maintenance) Periode 1-11
Tahap 4 (Maintenance) Periode 12
Tahap 4 (Maintenance) Periode 1-11</t>
  </si>
  <si>
    <t>Pengadaan Penambahan Kapasitas Workload ODC Tahun 2022-2024
SPK : Pengadaan Perangkat Storage untuk Penambahan Kapasitas Workload ODC Tahun 2022-2024 - System 1</t>
  </si>
  <si>
    <t>2025-INF-A.01.057</t>
  </si>
  <si>
    <t>057</t>
  </si>
  <si>
    <t>2026-INF-A.01.057</t>
  </si>
  <si>
    <t>Pengadaan Penambahan Kapasitas Workload ODC Tahun 2022-2024 (PT. Info Solusindo Data Utama)</t>
  </si>
  <si>
    <t>Pengadaan Penambahan Kapasitas Workload ODC Tahun 2022-2024</t>
  </si>
  <si>
    <t>Tahap 4 - Maintenance
622.749.960</t>
  </si>
  <si>
    <t>Tahap 4 Maintenance</t>
  </si>
  <si>
    <t>Pengadaan Penambahan Kapasitas Workload ODC Tahun 2022-2024
SPK : Pengadaan Perangkat Server untuk Penambahan Kapasitas Workload ODC Tahun 2022-2024</t>
  </si>
  <si>
    <t>EPS</t>
  </si>
  <si>
    <t>EPI</t>
  </si>
  <si>
    <t>2025-INF-A.01.119</t>
  </si>
  <si>
    <t>119</t>
  </si>
  <si>
    <t>2026-INF-A.01.119</t>
  </si>
  <si>
    <t>Pengadaan Customer Edge Router Site Menara BRILIAN</t>
  </si>
  <si>
    <t>Jasa Maintenance
560.000.000</t>
  </si>
  <si>
    <t>Maintenance tahun pertama: Rp56,000,000 dibayarkan per 3 bulan</t>
  </si>
  <si>
    <t>LCO</t>
  </si>
  <si>
    <t>4200004601-PLO/IGP/PTT/12/2024</t>
  </si>
  <si>
    <t>Pengadaan Customer Edge Router Site Menara BRILian</t>
  </si>
  <si>
    <t>Logistik Teknologi Indonesia</t>
  </si>
  <si>
    <t>EVO</t>
  </si>
  <si>
    <t>075</t>
  </si>
  <si>
    <t>2026-INF-A.01.075</t>
  </si>
  <si>
    <t>Peremajaan Perangkat NetApp NAS Array dan Firewall Fortigate HUB Jupiter PSCF &amp; BSCF</t>
  </si>
  <si>
    <t>Komponen Pengadaan : NAS &amp; Firewall HUB Jupiter PSCF &amp; BSCF
Nilai Kontrak : USD 517.400 (Rp. 8.795.800.000)
Estimasi 1 USD = Rp.17.000</t>
  </si>
  <si>
    <t>WNO</t>
  </si>
  <si>
    <t>1270.K-PLO/PSR/LEG/11/2024</t>
  </si>
  <si>
    <t>PURCHASE OF NETWORK ATTACHED STORAGE (NAS) AND FORTIGATE FIREWALL DEVICE REJUVENATION FOR JUPITER GATEWAY PSCF AND BSCF</t>
  </si>
  <si>
    <t>2025-ISC-A.01.001</t>
  </si>
  <si>
    <t>089</t>
  </si>
  <si>
    <t>2026-INF-A.01.089</t>
  </si>
  <si>
    <t>SuperApps Firewall</t>
  </si>
  <si>
    <t>Support &amp; Maintenance: 532.800.000</t>
  </si>
  <si>
    <t>Support Maintenance</t>
  </si>
  <si>
    <t>SuperApps</t>
  </si>
  <si>
    <t>4200002965-PLO/IGP/PTT/07/2023</t>
  </si>
  <si>
    <t>Pengadaan Firewall Super Apps &amp; Zone Core DC GTI BRI Tahun 2023</t>
  </si>
  <si>
    <t>Smash</t>
  </si>
  <si>
    <t>2025-INF-A.01.053</t>
  </si>
  <si>
    <t>053</t>
  </si>
  <si>
    <t>2026-INF-A.01.053</t>
  </si>
  <si>
    <t>Pengadaan Peremajaan Switch Management (OOB Switch) BRI Site Ragunan GTI dan Tabanan DRC</t>
  </si>
  <si>
    <t>IP awal proses approval management
Perpanjangan BAKP, proses masih inisiasi.</t>
  </si>
  <si>
    <t>Maintenance 11: 20,831,000
Maintenance 12: 20,831,000
Uang Muka 20%: 250,448,000</t>
  </si>
  <si>
    <t>B.1634.P-PLO/IGP/PTT/09/2021 (Add B.441.P-PLO/IGP/PTT/04/2022 tgl 01 Apr 2022)</t>
  </si>
  <si>
    <t>2025-INF-A.02.051</t>
  </si>
  <si>
    <t>014</t>
  </si>
  <si>
    <t>2026-INF-A.02.014</t>
  </si>
  <si>
    <t>Piloting Platform Huawei DC Ragunan</t>
  </si>
  <si>
    <t>Estimasi realisasi maksimum tahun 2025 : Rp0,-
Estimasi realisasi maksimum tahun 2026 : Rp482.361.600,- untuk pembayaran DP (5%), delivery (82%) dan implementasi (10%)
Estimasi realisasi maksimum tahun 2027: Rp14.918.400,- (3%) untuk pembayaran maintenance</t>
  </si>
  <si>
    <t>2025 324 DTI INF</t>
  </si>
  <si>
    <t>https://confluence.bri.co.id/x/utRIVg</t>
  </si>
  <si>
    <t>R.63.e-ISG/IPB/IBM/12/2025</t>
  </si>
  <si>
    <t>Huawei</t>
  </si>
  <si>
    <t>PT. Infracom Technology (Gold)
PT. Intikom Berlian Mustika (Gold)
PT. Multipolar Technology (Gold</t>
  </si>
  <si>
    <t>2025-INF-A.01.045</t>
  </si>
  <si>
    <t>045</t>
  </si>
  <si>
    <t>2026-INF-A.01.045</t>
  </si>
  <si>
    <t>Pengadaan Penambahan Kapasitas Storage Untuk Workload Cluster 60 Server HP DC GTI</t>
  </si>
  <si>
    <t>Lunas, akan ada perpanjangan</t>
  </si>
  <si>
    <t>Maintenance: 453.333.333</t>
  </si>
  <si>
    <t>2025-INF-A.01.051</t>
  </si>
  <si>
    <t>051</t>
  </si>
  <si>
    <t>2026-INF-A.01.051</t>
  </si>
  <si>
    <t>Pengadaan Modul Edge Pihak Ketiga (Extranet) BRI Site ODC</t>
  </si>
  <si>
    <t>Maintenance per 11: 225.780.727
Maintenance per 12: 225.780.727</t>
  </si>
  <si>
    <t>Maintenance per 8
Maintenance per 9
Maintenance per 10
Maintenance per 11
Maintenance per 12</t>
  </si>
  <si>
    <t>25/02/2026
01/04/2026:
24/04/2026 :</t>
  </si>
  <si>
    <t>PT. Satkomindo Mediyasa</t>
  </si>
  <si>
    <t>2026-INF-A.02.011</t>
  </si>
  <si>
    <t>Pengadaan Lisensi Piloting OLVM DC Ragunan</t>
  </si>
  <si>
    <t>Estimasi 2026: 433.158.206
Estimasi 2027: Rp13.396.646</t>
  </si>
  <si>
    <t>01/04/2026 :
Menunggu Anwjzing
24/04/2026 :</t>
  </si>
  <si>
    <t>2025-INF-A.01.066</t>
  </si>
  <si>
    <t>066</t>
  </si>
  <si>
    <t>2026-INF-A.01.066</t>
  </si>
  <si>
    <t>Pengadaan Environment Pre-Production GTI Tahun 2023 (Storage)</t>
  </si>
  <si>
    <t>* Status Pengadaan : Sisa bayar
* Jumlah SPK : 1 
* Dasar Perhitungan : SPK
* Komponen Pengadaan :
* TPC : 64.800.000.000
* Realisasi 2025 :
Estimasi 2026:
Maintenance - Thn ke-2: 200.000.000
Maintenance - Thn ke-3: 200.000.000
total: 400.000.000</t>
  </si>
  <si>
    <t>Maintenance thn ke-2
Maintenance thn ke-3</t>
  </si>
  <si>
    <t xml:space="preserve"> Pengadaan Environment Pre-Production GTI Tahun 2023 (Storage)</t>
  </si>
  <si>
    <t>2026-INF-A.01.022</t>
  </si>
  <si>
    <t>Network Smart Office Tabanan</t>
  </si>
  <si>
    <t>Penyediaan Perangkat SDWAN Spoke Smart Office Tabanan</t>
  </si>
  <si>
    <t xml:space="preserve">* Status Pengadaan : Belum mulai
* Jumlah SPK : - 
* Dasar Perhitungan :-
* Komponen Pengadaan :
* TPC :  468.491.040
* Realisasi 2025 :
Estimasi realisasi maksimum tahun 2026: Rp 398.217.384,- 
Estimasi realisasi maksimum tahun 2027: Rp 23.424.552,-
Estimasi realisasi maksimum tahun 2028: Rp 23.424.552,-
Estimasi realisasi maksimum tahun 2029: Rp 23.424.552,-
</t>
  </si>
  <si>
    <t>DP: Rp4,600,000,000
Delivery: Rp13,800,000,000
Implementasi: Rp1,150,000,000</t>
  </si>
  <si>
    <t>25/02/2026
Penyusunan dokumen inisiasi, target IP : Q1
01/04/2026 :
Target IP : April 2026
24/04/2026 :
Sedang menunggu SPH</t>
  </si>
  <si>
    <t>2025-INF-A.01.058</t>
  </si>
  <si>
    <t>058</t>
  </si>
  <si>
    <t>2026-INF-A.01.058</t>
  </si>
  <si>
    <t>Pengadaan Server Platform Cloudera Tahun 2023 (Network Switch)</t>
  </si>
  <si>
    <t xml:space="preserve">Maintenance Network - 12: 83.333.337
Maintenance Network - 10: 83.333.333
Maintenance Network - 11: 83.333.333 </t>
  </si>
  <si>
    <t>Maintenance Network - 8
Maintenance Network - 9
Maintenance Network - 10
Maintenance Network - 11
Maintenance Network - 12</t>
  </si>
  <si>
    <t>Pengadaan Server Platform Cloudera 2023 (Network Switch)</t>
  </si>
  <si>
    <t>2025-INF-A.01.097</t>
  </si>
  <si>
    <t>097</t>
  </si>
  <si>
    <t>2026-INF-A.01.097</t>
  </si>
  <si>
    <t>Redesign Power Semi-Kritis Data Center PSCF</t>
  </si>
  <si>
    <t>Maintenance 3: 83.156.299
Maintenance 4: 83.156.299</t>
  </si>
  <si>
    <t>Maintenance 1
Maintenance 2
Maintenance 3
Maintenance 4
Tahap 2-10%</t>
  </si>
  <si>
    <t>United Transworld Trading</t>
  </si>
  <si>
    <t>2026-INF-A.01.030</t>
  </si>
  <si>
    <t>Pengadaan Modem SCPC untuk Interference Identifier</t>
  </si>
  <si>
    <t>full 2026</t>
  </si>
  <si>
    <t>2025-INF-A.01.018</t>
  </si>
  <si>
    <t>2026-INF-A.01.018</t>
  </si>
  <si>
    <t>Pengadaan Modul Edge WAN (MPLS &amp; Cellular BRI) Site ODC</t>
  </si>
  <si>
    <t>"* Status Pengadaan : Sisa bayar
* Jumlah SPK : 2 (1 addendum)
* Dasar Perhitungan : SPK
* Komponen Pengadaan : -
* TPC :  7.220.000.0000
* Realisasi 2025 : -
* Estimasi termin pembayaran 2026 : 
Maintenance 7: 58.097.493
Maintenance 8: 58.097.493
Maintenance 9: 58.097.493
Maintenance 11: 58.097.493
Maintenance 12: 58.097.493</t>
  </si>
  <si>
    <t>Maintenance 6: 58,097,493
Maintenance 7: 58,097,493
Maintenance 8: 58,097,493
Maintenance 9: 58,097,493
Maintenance 10: 58,097,493
Maintenance 11: 58,097,493
Maintenance 12: 58,097,493</t>
  </si>
  <si>
    <t>4200001926
Add 4500000065</t>
  </si>
  <si>
    <t>Pengadaan Modul Edge WAN (MPLS &amp; Cellular BRI) site ODC</t>
  </si>
  <si>
    <t>PT. Packet Systems Indonesia</t>
  </si>
  <si>
    <t>2025-INF-A.01.145</t>
  </si>
  <si>
    <t>122</t>
  </si>
  <si>
    <t>2026-INF-A.01.122</t>
  </si>
  <si>
    <t>Pengadaan Modul BIPA TWTA TL12UO PSCF</t>
  </si>
  <si>
    <t>Estimasi realisasi maksimum tahun 2025: Rp68.487.000,- untuk pembayaran DP 20% spare part module BIPA (akan ditentukan oleh panitia pengadaan pada saat proses negoisasi).
Estimasi realisasi maksimum tahun 2026: Rp273.948.000,- untuk pembayaran final spare part module BIPA yang telah serah terima (akan ditentukan oleh panitia pengadaan pada saat proses negoisasi).</t>
  </si>
  <si>
    <t>2025 253 DTI INF</t>
  </si>
  <si>
    <t>https://confluence.bri.co.id/x/qXQMUQ</t>
  </si>
  <si>
    <t>R.592.e-ISG/IBP/IBV/10/2025</t>
  </si>
  <si>
    <t>Komponen pengadaan Modul BIPA TL12UO:
- Modul BIPA
- Shipping dan delivery ke PSCF
- Pengetesan Modul BIPA
- Warranty 12 bulan setelah pembelian
Termin Pembayaran:
- Estimasi realisasi maksimum tahun 2025: Rp. 68.487.000,- untuk pembayaran DP 20% spare part module BIPA (akan ditentukan oleh panitia pengadaan pada saat proses negoisasi).
- Estimasi realisasi maksimum tahun 2026: Rp. 273.948.000,- untuk pembayaran final spare part module BIPA yang telah serah terima (akan ditentukan oleh panitia pengadaan pada saat proses negoisasi).</t>
  </si>
  <si>
    <t>2025-INF-A.01.014</t>
  </si>
  <si>
    <t>2026-INF-A.01.014</t>
  </si>
  <si>
    <t>Pengadaan Backup and Recovery Solution DC GTI &amp; DC Tabanan Tahun 2021 – 2022</t>
  </si>
  <si>
    <t>belum bayar
Maintenance Backup &amp; Recovery (6x) total: 252.272.724</t>
  </si>
  <si>
    <t>Maintenance Backup &amp; Recovery	42,045,460</t>
  </si>
  <si>
    <t>4200000771 add 4500000017</t>
  </si>
  <si>
    <t>Pengadaan Backup and Recovery Solution DC GTI &amp; DC Tabanan 2021
SPK :
Pengadaan Backup and Recovery Solution DC GTI &amp; DC Tabanan 2021 – 2022</t>
  </si>
  <si>
    <t>035</t>
  </si>
  <si>
    <t>2026-INF-A.01.035</t>
  </si>
  <si>
    <t>Pengadaan Support Pemindahan IPC Trading Communication Treasury Group</t>
  </si>
  <si>
    <t>Pengadaan Hardware Resiliensi IPC Site Ragunan 2026</t>
  </si>
  <si>
    <t xml:space="preserve">* Status Pengadaan : Belum mulai
* Jumlah SPK : - 
* Dasar Perhitungan :-
* Komponen Pengadaan :
* TPC : 1200000000
* Realisasi 2025 :
Estimasi realisasi maksimum tahun 2026: Rp 250.000.000- </t>
  </si>
  <si>
    <t>25/02/2026
Penyusunan dokumen pengadaan , target IP : Q1
01/04/2026 :
Sedang revisi IP
TArget IP terbit : Q2
24/04/2026 :
Sedang penyusunan dok. pengadaan di eproc</t>
  </si>
  <si>
    <t>Pengadaan Migrasi Alat Monitoring (DCIM) Menggunakan Jhonson Control BRI Tabanan IT Facility</t>
  </si>
  <si>
    <t>Pengadaan baru</t>
  </si>
  <si>
    <t>Nota Dinas B.37.e-INF/ICE/PIN/04/2026</t>
  </si>
  <si>
    <t>2026-INF-A.02.028</t>
  </si>
  <si>
    <t xml:space="preserve">Pengadaan DCIM BRI Tabanan IT Facility </t>
  </si>
  <si>
    <t>OSP</t>
  </si>
  <si>
    <t>2025-INF-A.01.086</t>
  </si>
  <si>
    <t>086</t>
  </si>
  <si>
    <t>2026-INF-A.01.086</t>
  </si>
  <si>
    <t>Pengadaan Smart QBoard Untuk Ruang Kerja Divisi INF</t>
  </si>
  <si>
    <t>Pengadaan Smart QBoard Untuk Ruang Kerja INF Group</t>
  </si>
  <si>
    <t>Sudah rilis SPK
Smart Q Board 65: 178.000.000
Video Conference: 58.500.000
Total: 236.500.000</t>
  </si>
  <si>
    <t>Pengadaan Smart Q Board dan Alat Video Conference Peruntukan ISG Group</t>
  </si>
  <si>
    <t>2025-INF-A.01.125</t>
  </si>
  <si>
    <t>125</t>
  </si>
  <si>
    <t>2026-INF-A.01.125</t>
  </si>
  <si>
    <t>Pengadaan PC Monitoring Direksi Tahap 1 (monitoring dasboard Aplikasi Data Center, Brinet, Guava, dan Way4 / Cardlink)</t>
  </si>
  <si>
    <t>Belum ada Pembayaran
VIDEO WALL Controller: 56.000.000
VIDEO WALL: 49.800.000
VIDEO WALL: 49.800.000
VIDEO WALL: 49.800.000
Pengiriman: 16.650.000
BRACKET: 4.650.000
BRACKET: 4.650.000
BRACKET: 4.650.000
Total: 236.000.000</t>
  </si>
  <si>
    <t>Pengadaan Perangkat Monitoring Data Center Untuk Kebutuhan Ruang Direktur IT BRI
Tahap 1 Platform "Grafana" (Data Center, BRInets dan Guava)</t>
  </si>
  <si>
    <t>2025-INF-A.01.135</t>
  </si>
  <si>
    <t>135</t>
  </si>
  <si>
    <t>2026-INF-A.01.135</t>
  </si>
  <si>
    <t>Project Penambahan CCTV area GTI Ragunan</t>
  </si>
  <si>
    <t>Tahap 4: Maint 3 Bulan: 17.259.750
Tahap 4: Maint 6 Bulan: 17.259.750
Tahap 4: Maint 9 Bulan: 17.259.750
Tahap 4: Maint 12 Bulan: 17.259.750
Tahap 4: Maint 15 Bulan: 17.259.750
Tahap 4: Maint 18 Bulan: 17.259.750
Tahap 4: Maint 21 Bulan: 17.259.750
Tahap 4: Maint 24 Bulan: 17.259.750
Tahap 4: Maint 27 Bulan: 17.259.750
Tahap 4: Maint 30 Bulan: 17.259.750
Tahap 4: Maint 33 Bulan: 17.259.750
Tahap 4: Maint 36 Bulan : 17.259.750</t>
  </si>
  <si>
    <t>Tahap 3
Tahap 4: Maint 3 Bulan
Tahap 4: Maint 6 Bulan
Tahap 4: Maint 9 Bulan
Maint 12 Bulan
Tahap 4:
Tahap 4: Maint 15 Bulan
Tahap 4: Maint 18 Bulan
Maint 21 Bulan
Tahap 4:
Tahap 4: Maint 24 Bulan
Maint 27 Bulan
Tahap 4:
Tahap 4: Maint 30 Bulan
Tahap 4: Maint 33 Bulan
Maint 36 Bulan
Tahap 4:</t>
  </si>
  <si>
    <t>PT Arsys Data Integrasi</t>
  </si>
  <si>
    <t>2025-INF-A.01.092</t>
  </si>
  <si>
    <t>092</t>
  </si>
  <si>
    <t>2026-INF-A.01.092</t>
  </si>
  <si>
    <t>Pemenuhan Rak Server dan Containment System Data Center Lantai 3 GTI</t>
  </si>
  <si>
    <t>Tahap 4 - 12: 18.899.841
Tahap 4 - 4: 18.899.837
Tahap 4 - 5: 18.899.837
Tahap 4 - 6: 18.899.837
Tahap 4 - 7: 18.899.837
Tahap 4 - 8: 18.899.837
Tahap 4 - 9: 18.899.837
Tahap 4 - 10: 18.899.837
Tahap 4 - 11: 18.899.837</t>
  </si>
  <si>
    <t>Tahap 4 (1- 12): 18,899,841</t>
  </si>
  <si>
    <t>PT. Cipta Utama Andalan</t>
  </si>
  <si>
    <t>EON</t>
  </si>
  <si>
    <t>062</t>
  </si>
  <si>
    <t>2026-INF-A.01.062</t>
  </si>
  <si>
    <t>Izin Prinsip Penggunaan Anggaran untuk Kegiatan Pengadaan Customer Edge Router Site Menara BRIPens dengan Metode Repeat Order</t>
  </si>
  <si>
    <t>Penggunaan Anggaran untuk Kegiatan Pengadaan Customer Edge Router Site Menara BRIPens dengan Metode Repeat Order</t>
  </si>
  <si>
    <t>Cashout :
2025 : Deliveri perangkat Rp. 1.669.046.400
2025 : Jasa Instalasi Rp. 60.054.400
2025 : Maintenance (8 Bulan) Rp. 149.333.333
2026 : Maintenance (12 Bulan) Rp. 224.000.000
2027 : Maintenance (12 Bulan) Rp. 224.000.000
2028 : Maintenance (4 Bulan) Rp. 74.666.667</t>
  </si>
  <si>
    <t>Pengadaan Dedicated Infrastructure Aplikasi QLola site Ragunan (Management Dedicated)</t>
  </si>
  <si>
    <t xml:space="preserve">Estimasi realisasi maksimum tahun 2026: Rp 219.899.256,-        
Estimasi realisasi maksimum tahun 2027: Rp 659.697.768,-        
Estimasi realisasi maksimum tahun 2028: Rp 109.949.628,-        
Estimasi realisasi maksimum tahun 2029: Rp 109.949.628,- </t>
  </si>
  <si>
    <t>2025-INF-A.01.070</t>
  </si>
  <si>
    <t>070</t>
  </si>
  <si>
    <t>2026-INF-A.01.070</t>
  </si>
  <si>
    <t>Pengadaan Compute dan Network Playground Infrastructure (Network -Storage)</t>
  </si>
  <si>
    <t>"* Status Pengadaan : Sisa bayar
* Jumlah SPK : 1 
* Dasar Perhitungan : SPK
* Komponen Pengadaan :
* TPC : 
* Realisasi 2025 :
Estimasi 2026: 9.970.000.000
Maintenance 2026 total maintenance
200.000.000</t>
  </si>
  <si>
    <t>maintenance</t>
  </si>
  <si>
    <t>008</t>
  </si>
  <si>
    <t>2026-INF-A.02.008</t>
  </si>
  <si>
    <t>Pembuatan Dashboard Detail Topology All Site</t>
  </si>
  <si>
    <t>2025-INF-A.01.059</t>
  </si>
  <si>
    <t>059</t>
  </si>
  <si>
    <t>2026-INF-A.01.059</t>
  </si>
  <si>
    <t>Pengadaan Server Platform Cloudera Tahun 2023 (Server)</t>
  </si>
  <si>
    <t>Maintenance Server - 10: 61.437.000
Maintenance Server - 11:  61.437.000
Maintenance Server - 12:  61.437.000
Total: 184.311.000</t>
  </si>
  <si>
    <t>Maintenance Server - 8
Maintenance Server - 9
Maintenance Server - 10
Maintenance Server - 11</t>
  </si>
  <si>
    <t>Pengadaan Server Platform Cloudera 2023 (Server)</t>
  </si>
  <si>
    <t>2025-INF-A.01.024</t>
  </si>
  <si>
    <t>024</t>
  </si>
  <si>
    <t>2026-INF-A.01.024</t>
  </si>
  <si>
    <t>Pengadaan Perangkat Modul Edge Internet (Internet Gateway) Site ODC Sentul</t>
  </si>
  <si>
    <t>Maintenance: 172.648.577
Maintenance sampai agustus 2026</t>
  </si>
  <si>
    <t>Sisa maintenance sampai agustus 2026 (23 Feb)
01/04/2026 :
24/04/2026 :</t>
  </si>
  <si>
    <t>Pengadaan Perangkat Modul Edge Internet (Internet Gateway) site ODC Sentul</t>
  </si>
  <si>
    <t>2025-INF-A.01.128</t>
  </si>
  <si>
    <t>128</t>
  </si>
  <si>
    <t>2026-INF-A.01.128</t>
  </si>
  <si>
    <t>Pengadaan Aksesoris Alat Ukur</t>
  </si>
  <si>
    <t>Jasa/Kalibrasi Tahun 2: 55.361.250
Jasa/Kalibrasi Tahun 3: 55.361.250</t>
  </si>
  <si>
    <t xml:space="preserve">Jasa/Kalibrasi Tahun 1: 55,361,250
Jasa/Kalibrasi Tahun 2: 55,361,250
Jasa/Kalibrasi Tahun 3: 55,361,250
</t>
  </si>
  <si>
    <t>Pengadaan Alat Ukur Data Center GTI Ragunan</t>
  </si>
  <si>
    <t>2025-INF-A.02.016</t>
  </si>
  <si>
    <t>016</t>
  </si>
  <si>
    <t>2026-INF-A.02.016</t>
  </si>
  <si>
    <t>Pengadaan Environment Pre-Production GTI Tahun 2023 (Server)</t>
  </si>
  <si>
    <t>Maintenance thn ke-l: 53,280.000 (2026)
Maintenance thn ke-2: 53,280.000
Maintenance thn ke-3: 53,280.000</t>
  </si>
  <si>
    <t>Maintenance thn ke-l
Maintenance thn ke-2
Maintenance thn ke-3</t>
  </si>
  <si>
    <t>074</t>
  </si>
  <si>
    <t>2026-INF-A.01.074</t>
  </si>
  <si>
    <t>Pengadaan perangkat BRIcast Capex</t>
  </si>
  <si>
    <t>Pengadaan Perangkat BRIcast</t>
  </si>
  <si>
    <t>Komponen: 1 set VSAT + STB +jasa instalasi : Rp3.000.000 sebanyak 50 titik
Estimasi pembayaran: sesuai request pemasangan dari uker</t>
  </si>
  <si>
    <t>Penyediaan Perangkat Network UKLN Timor Leste</t>
  </si>
  <si>
    <t>Estimasi realisasi maksimum tahun 2026: Rp 398.217.384,- 
Estimasi realisasi maksimum tahun 2027: Rp 23.424.552,-
Estimasi realisasi maksimum tahun 2028: Rp 23.424.552,-
Estimasi realisasi maksimum tahun 2029: Rp 23.424.552,-</t>
  </si>
  <si>
    <t>2025-INF-A.01.067</t>
  </si>
  <si>
    <t>067</t>
  </si>
  <si>
    <t>2026-INF-A.01.067</t>
  </si>
  <si>
    <t>Pengadaan Environment Pre-Production GTI Tahun 2023 (SAN Director)</t>
  </si>
  <si>
    <t xml:space="preserve">"* Status Pengadaan : Sisa bayar
* Jumlah SPK : 1 
* Dasar Perhitungan : SPK
* Komponen Pengadaan :
* TPC : 64.800.000.000
* Realisasi 2025 :
Estimasi 2026:
Maintenance 2026: 135.406.125 (Realisasi Maret 2026)
Estimasi 2027 Maintenance:180.541.500 </t>
  </si>
  <si>
    <t>Maintenance - Thn ke-2
Maintenance - Thn ke-3</t>
  </si>
  <si>
    <t>PT. Mastersystem Infotama Tbk</t>
  </si>
  <si>
    <t>B.36.e-INF/ICE/PIN/04/2026</t>
  </si>
  <si>
    <t>2026-INF-A.01.163</t>
  </si>
  <si>
    <t>Pengadaan Pemenuhan Kebutuhan SFP PE Cloud New Co-Location Tahun 2026</t>
  </si>
  <si>
    <t>2025-INF-A.01.136</t>
  </si>
  <si>
    <t>136</t>
  </si>
  <si>
    <t>2026-INF-A.01.136</t>
  </si>
  <si>
    <t xml:space="preserve">Peremajaan Router L3 BRI Untuk Support  BI-Fast (RGN &amp; ODC) </t>
  </si>
  <si>
    <t xml:space="preserve">Maintenance Perangkat L3 Network BRI
118.314.411
4300003741 perpanjang ke 4300005950
pembayaran 1x maintenance. JW 11 Juli 2026.
Sedang perpanjang IP dan sudah disubmit ke PLO </t>
  </si>
  <si>
    <t xml:space="preserve">Pengadaan Peremajaan Perangkat L3 Network Untuk Support Koneksi BRI -
BIFAST
</t>
  </si>
  <si>
    <t>2025-INF-A.01.047</t>
  </si>
  <si>
    <t>047</t>
  </si>
  <si>
    <t>2026-INF-A.01.047</t>
  </si>
  <si>
    <t>Pekerjaan Enhancement Power BSCF Tabanan</t>
  </si>
  <si>
    <t>Komponen Pengadaan : Pengadaan perangkat, implementasi, training, dan maintenance
Jangka Waktu : Pembayaran Maintenance sebesar 80% dari nilai maintenance atau sebesar Rp222.000.000,- dibayarkan setiap 3 (tiga) bulan dibelakang atau sebesar Rp55.500.000,- per 3  (tiga) bulan
Detail Perhitungan Alokasi : Nominal pengajuan berdasarkan  pada SPK
Estimasi Termin Pembayaran : 
Pembayaran dilakukan setian 3 bulan  :
1. Maintenance Tahap 1 (April-Juli) : ,-- Agustus 2025
2. Maintenance Tahap 2 : (Agustus-Oktober),-- November 2025
3. Maintenance Tahap 3 (November-Januari) : ,--Januari 2026
4. Maintenance Tahap 4 (Februari-April): ,--April 2026
Kebutuhan 2026 : Rp111.000.000,-</t>
  </si>
  <si>
    <t>4200003400-PLO/IGP/PTT/11/2023</t>
  </si>
  <si>
    <t>Pengadaan Pekerjaan Enhancement Power BSCF Tabanan</t>
  </si>
  <si>
    <t xml:space="preserve">	PT. Bringin Inti Teknologi</t>
  </si>
  <si>
    <t>2025-INF-A.01.042</t>
  </si>
  <si>
    <t>042</t>
  </si>
  <si>
    <t>2026-INF-A.01.042</t>
  </si>
  <si>
    <t>Pengadaan Tools Interference Identifier untuk Mendukung Monitoring Carrier</t>
  </si>
  <si>
    <t>akan dilanjut untuk maintenance, SPK lama sudah berakhir di tahun lalu. Inisiasi lanjutan target. target inisiasi perpanjangan di Q3</t>
  </si>
  <si>
    <t>akan dilanjut untuk maintenance, SPK lama sudah berakhir di tahun lalu. Inisiasi lanjutan target. target inisiasi perpanjangan di Q3 (23 Feb)
01/04/2026:
24/04/2026 :</t>
  </si>
  <si>
    <t>B.146.P-PLO/IGP/PTT/11/2020</t>
  </si>
  <si>
    <t>PT. Artha Mulia Infotama</t>
  </si>
  <si>
    <t>2025-INF-A.01.077</t>
  </si>
  <si>
    <t>077</t>
  </si>
  <si>
    <t>2026-INF-A.01.077</t>
  </si>
  <si>
    <t>Pengadaan Penambahan Kapasitas Workload Storage Tier 2 DC Ragunan Tahun 2023 – 2024 (Storage)</t>
  </si>
  <si>
    <t>Maintenance Storage 12: 107.291.674</t>
  </si>
  <si>
    <t>SCV. Sisa bayar maintenance sampai 2027 (24 Feb)
01/04/2026: 
24/04/2026 :</t>
  </si>
  <si>
    <t>SVO</t>
  </si>
  <si>
    <t>2025-INF-A.01.028</t>
  </si>
  <si>
    <t>028</t>
  </si>
  <si>
    <t>2026-INF-A.01.028</t>
  </si>
  <si>
    <t>Pengadaan Resiliensi DNS Server Eksternal Infoblox DC Tabanan dan ODC Sentul</t>
  </si>
  <si>
    <t>"Maintenance
99.622.500"</t>
  </si>
  <si>
    <t>041</t>
  </si>
  <si>
    <t>2026-INF-A.01.041</t>
  </si>
  <si>
    <t>Estimasi 2026:
Tahap 4-4: 18.899.837
Tahap 4-5: 18.899.837
Tahap 4-6: 18.899.837
Tahap 4-7: 18.899.837
Tahap 4-8: 18.899.837
Estimasi 2027:
Tahap 4-9: 18.899.837
Tahap 4-10: 18.899.837
Tahap 4-11: 18.899.837
Tahap 4-12: 18.899.837</t>
  </si>
  <si>
    <t>sisa maintenance s/d Des 2027 (24 Feb)
01/04/2026 :
24/04/2026 :</t>
  </si>
  <si>
    <t>Pengadaan Rak Server dan Containment System Data Center Lantai 3 GTI</t>
  </si>
  <si>
    <t>2025-INF-A.01.140</t>
  </si>
  <si>
    <t>124</t>
  </si>
  <si>
    <t>2026-INF-A.01.124</t>
  </si>
  <si>
    <t xml:space="preserve">Pengadaan UPS Semi Kritis BRI Tabanan IT Facility PM </t>
  </si>
  <si>
    <t>estimasi 2026: 77422500
estimasi 2027: 79726659
estimasi 2028:79726659
estimasi 2029: 79726659</t>
  </si>
  <si>
    <t>CPR</t>
  </si>
  <si>
    <t>Pengadaan UPS (ID:C.2023.02).</t>
  </si>
  <si>
    <t>PT. Deltasindo Raya Sejahtera</t>
  </si>
  <si>
    <t>2025-INF-A.02.009</t>
  </si>
  <si>
    <t>009</t>
  </si>
  <si>
    <t>2026-INF-A.02.009</t>
  </si>
  <si>
    <t>Pengadaan Enhancement Automation Integration Network (TITAN)</t>
  </si>
  <si>
    <t>Termin 5
76.500.000</t>
  </si>
  <si>
    <t>Software lainnya: 420,750,000</t>
  </si>
  <si>
    <t>4200004121-PLO/IGP/PTT/08/2024</t>
  </si>
  <si>
    <t>Pengadaan Enhancement Automation Integration Network TITAN</t>
  </si>
  <si>
    <t>2025-INF-A.01.126</t>
  </si>
  <si>
    <t>126</t>
  </si>
  <si>
    <t>2026-INF-A.01.126</t>
  </si>
  <si>
    <t>Pengadaan SmartPDU untuk Project Cloudera dan Rack High Density DC GTI</t>
  </si>
  <si>
    <t>B.1043.P-PLO/IGP/PTT/07/2023</t>
  </si>
  <si>
    <t>Media Data System</t>
  </si>
  <si>
    <t>2025-INF-A.02.006</t>
  </si>
  <si>
    <t>006</t>
  </si>
  <si>
    <t>2026-INF-A.02.006</t>
  </si>
  <si>
    <t>Pengadaan Integrated Network Management System (iNMS)</t>
  </si>
  <si>
    <t>sisa bayar 1x maintenance: 50.000.000</t>
  </si>
  <si>
    <t>Uang Muka
Maintenance Fase 2
Maintenance Fase 3</t>
  </si>
  <si>
    <t>Enhancement Aplikasi iNMS Rekon</t>
  </si>
  <si>
    <t>Transtel Universal</t>
  </si>
  <si>
    <t>2025-INF-A.01.121</t>
  </si>
  <si>
    <t>121</t>
  </si>
  <si>
    <t>2026-INF-A.01.121</t>
  </si>
  <si>
    <t xml:space="preserve">Pengadaan Rak Server &amp; Containment System Data Center Lantai 4 GTI </t>
  </si>
  <si>
    <t>Pembayaran Lunas</t>
  </si>
  <si>
    <t>Maintenance - 5
Maintenance - 6
Maintenance - 7
Maintenance - 8
Maintenance - 9
Maintenance - 10
Maintenance - 11
Maintenance - 12</t>
  </si>
  <si>
    <t>PT. Packet System Indonesia</t>
  </si>
  <si>
    <t>SCR</t>
  </si>
  <si>
    <t>2025-INF-A.01.138</t>
  </si>
  <si>
    <t>138</t>
  </si>
  <si>
    <t>2026-INF-A.01.138</t>
  </si>
  <si>
    <t>Pengadaan Resiliency Storage Hitachi DC Tabanan</t>
  </si>
  <si>
    <t>Pengadaan Maintenance Perangkat Storage Hitachi VSP E790A+B DC Tabanan</t>
  </si>
  <si>
    <t>Maintenance periode 12	29,166,674</t>
  </si>
  <si>
    <t>Infinite Business Synergy</t>
  </si>
  <si>
    <t>2025-INF-A.01.065</t>
  </si>
  <si>
    <t>065</t>
  </si>
  <si>
    <t>2026-INF-A.01.065</t>
  </si>
  <si>
    <t>Pengadaan Replacement Storage DC Tabanan Tahun 2023 (SAN DIR)</t>
  </si>
  <si>
    <t>Tahap 5 (Maintenance 12)
38.333.337</t>
  </si>
  <si>
    <t>Tahap 5 (Maintenance 12)	38,333,337</t>
  </si>
  <si>
    <t>Pengadaan Replacement Storage DC Tabanan 2023 (SAN DIR)</t>
  </si>
  <si>
    <t>2026 030 INF 2026-INF-A.01.154, link https://confluence.bri.co.id/x/1H3lYQ</t>
  </si>
  <si>
    <t>2026-INF-A.01.154</t>
  </si>
  <si>
    <t>Pengadaan Penambahan Panel PDU &amp; Isolation Transformer Untuk Ruang Network Lt. 4</t>
  </si>
  <si>
    <t>Support Maintenance: 
9.120.534</t>
  </si>
  <si>
    <t>Sisa bayar</t>
  </si>
  <si>
    <t>2025-INF-A.01.069</t>
  </si>
  <si>
    <t>069</t>
  </si>
  <si>
    <t>2026-INF-A.01.069</t>
  </si>
  <si>
    <t>Pengadaan Compute dan Network Playground Infrastructure (Compute - Server)</t>
  </si>
  <si>
    <t>"Maintenance thn-2: 10.000.000
Maintenance thn-3: 10.000.000"</t>
  </si>
  <si>
    <t>maintenance tiga tahun</t>
  </si>
  <si>
    <t>4200004239
4200004244</t>
  </si>
  <si>
    <t xml:space="preserve">Pengadaan Compute dan Network Playground Infrastructure (Compute - Server) </t>
  </si>
  <si>
    <t>2025-INF-A.01.137</t>
  </si>
  <si>
    <t>137</t>
  </si>
  <si>
    <t>2026-INF-A.01.137</t>
  </si>
  <si>
    <t>Pengadaan Half Containtment DC Lantai 3 GTI</t>
  </si>
  <si>
    <t>Maintenance Tahun Pertama: 5.550.000
Maintenance Tahun Ke-dua: 5.550.000
Maintenance Tahun Ke-tiga: 5.550.000</t>
  </si>
  <si>
    <t>Maintenance Tahun Pertama: 5.500.000
Maintenance Tahun Ke-dua: 5.500.000
Maintenance Tahun Ke-tiga: 5.500.000</t>
  </si>
  <si>
    <t>PT. CIpta Utama Andalan</t>
  </si>
  <si>
    <t>2025-INF-A.02.037</t>
  </si>
  <si>
    <t>2026-INF-A.02.017</t>
  </si>
  <si>
    <t>Piloting Platform Sangfor DC Ragunan</t>
  </si>
  <si>
    <t>Estimasi 2026
Implementasi. 15.000.000</t>
  </si>
  <si>
    <t>2025 197 DTI INF</t>
  </si>
  <si>
    <t>https://confluence.bri.co.id/x/rGN3Sw</t>
  </si>
  <si>
    <t>R.270.e-ISG/IBP/IBV/06/2025</t>
  </si>
  <si>
    <t>Estimasi realisasi maksimum tahun 2026 : Rp17.408.595,- untuk pembayaran maintenance</t>
  </si>
  <si>
    <t xml:space="preserve">PT. Sangfor Technologies Indonesia </t>
  </si>
  <si>
    <t>2025-INF-A.01.013</t>
  </si>
  <si>
    <t>088</t>
  </si>
  <si>
    <t>2026-INF-A.01.088</t>
  </si>
  <si>
    <t>Pengadaan AC Presisi di Gedung Teknologi Informasi</t>
  </si>
  <si>
    <t>Pengadaan AC Presisi di Gedung Teknologi Informasi(PT. Mustika Memadata)</t>
  </si>
  <si>
    <t>maintenance 12: 6.280.297</t>
  </si>
  <si>
    <t>Pengadaan AC Presisi di Gedung Teknologi Informasi (SPK No: 4200000844-PLO/IGP/PTT/01/2022)</t>
  </si>
  <si>
    <t>ESO</t>
  </si>
  <si>
    <t>UCO</t>
  </si>
  <si>
    <t>2025-INF-A.02.019</t>
  </si>
  <si>
    <t>019</t>
  </si>
  <si>
    <t>2026-INF-A.02.019</t>
  </si>
  <si>
    <t>Pengadaan License OS Windows Server Data Center Tahun 2024 - 2027</t>
  </si>
  <si>
    <t>17/04/2026
Berkurang, sebesar Rp2.310.953.840,- ke Pengadaan Mesin Staging IBM AS/400 Power11 (2026-INF-A.01.159)</t>
  </si>
  <si>
    <t>Pindah ke ESO</t>
  </si>
  <si>
    <t>a. Pembayaran license tahun ke-3 sebesar Rp. 2.136.448.080
b. Pembayaran license training sebesar Rp. 174.505.760</t>
  </si>
  <si>
    <t>25/02/2026
Pindah ESO - TBC
01/04/2026: 
24/04/2026 :</t>
  </si>
  <si>
    <t>4200004481-PLO/IGP/PTT/11/2024</t>
  </si>
  <si>
    <t>PT. Mitra Integrasi Informatika</t>
  </si>
  <si>
    <t>104</t>
  </si>
  <si>
    <t>2026-INF-A.01.104</t>
  </si>
  <si>
    <t>Peningkatan Resiliensi Melalui Dedicated Infrastruktur Hygiene Aplikasi Site Ragunan Dan Tabanan Tahun 2025 (Archive Storage)</t>
  </si>
  <si>
    <r>
      <rPr>
        <b/>
        <sz val="11"/>
        <color rgb="FF000000"/>
        <rFont val="Aptos Narrow"/>
        <family val="2"/>
      </rPr>
      <t xml:space="preserve">20/02/2026 :
</t>
    </r>
    <r>
      <rPr>
        <sz val="11"/>
        <color rgb="FF000000"/>
        <rFont val="Aptos Narrow"/>
        <family val="2"/>
      </rPr>
      <t>2026 060 INF 2026-INF-A.01.100
link https://confluence.bri.co.id/x/C-A3XQ</t>
    </r>
  </si>
  <si>
    <t>20/02/2026
Berkurang, sebesar Rp18.861.488.034,- ke  Pengadaan Dedicated Infrastructure Aplikasi Brimo dan QLola (Storage QLola) (2026-INF-A.01.100)</t>
  </si>
  <si>
    <t>Batal, sudah dijadikan sumber switching</t>
  </si>
  <si>
    <t>01/04/2026 :
Approval IP
24/04/2026 :</t>
  </si>
  <si>
    <t>- Netapp
- HPE</t>
  </si>
  <si>
    <t xml:space="preserve">
- PT. Berca Hardayaperkasa (Prestige) 
- PT. Juke Solusi Teknologi (Prestige) 
- PT. Mastersystem Infotama (Prestige) 
- PT. NTT Indonesia Technology (Prestige) 
- PT. Verita Informatika (Prestige) 
- PT. Master System Infotama (Platinum) 
- PT. Metrocom Global Solusi (Platinum) 
- PT. Sidola (Platinum) </t>
  </si>
  <si>
    <t>061</t>
  </si>
  <si>
    <t>2026-INF-A.01.061</t>
  </si>
  <si>
    <t>Pengadaan Customer Edge Router Site Menara BRILIAN
(HO ke LCO)</t>
  </si>
  <si>
    <t>BATAL</t>
  </si>
  <si>
    <t>DROP</t>
  </si>
  <si>
    <t>076</t>
  </si>
  <si>
    <t>2026-INF-A.01.076</t>
  </si>
  <si>
    <t xml:space="preserve">Pengadaan Perangkat Monitoring Data Center untuk Kebutuhan Monitoring Direktur IT BRI Tahap 3 Platform "Grafana" (EDC, BRISpot dan BRIApi) </t>
  </si>
  <si>
    <t>TBC ESO (23 Feb) 
01/04/2026: 
24/04/2026 :</t>
  </si>
  <si>
    <t>Business Requirement</t>
  </si>
  <si>
    <t xml:space="preserve">Change </t>
  </si>
  <si>
    <t>PT. Indonesia Comnets Plus</t>
  </si>
  <si>
    <t>2025-INF-A.01.016</t>
  </si>
  <si>
    <t>2026-INF-A.01.016</t>
  </si>
  <si>
    <t>Pengadaan Penambahan Kapasitas Backup Solution Workload Tahun 2022 – 2023 DC Ragunan dan DC Tabanan</t>
  </si>
  <si>
    <t>Lunas Rencana diajukan perpanjangan</t>
  </si>
  <si>
    <t>B.87.e-INF/02/2029</t>
  </si>
  <si>
    <t>2026-INF-A.01.145</t>
  </si>
  <si>
    <t>Proyek New Co-location Data Center BRI (Switch Server Baremetal)</t>
  </si>
  <si>
    <t>005</t>
  </si>
  <si>
    <t>2026-INF-A.02.005</t>
  </si>
  <si>
    <t>Pengadaan Enhancement Sistem Informasi VSAT BRISat untuk Management Proses Crosspol (SIMBOL)</t>
  </si>
  <si>
    <t>2025 176 DTI INF</t>
  </si>
  <si>
    <t>https://confluence.bri.co.id/x/WrGcSQ</t>
  </si>
  <si>
    <t>R.435.e-ISG/IBP/IBV/08/2025</t>
  </si>
  <si>
    <t>Tahun 2025 :
- Tahap-1 (DP) 20% : Rp.109,868,104
Tahun 2026 :
- Tahap-2 (UAT) 40% : Rp.219,736,208
- Tahap-3 (LIVE) 35% : Rp.192,269,182
Tahun 2027 :
- Tahap-4 (End of Maintenance) 5% : Rp.27,467,026</t>
  </si>
  <si>
    <t>2025-INF-A.01.098</t>
  </si>
  <si>
    <t>098</t>
  </si>
  <si>
    <t>2026-INF-A.01.098</t>
  </si>
  <si>
    <t xml:space="preserve">Matrix Switcher VVIP	319,000,000	</t>
  </si>
  <si>
    <t>2026 004 INF, link https://confluence.bri.co.id/x/tH6sXQ</t>
  </si>
  <si>
    <t>ICE</t>
  </si>
  <si>
    <t>2026-INF-A.01.148</t>
  </si>
  <si>
    <t>Pengadaan Barang Penunjang Operasional Direktur IT (Vention Kabel Data Charger Type C 2 Meter &amp; UGREEN Desktop Charger GaN II 300 W) &amp; Pengadaan Sunblast untuk Ruang Deputy Lantai 8</t>
  </si>
  <si>
    <t>LUNAS</t>
  </si>
  <si>
    <t>2026 005 INF , link https://confluence.bri.co.id/x/oQm7XQ</t>
  </si>
  <si>
    <t>2026-INF-A.01.149</t>
  </si>
  <si>
    <t>Pengadaan 1 (satu) unit MikroTik LtAP Mini LTE Kit Tahun 2024 untuk Keperluan POC Perangkat Router ATM Pengganti Existing (Mikrotik + USB 3G Dongle)</t>
  </si>
  <si>
    <t>des 25</t>
  </si>
  <si>
    <t>selesai (lunas)</t>
  </si>
  <si>
    <t>B.40.P-INF/OSP/12/2025</t>
  </si>
  <si>
    <t>2026-INF-A.01.006</t>
  </si>
  <si>
    <t>Pengadaan Next Generation  QLOLA Hygiene TBN</t>
  </si>
  <si>
    <t>04/02/2026:
Berkurang, sebesar Rp.6.351.521.010,- ke [Pengadaan hardware refreshment server CSM] (2026-INF-A.01.025)</t>
  </si>
  <si>
    <t>Masuk lingkup hygiene, ini akan dijadikan sumber switching</t>
  </si>
  <si>
    <t>Nama Pengadaan: Pengadaan Next Generation Firewall QLOLA Hygine TBNI | IT Hygiene
Komponen Pengadaan : Empat (4) Firewalll PA 4340, 
2 perangkat akan di set HA sebagai Pub-Firewall
2 perangkat akan di set HA sebagai Priv-Firewall
Landasan perhitungan nominal usulan :
Untuk nominal harga mengikuti harga spk di project Pengadaaan Rejuvenate NGFW PSCF &amp; BSCF dikarenakan tipe firewall yang akan digunakan sama, yaitu Pa-5430
Jangka waktu (jika ada) : Satu tahun semenjak SPK, estimasi Q4 2026 selesai
Estimasi termin pembayaran : mengikuti kebijakan PLO</t>
  </si>
  <si>
    <t>25/02/2026
Masuk ke ruang lingkup hygiene firewall network
01/04/2026 :
Sumber Switching
24/04/2026 :</t>
  </si>
  <si>
    <t>QLOLA</t>
  </si>
  <si>
    <t>DGV</t>
  </si>
  <si>
    <t xml:space="preserve">PT. Dinamika Sistem Integrasi Solusi (Diamond)
PT. Mastersystem Infotama (Diamond)
PT. Metrocom Global Solusi (Diamond)
PT. NTT Indonesia Technology (Diamond)
PT. Packet Systems Indonesia (Diamond)
</t>
  </si>
  <si>
    <t>007</t>
  </si>
  <si>
    <t>2026-INF-A.01.007</t>
  </si>
  <si>
    <t>Pengadaan Next Generation BRIMO Hygiene GTI</t>
  </si>
  <si>
    <t>Nama Pengadaan: Pengadaan Next Generation Firewall BRIMO GTI | IT Hygiene
Komponen Pengadaan : Empat (4) Firewalll PA 4340, 
2 perangkat akan di set HA sebagai Pub-Firewall
2 perangkat akan di set HA sebagai Priv-Firewall
Landasan perhitungan nominal usulan :
Untuk nominal harga mengikuti harga spk di project Pengadaaan Rejuvenate NGFW PSCF &amp; BSCF dikarenakan tipe firewall yang akan digunakan sama, yaitu Pa-5430
Jangka waktu (jika ada) : Satu tahun semenjak SPK, estimasi Q4 2026 selesai
Estimasi termin pembayaran : mengikuti kebijakan PLO</t>
  </si>
  <si>
    <t>Brimo</t>
  </si>
  <si>
    <t>2026-INF-A.01.008</t>
  </si>
  <si>
    <t>Pengadaan Next Generation BRIMO Hygiene TBN</t>
  </si>
  <si>
    <t>Nama Pengadaan: Pengadaan Next Generation Firewall BRIMO TBN | IT Hygiene
Komponen Pengadaan : Empat (4) Firewalll PA 4340, 
2 perangkat akan di set HA sebagai Pub-Firewall
2 perangkat akan di set HA sebagai Priv-Firewall
Landasan perhitungan nominal usulan :
Untuk nominal harga mengikuti harga spk di project Pengadaaan Rejuvenate NGFW PSCF &amp; BSCF dikarenakan tipe firewall yang akan digunakan sama, yaitu Pa-5430
Jangka waktu (jika ada) : Satu tahun semenjak SPK, estimasi Q4 2026 selesai
Estimasi termin pembayaran : mengikuti kebijakan PLO</t>
  </si>
  <si>
    <t>2026-INF-A.01.009</t>
  </si>
  <si>
    <t xml:space="preserve">Pengadaan Next Generation QLOLA Hygiene GTI </t>
  </si>
  <si>
    <t>Nama Pengadaan: Pengadaan Next Generation Firewall QLOLA Hygine GTII | IT Hygiene
Komponen Pengadaan : Empat (4) Firewalll PA 4340, 
2 perangkat akan di set HA sebagai Pub-Firewall
2 perangkat akan di set HA sebagai Priv-Firewall
Landasan perhitungan nominal usulan :
Untuk nominal harga mengikuti harga spk di project Pengadaaan Rejuvenate NGFW PSCF &amp; BSCF dikarenakan tipe firewall yang akan digunakan sama, yaitu Pa-5430
Jangka waktu (jika ada) : Satu tahun semenjak SPK, estimasi Q4 2026 selesai
Estimasi termin pembayaran : mengikuti kebijakan PLO</t>
  </si>
  <si>
    <t>010</t>
  </si>
  <si>
    <t>2026-INF-A.01.010</t>
  </si>
  <si>
    <t>Modernisasi Infrastructure Transport Network (Edge WAN, Edge Internet, dan RR) BRI</t>
  </si>
  <si>
    <t>17/04/2026
Berkurang, sebesar Rp13.721.000.000,- ke Pengadaan Mesin Staging IBM AS/400 Power11 (2026-INF-A.01.159</t>
  </si>
  <si>
    <t>* Status Pengadaan : BELUM MULAI
* Jumlah SPK : -
* Dasar Perhitungan : -
* Komponen Pengadaan : -
* TPC :  68.605.000.000
* Realisasi 2025 : -
* Estimasi termin pembayaran 2026 : -
* Estimasi termin pembayaran 2027 : 13.721.000.000
kemungkinan tidak cashout tahun ini</t>
  </si>
  <si>
    <t>DP: Rp13,721,000,000
Delivery: Rp41,163,000,000
Implementasi: Rp3,430,250,000</t>
  </si>
  <si>
    <t>25/02/2026
Sedang drafting IP
01/04/2026 :
Target IP : Q3
24/04/2026 :</t>
  </si>
  <si>
    <t>2026-INF-A.01.013</t>
  </si>
  <si>
    <t>Modernisasi Infrastructure Network  SAP Ragunan dan Tabanan</t>
  </si>
  <si>
    <t>04/03/2026
2026 085 INF 2026-INF-A.01.085. link https://confluence.bri.co.id/x/ZzpSXw</t>
  </si>
  <si>
    <t>04/03/2026:
Berkurang, sebesar Rp. 6.411.926.284 ke [Pengadaan Infrastruktur New Data Center IT Facility BRI Ragunan: Paket Pekerjaan Busduct] (2026-INF-A.01.085)</t>
  </si>
  <si>
    <t>* Status Pengadaan : BELUM MULAI
* Jumlah SPK : -
* Dasar Perhitungan : -
* Komponen Pengadaan : -
* TPC :  68.605.000.000
* Realisasi 2025 : -
* Estimasi termin pembayaran 2026 : -
* Estimasi termin pembayaran 2027 : 10.314.109.768
DIRENCANAKAN DI TAHUN DEPAN</t>
  </si>
  <si>
    <t>DP: Rp12,892,637,209	
Delivery: Rp38,677,911,627	
Implementasi: Rp3,223,159,302</t>
  </si>
  <si>
    <t>Ditunda</t>
  </si>
  <si>
    <t>25/02/2026
masih hold ada perubahan timeline estimasi  bukan tahun ini
sumber switching
01/04/2026 :
-
24/04/2026 :
Ditunda hingga Q4/tahun depan sesuai dengan strategi</t>
  </si>
  <si>
    <t>031</t>
  </si>
  <si>
    <t>2026-INF-A.01.031</t>
  </si>
  <si>
    <t>Pengadaan Uninterruptible Power Supply Smart Office Tabanan IT Facility</t>
  </si>
  <si>
    <t>17/04/2026
Berkurang, sebesar Rp2.000.000.000,- ke Pengadaan Mesin Staging IBM AS/400 Power11 (2026-INF-A.01.159)</t>
  </si>
  <si>
    <t>Estimasi cashout pengadaan di tahun 2027</t>
  </si>
  <si>
    <t>Komponen Pengadaan : 2 x 100 KVA UPS (backup time 15 menit), Aksesoris, Warranty &amp; PM setiap bulan selama 3 tahun
Detail Perhitungan Alokasi : Harga perkiraan sementara
Kebutuhan 2026 : Rp4.000.000.000</t>
  </si>
  <si>
    <t>25/02/2026
Sudah berkirim nota dinas pengadaan di februari 
01/04/2026 :
Dobel 01.094
sumber switching
24/04/2026 :</t>
  </si>
  <si>
    <t>2025-INF-A.01.039</t>
  </si>
  <si>
    <t>039</t>
  </si>
  <si>
    <t>2026-INF-A.01.039</t>
  </si>
  <si>
    <t>Pengadaan AC Presisi di Gedung Teknologi Informasi (PT. Jaya Teknik Indonesia)</t>
  </si>
  <si>
    <t>periode tahun 2022-2025 jan (ini sudah lunas) dan diperpanjang dari februari 2025-februari 2028.
Pengadaan sudah Lunas.</t>
  </si>
  <si>
    <t>sisa pembayaran untuk pekerjaan periode tahun 2022-2025 (24 Feb)
01/04/2026 :
24/04/2026 :</t>
  </si>
  <si>
    <t>PT. Jaya Teknik Indonesia</t>
  </si>
  <si>
    <t>2025-INF-A.01.116</t>
  </si>
  <si>
    <t>116</t>
  </si>
  <si>
    <t>2026-INF-A.01.116</t>
  </si>
  <si>
    <t>Pengadaan Perangkat Network Data Center untuk ODC (Spine Switch, SDN Controller &amp; SDN Multisite Orchestrator)</t>
  </si>
  <si>
    <t>Drop</t>
  </si>
  <si>
    <t>2025-INF-A.01.141</t>
  </si>
  <si>
    <t>123</t>
  </si>
  <si>
    <t>2026-INF-A.01.123</t>
  </si>
  <si>
    <t>Pengadaan Penambahan Kapasitas Storage di DC Tabanan untuk Workload 2021</t>
  </si>
  <si>
    <t>Pengadaan Penambahan Kapasitas Storage di DC Tabanan Untuk Workload 2021</t>
  </si>
  <si>
    <t>2025-INF-A.01.130</t>
  </si>
  <si>
    <t>130</t>
  </si>
  <si>
    <t>2026-INF-A.01.130</t>
  </si>
  <si>
    <t>Pengadaan Precision Air Conditioning  (PAC) Ruang UPS B DC Tabanan IT Facility</t>
  </si>
  <si>
    <t>Estimasi Realisasi di tahun 2027</t>
  </si>
  <si>
    <t>Komponen Pengadaan : Perangkat PAC
Detail Perhitungan Alokasi : Harga perkiraan sementara
Estimasi kebutuhan di tahun 2026 : Rp3.172.500.000</t>
  </si>
  <si>
    <t>25/02/2026
Penyusunan dokumen inisiasi, target Inisiasi : Q2
01/04/2026: 
Inisiasi
24/04/2026 :
Sama</t>
  </si>
  <si>
    <t>2026 002 INF, link https://confluence.bri.co.id/x/30WsXQ</t>
  </si>
  <si>
    <t>2026-INF-A.01.147</t>
  </si>
  <si>
    <t>Pengadaan Notebook Highend untuk IT Strategy &amp; Enterprise Architecture Group</t>
  </si>
  <si>
    <t>business requirement</t>
  </si>
  <si>
    <t>B.4200005445.P-INF/OSP/12/2025</t>
  </si>
  <si>
    <t>2026 031 INF 2026-INF-A.01.155, link https://confluence.bri.co.id/x/aWblYQ</t>
  </si>
  <si>
    <t>2026-INF-A.01.152</t>
  </si>
  <si>
    <t>Pengadaan Perangkat NVIDIA Jetson AGX Orin 64GB Developer Kit untuk Kebutuhan IT Audit</t>
  </si>
  <si>
    <t>B.4200005504.P-INF/OSP/01/2026</t>
  </si>
  <si>
    <t>2026 029 INF 2026-INF-A.01.153, link https://confluence.bri.co.id/x/tHjlYQ</t>
  </si>
  <si>
    <t>2026-INF-A.01.153</t>
  </si>
  <si>
    <t>Pengadaan PC Operasional BRICast</t>
  </si>
  <si>
    <t>B.4200005541.P-INF/OSP/01/2026</t>
  </si>
  <si>
    <t xml:space="preserve"> 2026 031 INF 2026-INF-A.01.155, link https://confluence.bri.co.id/x/53nlYQ</t>
  </si>
  <si>
    <t>2026-INF-A.01.155</t>
  </si>
  <si>
    <t>Pengadaan Notebook Pekerja DSG, HCBP, RTC dan SBM Group</t>
  </si>
  <si>
    <t>B.4200005511.P-INF/OSP/01/2026</t>
  </si>
  <si>
    <t>2026 047 INF 2026-INF-A.01.158, link https://confluence.bri.co.id/x/cvjZYg</t>
  </si>
  <si>
    <t>2026-INF-A.01.158</t>
  </si>
  <si>
    <t>Pengadaan License dan Implementasi Redis Enterpise BRIMO, NDS, BRISPOT, BRILINK dan Limit Engine ODC</t>
  </si>
  <si>
    <t>Nota Dinas B.130.e-INF/04/2026</t>
  </si>
  <si>
    <t>2026-INF-A.01.162</t>
  </si>
  <si>
    <t>Pengadaan Modernisasi Perangkat DNS External Data Center BRI</t>
  </si>
  <si>
    <t>2026 049 INF 2026-INF-A.02.026, link https://confluence.bri.co.id/x/DvzZYg</t>
  </si>
  <si>
    <t>2026-INF-A.02.026</t>
  </si>
  <si>
    <t>Pengadaan License Vmware untuk Playground Infrastrukture</t>
  </si>
  <si>
    <t>Pengadaan License OS Windows Server Datacenter dan Red Hat Enterprise Linux Datacenter</t>
  </si>
  <si>
    <t>Modernisasi Perangkat Internet Gateway (IGW) Shared BRI</t>
  </si>
  <si>
    <t>perluasan scope dari 2026-INF-A.01.010</t>
  </si>
  <si>
    <t>Implementasi Firewall WAN Edge DC BRI</t>
  </si>
  <si>
    <t xml:space="preserve">perluasan scope dari 2026-INF-A.01.010. kemungkinan cashout pertama tahun depan </t>
  </si>
  <si>
    <t>Implementasi Switch DC untuk Archive Storage 2026 DRC Tabanan</t>
  </si>
  <si>
    <t>Kebutuhan baru, belum RFI</t>
  </si>
  <si>
    <t>Implementasi Switch DC untuk Backup Solution 2026 DRC Tabanan</t>
  </si>
  <si>
    <t>Implementasi Switch DC untuk Object Storage 2026 Ragunan Tabanan</t>
  </si>
  <si>
    <t>Implementasi Perangkat Spoke SDWAN Gedung Kawasan IT Ragunan</t>
  </si>
  <si>
    <t>Implementasi Infrastruktur Environment Non Production Site Tabanan</t>
  </si>
  <si>
    <t>Implementasi Infrastruktur Network untuk Workload Shared Site Tabanan</t>
  </si>
  <si>
    <t>Implementasi Cabling Infrastructur Kawasan IT Facility Ragunan</t>
  </si>
  <si>
    <t>Pengadaan UPS DC BSCF IT Facility Tabanan</t>
  </si>
  <si>
    <t>2026-INF-A.01.003</t>
  </si>
  <si>
    <t>Penambahan Kapasitas Workload DC Ragunan Tahun 2024-2025 (Network Workload)</t>
  </si>
  <si>
    <t>2026-INF-A.01.005</t>
  </si>
  <si>
    <t>Pengadaan SAN Director Workload DC Ragunan 2024-2025</t>
  </si>
  <si>
    <t>2026-INF-A.01.084</t>
  </si>
  <si>
    <t>Refreshment Edge WAN Router dan Switch BSCF Tabanan</t>
  </si>
  <si>
    <t>Project Cancel, Scope masuk di pengadaan transport (23 Feb) (DROP)</t>
  </si>
  <si>
    <t>2026-INF-A.01.103</t>
  </si>
  <si>
    <t>Pengadaan Environment Guava (Hardware)</t>
  </si>
  <si>
    <t>B.87.e-INF/02/2026</t>
  </si>
  <si>
    <t>2026-INF-A.01.142</t>
  </si>
  <si>
    <t>Proyek New Co-location Data Center BRI (Firewall Management)</t>
  </si>
  <si>
    <t>Digabung menjadi 1 IP Proyek New Co-location Data Center BRI (Firewall)</t>
  </si>
  <si>
    <t>13/03/2026 :
 Inisiasi ini sedang dalam proses 
01/04/2026:
24/04/2026 :</t>
  </si>
  <si>
    <t>2026-INF-A.02.021</t>
  </si>
  <si>
    <t>Pengadaan Environment Guava (Software)</t>
  </si>
  <si>
    <t>2026 001 INF, link https://confluence.bri.co.id/x/7z_sXQ</t>
  </si>
  <si>
    <t>2026-INF-A.02.024</t>
  </si>
  <si>
    <t>Pengadaan Data Workflow Orchestration and Automation Platform</t>
  </si>
  <si>
    <t>batal</t>
  </si>
  <si>
    <t>CLP</t>
  </si>
  <si>
    <t>2025-INF-A.01.078</t>
  </si>
  <si>
    <t>078</t>
  </si>
  <si>
    <t>2026-INF-A.01.078</t>
  </si>
  <si>
    <t>Environment Cloud AWS</t>
  </si>
  <si>
    <t>17/04/2026
Berkurang, sebesar Rp1.123.557.207,- ke Pengadaan Mesin Staging IBM AS/400 Power11 (2026-INF-A.01.159)</t>
  </si>
  <si>
    <t>sumber switchig, masuk ke opex</t>
  </si>
  <si>
    <t>25/02/2026
masuk ke OPEX
sumber switching 
01/04/2026:</t>
  </si>
  <si>
    <t>081</t>
  </si>
  <si>
    <t>2026-INF-A.01.081</t>
  </si>
  <si>
    <t>Pengadaan Pemenuhan Kebutuhan Rack Network Wallmount di Gedung GTI Ragunan</t>
  </si>
  <si>
    <t>Lenovo
LG</t>
  </si>
  <si>
    <t>102</t>
  </si>
  <si>
    <t>2026-INF-A.01.102</t>
  </si>
  <si>
    <t>Peningkatan Resiliensi Melalui Dedicated Infrastruktur Hygiene Aplikasi Site Ragunan Dan Tabanan Tahun 2025 (Object Storage)</t>
  </si>
  <si>
    <t>17/04/2026
Berkurang sebesar Rp4.140.215.741,- ke Pengadaan Mesin Staging IBM AS/400 Power11 (2026-INF-A.01.159)</t>
  </si>
  <si>
    <t>2025 283 DTI INF</t>
  </si>
  <si>
    <t>https://confluence.bri.co.id/x/2wiGUw</t>
  </si>
  <si>
    <t>Inisiasi akan diupdate</t>
  </si>
  <si>
    <t>2026 058 INF 2026-INF-A.01.102</t>
  </si>
  <si>
    <t>https://confluence.bri.co.id/x/aYg3XQ</t>
  </si>
  <si>
    <t>Pengadaan Dedicated Infrastructure Aplikasi BRImo dan Qlola (Object Storage)</t>
  </si>
  <si>
    <t>Huawei
NetApp
Pure</t>
  </si>
  <si>
    <t>Huawei (PT. Multipolar Technology (Gold) PT. Intikom Berlian Mustika (Gold) PT. Infracom Technology (Gold) PT. Berca Hardayaperkasa (Gold))
NetApp (PT. Berca Hardayaperkasa (Prestige) PT. Juke Solusi Teknologi (Prestige) PT. Mastersystem Infotama (Prestige) PT. NTT Indonesia Technology (Prestige) PT. Verita Informatika (Prestige))</t>
  </si>
  <si>
    <t>108</t>
  </si>
  <si>
    <t>2026-INF-A.01.108</t>
  </si>
  <si>
    <t>Peningkatan Resiliensi Melalui Dedicated Infrastruktur Hygiene Aplikasi Site Ragunan Dan Tabanan Tahun 2025 (Backup Solution DB/ Fileset)</t>
  </si>
  <si>
    <r>
      <rPr>
        <b/>
        <sz val="11"/>
        <color rgb="FF000000"/>
        <rFont val="Aptos Narrow"/>
        <family val="2"/>
      </rPr>
      <t xml:space="preserve">20/02/2026 :
</t>
    </r>
    <r>
      <rPr>
        <sz val="11"/>
        <color rgb="FF000000"/>
        <rFont val="Aptos Narrow"/>
        <family val="2"/>
      </rPr>
      <t xml:space="preserve">2026 060 INF 2026-INF-A.01.100
link https://confluence.bri.co.id/x/C-A3XQ
</t>
    </r>
    <r>
      <rPr>
        <b/>
        <sz val="11"/>
        <color rgb="FF000000"/>
        <rFont val="Aptos Narrow"/>
        <family val="2"/>
      </rPr>
      <t xml:space="preserve">23/02/2026 :
</t>
    </r>
    <r>
      <rPr>
        <sz val="11"/>
        <color rgb="FF000000"/>
        <rFont val="Aptos Narrow"/>
        <family val="2"/>
      </rPr>
      <t>2026 061 INF 2026-INF-A.01.100
link https://confluence.bri.co.id/x/7O83XQ</t>
    </r>
  </si>
  <si>
    <r>
      <rPr>
        <b/>
        <sz val="11"/>
        <color rgb="FF000000"/>
        <rFont val="Aptos Narrow"/>
        <family val="2"/>
      </rPr>
      <t xml:space="preserve">20/02/2026 :
</t>
    </r>
    <r>
      <rPr>
        <sz val="11"/>
        <color rgb="FF000000"/>
        <rFont val="Aptos Narrow"/>
        <family val="2"/>
      </rPr>
      <t xml:space="preserve">Berkurang, sebesar Rp5.793.955.533,- ke  Pengadaan Dedicated Infrastructure Aplikasi Brimo dan QLola (Storage QLola) (2026-INF-A.01.100)
</t>
    </r>
    <r>
      <rPr>
        <b/>
        <sz val="11"/>
        <color rgb="FF000000"/>
        <rFont val="Aptos Narrow"/>
        <family val="2"/>
      </rPr>
      <t xml:space="preserve">23/02/2026 :
</t>
    </r>
    <r>
      <rPr>
        <sz val="11"/>
        <color rgb="FF000000"/>
        <rFont val="Aptos Narrow"/>
        <family val="2"/>
      </rPr>
      <t>Berkurang, sebesar Rp52.583.842.693,- ke  Pengadaan Dedicated Infrastructure Aplikasi Brimo dan QLola (Storage QLola) (2026-INF-A.01.100)</t>
    </r>
  </si>
  <si>
    <t>batal dan sudah dijadikan sumber switching</t>
  </si>
  <si>
    <t xml:space="preserve">
'- PT. Infracom Technology (Preferred) 
- PT. Mastersystem Infotama (Preferred) 
- PT. Multipolar Technology (Preferred) 
- PT. Sinergy Informasi Pratama (Preferred) 
</t>
  </si>
  <si>
    <t>2025-INF-A.01.156</t>
  </si>
  <si>
    <t>115</t>
  </si>
  <si>
    <t>2026-INF-A.01.115</t>
  </si>
  <si>
    <t>Peningkatan Resiliensi Melalui Dedicated Infrastruktur Hygiene Aplikasi Site Ragunan Dan Tabanan (DNS DC)</t>
  </si>
  <si>
    <t>17/04/2026
Berkurang, sebesar Rp9.010.288.844,- ke Pengadaan Mesin Staging IBM AS/400 Power11 (2026-INF-A.01.159)</t>
  </si>
  <si>
    <t>batal , jadi sumber switching</t>
  </si>
  <si>
    <t>25/02/2026
Penyusunan dokumen pengadaan karena ada perubahan ruang lingkup (exclude shared surrounding)
01/04/2026:
Approval IP
24/04/2026 :</t>
  </si>
  <si>
    <t>Infoblox</t>
  </si>
  <si>
    <t>PT. Mastersystem Infotama (Saphire)
PT. Packet System Indonesia (Saphire)</t>
  </si>
  <si>
    <t>2026-INF-A.01.004</t>
  </si>
  <si>
    <t>Pemenuhan Cabling System untuk Project Workload DC Ragunan 2024-2025</t>
  </si>
  <si>
    <t>17/04/2026
Berkurang, sebesar Rp5.685.047.339,- ke Pengadaan Mesin Staging IBM AS/400 Power11 (2026-INF-A.01.159)</t>
  </si>
  <si>
    <t>sumber switching
01/04/2026 :
24/04/2026 :</t>
  </si>
  <si>
    <t>2026-INF-A.01.019</t>
  </si>
  <si>
    <t>Modernisasi Infrastructure Network LAN Campus site Menara Brilian</t>
  </si>
  <si>
    <t>17/04/2026
Berkurang sebesar Rp8.819.896.128,- ke Pengadaan Mesin Staging IBM AS/400 Power11 (2026-INF-A.01.159)</t>
  </si>
  <si>
    <t>PINDAH ESO</t>
  </si>
  <si>
    <t>DP: Rp11,759,861,504	
Delivery: Rp35,279,584,512
Implementasi: Rp2,939,965,376</t>
  </si>
  <si>
    <t>25/02/2026
Pindah ESO - TBC
01/04/2026 :
-
24/04/2026 :</t>
  </si>
  <si>
    <t>2026-INF-A.01.020</t>
  </si>
  <si>
    <t>Neo-LAN Network Infrastructure Site Ragunan</t>
  </si>
  <si>
    <t>25/02/2026
Pindah ESO - TBC
01/04/2026 :
24/04/2026 :</t>
  </si>
  <si>
    <t>027</t>
  </si>
  <si>
    <t>2026-INF-A.01.027</t>
  </si>
  <si>
    <t>Storage Tier 2 GTI 2026</t>
  </si>
  <si>
    <t>02/02/2026: 
2026 006 INF 2026-INF-A.01.141
https://confluence.bri.co.id/x/DQ6cWw
17/04/2026
2026 213 INF 2026-lNF-A.01.159, link https://confluence.bri.co.id/x/N81iYw</t>
  </si>
  <si>
    <t>02/02/2026:
Berkurang, sebesar Rp1.245.619.267,- ke Pengadaan QSFP untuk Kebutuhan Integrasi Switch Leaf SAP DC Tabanan (2026-INF-A.01.141)
17/04/2026
Berkurang, sebesar Rp2.754.380.733,- ke Pengadaan Mesin Staging IBM AS/400 Power11 (2026-INF-A.01.159)</t>
  </si>
  <si>
    <t>049</t>
  </si>
  <si>
    <t>2026-INF-A.01.049</t>
  </si>
  <si>
    <t>Pengadaan Reengineering Switch DC Facility BRI DC Ragunan
(HO ke CNO)</t>
  </si>
  <si>
    <t>Pengadaan Reengineering Switch DC Facility BRI DC Ragunan
(HO ke CNO)
DROP</t>
  </si>
  <si>
    <t>16/03/2026:
2026 065 INF 2026-INF-A.01.151. https://confluence.bri.co.id/x/JWxHXQ
17/04/2026
2026 213 INF 2026-lNF-A.01.159, link https://confluence.bri.co.id/x/N81iYw</t>
  </si>
  <si>
    <t>16/03/2026
Berkurang, sebesar Rp. 847.268.707 ke Pengadaan Peremajaan dan Rekonfigurasi Baterai UPS Ruang Network Sudirman (2026-INF-A.01.151)
17/04/2026
Berkurang, sebesar Rp472.731.293,- ke Pengadaan Mesin Staging IBM AS/400 Power11 (2026-INF-A.01.159)</t>
  </si>
  <si>
    <t>DROP, DOUBLE USULAN</t>
  </si>
  <si>
    <t>sumber switching
ke double sama 2026-INF-A.01.048
01/04/2026:
sumber switching
24/04/2026 :</t>
  </si>
  <si>
    <t>073</t>
  </si>
  <si>
    <t>2026-INF-A.01.073</t>
  </si>
  <si>
    <t>Pengadaan Refreshment Perangkat Network PSCF dan GTI (Perangkat Cisco)
(HO ke CNO)</t>
  </si>
  <si>
    <t>Pengadaan Refreshment Perangkat Network PSCF dan GTI (Perangkat Cisco) (HO ke CNO)</t>
  </si>
  <si>
    <t>double  input dengan RKAP 01.064</t>
  </si>
  <si>
    <t>2025-INF-A.01.087</t>
  </si>
  <si>
    <t>087</t>
  </si>
  <si>
    <t>2026-INF-A.01.087</t>
  </si>
  <si>
    <t>Pengadaan Penambahan Kapasitas Workload Storage Tier 2 DC Ragunan Tahun 2023 – 2024 (San Director)</t>
  </si>
  <si>
    <t>BATAL, INI TERMASUK  WORKLOAD &gt; HYGIENE</t>
  </si>
  <si>
    <t>Pembayaran ke-4 (Maintenance) San Dir	333,000,000</t>
  </si>
  <si>
    <t>Mastersystem Infotama</t>
  </si>
  <si>
    <t>2025-INF-A.01.096</t>
  </si>
  <si>
    <t>096</t>
  </si>
  <si>
    <t>2026-INF-A.01.096</t>
  </si>
  <si>
    <t>Pengadaan Cold Spare TWTA TL22CI dan Sparepart Module TWTA</t>
  </si>
  <si>
    <t>2025-INF-A.01.118</t>
  </si>
  <si>
    <t>118</t>
  </si>
  <si>
    <t>2026-INF-A.01.118</t>
  </si>
  <si>
    <t>Pengadaan PC Monitoring Direksi Tahap 2</t>
  </si>
  <si>
    <t>17/04/2026
Berkurang, sebesar Rp500.000.000,- ke Pengadaan Mesin Staging IBM AS/400 Power11 (2026-INF-A.01.159)</t>
  </si>
  <si>
    <t>2025-INF-A.01.132</t>
  </si>
  <si>
    <t>132</t>
  </si>
  <si>
    <t>2026-INF-A.01.132</t>
  </si>
  <si>
    <t>Peremajaan komponen hub jupiter (NAS &amp; Forti)</t>
  </si>
  <si>
    <t>Peremajaan Komponen Hub Jupiter (NAS &amp; Forti)</t>
  </si>
  <si>
    <t>"31 Maret 2026:
SAMA DENGAN ID RKA 2026-INF-A.01.075"</t>
  </si>
  <si>
    <t>Payment of 5% of the Firm Fixed Price ($25,870.00) shall be invoiced on a semi-
annual basis and paid every six months over a 2 year period, with the first invoice
issued after Final Acceptance with an attach Maintenance Guarantee of 5% of the work
value for a period Of 24 months from the date BAPP PSCF.
2026: 439.790.000</t>
  </si>
  <si>
    <t>.K-PLO/PSR/LEG/11/2024</t>
  </si>
  <si>
    <t>PURCHASE OF NETWORK ATTACHED STORAGE
(NAS) AND FORTIGATE FIREWALL DEVICE
REJUVENATION FOR JUPITER GATEWAY PSCF AND
BSCF</t>
  </si>
  <si>
    <t>Hughes Network System, LLC</t>
  </si>
  <si>
    <t>B.87.e-INF/02/2028</t>
  </si>
  <si>
    <t>2026-INF-A.01.144</t>
  </si>
  <si>
    <t>Proyek New Co-location Data Center BRI (Firewall P3)</t>
  </si>
  <si>
    <t>13/03/2026 :
 Inisiasi ini sedang dalam proses
01/04/2026: 
24/04/2026 :</t>
  </si>
  <si>
    <t>2026 003 INF link, https://confluence.bri.co.id/x/a_WoXQ</t>
  </si>
  <si>
    <t>2026-INF-A.01.150</t>
  </si>
  <si>
    <t>Pengadaan Perangkat Penunjang Operasional Application Operation &amp; Service Department (Department OPA)</t>
  </si>
  <si>
    <t>2026-INF-A.02.003</t>
  </si>
  <si>
    <t>Pengadaan License Platform Tier 2 Workload DC Ragunan 2023-2024</t>
  </si>
  <si>
    <t>2026-INF-A.02.007</t>
  </si>
  <si>
    <t>Pengadaan Penambahan Kapasitas VOIP, DSP Resource &amp; Recording Avaya sistem Contact BRI</t>
  </si>
  <si>
    <t>17/04/2026
Berkurang, sebesar Rp2.414.577.168,- ke Pengadaan Mesin Staging IBM AS/400 Power11 (2026-INF-A.01.159)</t>
  </si>
  <si>
    <t>Komponen Pengadaan: Pengadaan Penambahan Kapasitas VOIP, DSP Resource &amp; Recording Avaya sistem Contact BRI
Jangka Waktu: 1 Tahun
Detail Penggunaan Anggaran: 
Lisensi :  Rp5,017,017,960.00
Support Advantage Principal : Rp1,407,341,250.00
Local Support :  Rp1,856,297,400.00
Installation : Rp1,605,446,280.00</t>
  </si>
  <si>
    <t>Contact Center</t>
  </si>
  <si>
    <t>SCC</t>
  </si>
  <si>
    <t>avaya</t>
  </si>
  <si>
    <t>abdi jaya integra</t>
  </si>
  <si>
    <t xml:space="preserve">2025-ISC-A.02.048 </t>
  </si>
  <si>
    <t>2026-INF-A.02.010</t>
  </si>
  <si>
    <t xml:space="preserve">Pengadaan License Perangkat Web Application Firewall Imperva GTI </t>
  </si>
  <si>
    <t>License diperpanjang di CISO</t>
  </si>
  <si>
    <t xml:space="preserve"> Lisensi , Jasa Implementasi, PM CM</t>
  </si>
  <si>
    <t>01/04/2026 :
TBC CISO
24/04/2026 :
License perpanjangan masih di CISO</t>
  </si>
  <si>
    <t>Semua Aplikasi</t>
  </si>
  <si>
    <t>Imperva</t>
  </si>
  <si>
    <t>2025-INF-A.02.047</t>
  </si>
  <si>
    <t>2026-INF-A.02.015</t>
  </si>
  <si>
    <t xml:space="preserve">Pengadaan Lisensi dan Perangkat untuk Kebutuhan Pengembangan Contact Center </t>
  </si>
  <si>
    <t>17/04/2026
Berkurang, sebesar Rp5.438.251.638,- ke Pengadaan Mesin Staging IBM AS/400 Power11 (2026-INF-A.01.159)</t>
  </si>
  <si>
    <t>Pengadaan 140 Smart PDU pada Data Center dan Network Lantai 3 GTI Ragunan</t>
  </si>
  <si>
    <t>B.58.e-INF_ICE_PIN_05_2026</t>
  </si>
  <si>
    <t>2026-INF-A.01.170</t>
  </si>
  <si>
    <t>Pengadaan Penggantian Baterai UPS Lantai 4 GTI BRI Ragunan</t>
  </si>
  <si>
    <t xml:space="preserve"> B.57.e-INF_ICE_PIN_05_2026</t>
  </si>
  <si>
    <t>2026-INF-A.01.169</t>
  </si>
  <si>
    <t>Pengadaan 140 Unit Smart Power Distribution Unit (Smart PDU) untuk Data Center &amp; Network Lantai 3 GTI Ragunan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</si>
</sst>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Rp&quot;#,##0;[Red]\-&quot;Rp&quot;#,##0"/>
    <numFmt numFmtId="41" formatCode="_-* #,##0_-;\-* #,##0_-;_-* &quot;-&quot;_-;_-@_-"/>
    <numFmt numFmtId="164" formatCode="#,##0.0_);\(#,##0.0\)"/>
    <numFmt numFmtId="165" formatCode="mm/yyyy"/>
    <numFmt numFmtId="166" formatCode="[$-409]mmm\-yy;@"/>
    <numFmt numFmtId="167" formatCode="_(* #,##0_);_(* \(#,##0\);_(* &quot;-&quot;??_);_(@_)"/>
  </numFmts>
  <fonts count="37">
    <font>
      <sz val="11"/>
      <color theme="1"/>
      <name val="Calibri"/>
      <family val="2"/>
      <scheme val="minor"/>
    </font>
    <font>
      <sz val="11"/>
      <color theme="1"/>
      <name val="Calibri"/>
      <family val="2"/>
      <scheme val="minor"/>
    </font>
    <font>
      <b/>
      <sz val="11"/>
      <color theme="0"/>
      <name val="Calibri"/>
      <family val="2"/>
      <scheme val="minor"/>
    </font>
    <font>
      <sz val="11"/>
      <color indexed="8"/>
      <name val="Calibri"/>
      <family val="2"/>
    </font>
    <font>
      <b/>
      <sz val="10"/>
      <color indexed="8"/>
      <name val="Calibri"/>
      <family val="2"/>
      <scheme val="minor"/>
    </font>
    <font>
      <sz val="10"/>
      <color indexed="8"/>
      <name val="Calibri"/>
      <family val="2"/>
      <scheme val="minor"/>
    </font>
    <font>
      <u/>
      <sz val="11"/>
      <color theme="10"/>
      <name val="Calibri"/>
      <family val="2"/>
      <scheme val="minor"/>
    </font>
    <font>
      <b/>
      <sz val="11"/>
      <color theme="0"/>
      <name val="Aptos Narrow"/>
      <family val="2"/>
    </font>
    <font>
      <sz val="11"/>
      <color theme="1"/>
      <name val="Aptos Narrow"/>
      <family val="2"/>
    </font>
    <font>
      <b/>
      <sz val="11"/>
      <color theme="1"/>
      <name val="Aptos Narrow"/>
      <family val="2"/>
    </font>
    <font>
      <b/>
      <sz val="11"/>
      <color rgb="FFFFFFFF"/>
      <name val="Aptos Narrow"/>
      <family val="2"/>
    </font>
    <font>
      <b/>
      <sz val="11"/>
      <name val="Aptos Narrow"/>
      <family val="2"/>
    </font>
    <font>
      <b/>
      <i/>
      <sz val="11"/>
      <color theme="0"/>
      <name val="Aptos Narrow"/>
      <family val="2"/>
    </font>
    <font>
      <b/>
      <sz val="11"/>
      <color indexed="8"/>
      <name val="Calibri"/>
      <family val="2"/>
      <scheme val="minor"/>
    </font>
    <font>
      <b/>
      <sz val="10"/>
      <color rgb="FFFFFFFF"/>
      <name val="Aptos Narrow"/>
      <family val="2"/>
    </font>
    <font>
      <b/>
      <sz val="10"/>
      <name val="Aptos Narrow"/>
      <family val="2"/>
    </font>
    <font>
      <b/>
      <i/>
      <sz val="11"/>
      <color theme="1"/>
      <name val="Aptos Narrow"/>
      <family val="2"/>
    </font>
    <font>
      <b/>
      <sz val="11"/>
      <color rgb="FF000000"/>
      <name val="Aptos Narrow"/>
      <family val="2"/>
    </font>
    <font>
      <b/>
      <i/>
      <sz val="11"/>
      <color rgb="FF000000"/>
      <name val="Aptos Narrow"/>
      <family val="2"/>
    </font>
    <font>
      <b/>
      <sz val="10"/>
      <color theme="0"/>
      <name val="Aptos Narrow"/>
      <family val="2"/>
    </font>
    <font>
      <b/>
      <sz val="10"/>
      <color rgb="FF000000"/>
      <name val="Aptos Narrow"/>
      <family val="2"/>
    </font>
    <font>
      <b/>
      <sz val="8"/>
      <color theme="0"/>
      <name val="Aptos Narrow"/>
      <family val="2"/>
    </font>
    <font>
      <sz val="10"/>
      <color rgb="FF000000"/>
      <name val="Aptos Narrow"/>
      <family val="2"/>
    </font>
    <font>
      <sz val="11"/>
      <color rgb="FF000000"/>
      <name val="Aptos Narrow"/>
      <family val="2"/>
    </font>
    <font>
      <b/>
      <sz val="9"/>
      <color indexed="81"/>
      <name val="Tahoma"/>
      <family val="2"/>
    </font>
    <font>
      <sz val="9"/>
      <color indexed="81"/>
      <name val="Tahoma"/>
      <family val="2"/>
    </font>
    <font>
      <sz val="11"/>
      <color theme="1"/>
      <name val="Aptos Narrow"/>
    </font>
    <font>
      <sz val="10"/>
      <color rgb="FF000000"/>
      <name val="Aptos Narrow"/>
    </font>
    <font>
      <b/>
      <sz val="9"/>
      <color rgb="FF000000"/>
      <name val="Tahoma"/>
      <family val="2"/>
    </font>
    <font>
      <sz val="9"/>
      <color rgb="FF000000"/>
      <name val="Tahoma"/>
      <family val="2"/>
    </font>
    <font>
      <b/>
      <sz val="8"/>
      <color theme="0"/>
      <name val="Aptos Narrow"/>
    </font>
    <font>
      <sz val="12"/>
      <color theme="1"/>
      <name val="Aptos Narrow"/>
      <family val="2"/>
    </font>
    <font>
      <b/>
      <sz val="11"/>
      <color theme="1"/>
      <name val="Calibri"/>
      <family val="2"/>
      <scheme val="minor"/>
    </font>
    <font>
      <b/>
      <sz val="11"/>
      <color rgb="FF000000"/>
      <name val="Calibri"/>
      <family val="2"/>
      <scheme val="minor"/>
    </font>
    <font>
      <sz val="11"/>
      <color rgb="FF000000"/>
      <name val="Calibri"/>
      <family val="2"/>
      <scheme val="minor"/>
    </font>
    <font>
      <b/>
      <sz val="11"/>
      <color rgb="FFFFFFFF"/>
      <name val="Calibri"/>
      <family val="2"/>
      <scheme val="minor"/>
    </font>
    <font>
      <b/>
      <sz val="8"/>
      <color rgb="FFFFFFFF"/>
      <name val="Aptos Narrow"/>
      <family val="2"/>
    </font>
  </fonts>
  <fills count="12">
    <fill>
      <patternFill patternType="none"/>
    </fill>
    <fill>
      <patternFill patternType="gray125"/>
    </fill>
    <fill>
      <patternFill patternType="solid">
        <fgColor rgb="FF002060"/>
        <bgColor indexed="64"/>
      </patternFill>
    </fill>
    <fill>
      <patternFill patternType="solid">
        <fgColor theme="3" tint="9.9978637043366805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002060"/>
        <bgColor rgb="FF000000"/>
      </patternFill>
    </fill>
    <fill>
      <patternFill patternType="solid">
        <fgColor rgb="FFD9E1F2"/>
        <bgColor rgb="FF000000"/>
      </patternFill>
    </fill>
    <fill>
      <patternFill patternType="solid">
        <fgColor theme="4" tint="0.79998168889431442"/>
        <bgColor rgb="FF000000"/>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7">
    <xf numFmtId="0" fontId="0" fillId="0" borderId="0"/>
    <xf numFmtId="0" fontId="3" fillId="0" borderId="0"/>
    <xf numFmtId="0" fontId="3" fillId="0" borderId="0"/>
    <xf numFmtId="0" fontId="6" fillId="0" borderId="0" applyNumberFormat="0" applyFill="0" applyBorder="0" applyAlignment="0" applyProtection="0"/>
    <xf numFmtId="41" fontId="1" fillId="0" borderId="0" applyFont="0" applyFill="0" applyBorder="0" applyAlignment="0" applyProtection="0"/>
    <xf numFmtId="0" fontId="1" fillId="0" borderId="0"/>
    <xf numFmtId="0" fontId="1" fillId="0" borderId="0"/>
  </cellStyleXfs>
  <cellXfs count="344">
    <xf numFmtId="0" fontId="0" fillId="0" borderId="0" xfId="0"/>
    <xf numFmtId="0" fontId="4" fillId="0" borderId="1" xfId="1" applyFont="1" applyBorder="1" applyAlignment="1">
      <alignment horizontal="center" vertical="center"/>
    </xf>
    <xf numFmtId="0" fontId="4" fillId="0" borderId="1" xfId="1" applyFont="1" applyBorder="1" applyAlignment="1">
      <alignment horizontal="center" vertical="center" wrapText="1"/>
    </xf>
    <xf numFmtId="0" fontId="4" fillId="2" borderId="1" xfId="1" applyFont="1" applyFill="1" applyBorder="1" applyAlignment="1">
      <alignment horizontal="center" vertical="center"/>
    </xf>
    <xf numFmtId="0" fontId="4" fillId="0" borderId="0" xfId="1" applyFont="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vertical="center" wrapText="1"/>
    </xf>
    <xf numFmtId="0" fontId="5" fillId="2" borderId="1" xfId="1" applyFont="1" applyFill="1" applyBorder="1" applyAlignment="1">
      <alignment vertical="center"/>
    </xf>
    <xf numFmtId="0" fontId="5" fillId="0" borderId="1" xfId="1" applyFont="1" applyBorder="1" applyAlignment="1">
      <alignment vertical="center"/>
    </xf>
    <xf numFmtId="0" fontId="5" fillId="0" borderId="1" xfId="2" applyFont="1" applyBorder="1" applyAlignment="1">
      <alignment vertical="center"/>
    </xf>
    <xf numFmtId="0" fontId="5" fillId="0" borderId="0" xfId="1" applyFont="1" applyAlignment="1">
      <alignment vertical="center"/>
    </xf>
    <xf numFmtId="0" fontId="5" fillId="0" borderId="0" xfId="1" applyFont="1" applyAlignment="1">
      <alignment horizontal="center" vertical="center"/>
    </xf>
    <xf numFmtId="0" fontId="5" fillId="0" borderId="0" xfId="1" applyFont="1" applyAlignment="1">
      <alignment vertical="center" wrapText="1"/>
    </xf>
    <xf numFmtId="0" fontId="5" fillId="2" borderId="0" xfId="1" applyFont="1" applyFill="1" applyAlignment="1">
      <alignment vertical="center"/>
    </xf>
    <xf numFmtId="37" fontId="11" fillId="0" borderId="4" xfId="4" applyNumberFormat="1" applyFont="1" applyFill="1" applyBorder="1" applyAlignment="1" applyProtection="1">
      <alignment horizontal="right" vertical="center" wrapText="1"/>
    </xf>
    <xf numFmtId="0" fontId="0" fillId="0" borderId="0" xfId="0" applyAlignment="1" applyProtection="1">
      <alignment vertical="center"/>
      <protection locked="0"/>
    </xf>
    <xf numFmtId="37" fontId="0" fillId="0" borderId="0" xfId="0" applyNumberFormat="1" applyAlignment="1" applyProtection="1">
      <alignment vertical="center"/>
      <protection locked="0"/>
    </xf>
    <xf numFmtId="164" fontId="0" fillId="0" borderId="0" xfId="0" applyNumberFormat="1" applyAlignment="1" applyProtection="1">
      <alignment vertical="center"/>
      <protection locked="0"/>
    </xf>
    <xf numFmtId="37" fontId="0" fillId="0" borderId="0" xfId="0" applyNumberFormat="1" applyAlignment="1" applyProtection="1">
      <alignment horizontal="left" vertical="center"/>
      <protection locked="0"/>
    </xf>
    <xf numFmtId="3" fontId="0" fillId="0" borderId="0" xfId="0" applyNumberFormat="1" applyAlignment="1" applyProtection="1">
      <alignment vertical="center"/>
      <protection locked="0"/>
    </xf>
    <xf numFmtId="0" fontId="7" fillId="3" borderId="2" xfId="0" applyFont="1" applyFill="1" applyBorder="1" applyAlignment="1" applyProtection="1">
      <alignment horizontal="center"/>
      <protection locked="0"/>
    </xf>
    <xf numFmtId="0" fontId="8" fillId="0" borderId="3" xfId="0" applyFont="1" applyBorder="1" applyAlignment="1" applyProtection="1">
      <alignment horizontal="center" vertical="center"/>
      <protection locked="0"/>
    </xf>
    <xf numFmtId="0" fontId="8" fillId="0" borderId="3" xfId="0" applyFont="1" applyBorder="1" applyAlignment="1" applyProtection="1">
      <alignment vertical="center"/>
      <protection locked="0"/>
    </xf>
    <xf numFmtId="37" fontId="8" fillId="4" borderId="1" xfId="0" applyNumberFormat="1" applyFont="1" applyFill="1" applyBorder="1" applyAlignment="1" applyProtection="1">
      <alignment vertical="center"/>
      <protection locked="0"/>
    </xf>
    <xf numFmtId="39" fontId="2" fillId="2" borderId="0" xfId="0" applyNumberFormat="1" applyFont="1" applyFill="1" applyAlignment="1" applyProtection="1">
      <alignment vertical="center"/>
      <protection locked="0"/>
    </xf>
    <xf numFmtId="0" fontId="0" fillId="0" borderId="0" xfId="0" applyProtection="1">
      <protection locked="0"/>
    </xf>
    <xf numFmtId="0" fontId="0" fillId="0" borderId="0" xfId="0" quotePrefix="1" applyProtection="1">
      <protection locked="0"/>
    </xf>
    <xf numFmtId="0" fontId="2" fillId="2" borderId="0" xfId="0" applyFont="1" applyFill="1" applyAlignment="1" applyProtection="1">
      <alignment vertical="center" wrapText="1"/>
      <protection locked="0"/>
    </xf>
    <xf numFmtId="164" fontId="0" fillId="0" borderId="0" xfId="0" applyNumberFormat="1" applyProtection="1">
      <protection locked="0"/>
    </xf>
    <xf numFmtId="0" fontId="0" fillId="0" borderId="0" xfId="0" applyAlignment="1" applyProtection="1">
      <alignment horizontal="left"/>
      <protection locked="0"/>
    </xf>
    <xf numFmtId="0" fontId="21" fillId="2" borderId="4" xfId="0" applyFont="1" applyFill="1" applyBorder="1" applyAlignment="1" applyProtection="1">
      <alignment horizontal="center" vertical="center" wrapText="1"/>
      <protection locked="0"/>
    </xf>
    <xf numFmtId="37" fontId="21" fillId="2" borderId="4" xfId="0" applyNumberFormat="1" applyFont="1" applyFill="1" applyBorder="1" applyAlignment="1" applyProtection="1">
      <alignment horizontal="center" vertical="center" wrapText="1"/>
      <protection locked="0"/>
    </xf>
    <xf numFmtId="37" fontId="21" fillId="2" borderId="4" xfId="0" applyNumberFormat="1" applyFont="1" applyFill="1" applyBorder="1" applyAlignment="1" applyProtection="1">
      <alignment horizontal="left" vertical="center" wrapText="1"/>
      <protection locked="0"/>
    </xf>
    <xf numFmtId="3" fontId="21" fillId="2" borderId="4" xfId="0" applyNumberFormat="1" applyFont="1" applyFill="1" applyBorder="1" applyAlignment="1" applyProtection="1">
      <alignment horizontal="center" vertical="center" wrapText="1"/>
      <protection locked="0"/>
    </xf>
    <xf numFmtId="3" fontId="21" fillId="2" borderId="4" xfId="0" applyNumberFormat="1" applyFont="1" applyFill="1" applyBorder="1" applyAlignment="1" applyProtection="1">
      <alignment horizontal="left" vertical="center" wrapText="1"/>
      <protection locked="0"/>
    </xf>
    <xf numFmtId="3" fontId="19" fillId="2" borderId="1" xfId="0" applyNumberFormat="1" applyFont="1" applyFill="1" applyBorder="1" applyAlignment="1" applyProtection="1">
      <alignment horizontal="center" vertical="center"/>
      <protection locked="0"/>
    </xf>
    <xf numFmtId="165" fontId="21" fillId="2" borderId="4" xfId="0" applyNumberFormat="1" applyFont="1" applyFill="1" applyBorder="1" applyAlignment="1" applyProtection="1">
      <alignment horizontal="center" vertical="center" wrapText="1"/>
      <protection locked="0"/>
    </xf>
    <xf numFmtId="0" fontId="8" fillId="4" borderId="1" xfId="0" applyFont="1" applyFill="1" applyBorder="1" applyAlignment="1" applyProtection="1">
      <alignment horizontal="center" vertical="center"/>
      <protection locked="0"/>
    </xf>
    <xf numFmtId="0" fontId="8" fillId="4" borderId="1" xfId="0" applyFont="1" applyFill="1" applyBorder="1" applyAlignment="1" applyProtection="1">
      <alignment vertical="center" wrapText="1"/>
      <protection locked="0"/>
    </xf>
    <xf numFmtId="37" fontId="8" fillId="4" borderId="1" xfId="0" applyNumberFormat="1" applyFont="1" applyFill="1" applyBorder="1" applyAlignment="1" applyProtection="1">
      <alignment horizontal="left" vertical="center"/>
      <protection locked="0"/>
    </xf>
    <xf numFmtId="3" fontId="8" fillId="4" borderId="1" xfId="0" applyNumberFormat="1" applyFont="1" applyFill="1" applyBorder="1" applyAlignment="1" applyProtection="1">
      <alignment vertical="center"/>
      <protection locked="0"/>
    </xf>
    <xf numFmtId="14" fontId="8" fillId="4" borderId="1" xfId="0" applyNumberFormat="1" applyFont="1" applyFill="1" applyBorder="1" applyAlignment="1" applyProtection="1">
      <alignment horizontal="center" vertical="center"/>
      <protection locked="0"/>
    </xf>
    <xf numFmtId="37" fontId="8" fillId="4" borderId="1" xfId="0" applyNumberFormat="1" applyFont="1" applyFill="1" applyBorder="1" applyAlignment="1" applyProtection="1">
      <alignment horizontal="left" vertical="center" wrapText="1"/>
      <protection locked="0"/>
    </xf>
    <xf numFmtId="0" fontId="22" fillId="4" borderId="1" xfId="0" applyFont="1" applyFill="1" applyBorder="1" applyAlignment="1" applyProtection="1">
      <alignment vertical="center" wrapText="1"/>
      <protection locked="0"/>
    </xf>
    <xf numFmtId="37" fontId="23" fillId="4" borderId="1" xfId="0" applyNumberFormat="1" applyFont="1" applyFill="1" applyBorder="1" applyAlignment="1" applyProtection="1">
      <alignment horizontal="left" vertical="center" wrapText="1"/>
      <protection locked="0"/>
    </xf>
    <xf numFmtId="0" fontId="0" fillId="4" borderId="1" xfId="0" applyFill="1" applyBorder="1" applyAlignment="1" applyProtection="1">
      <alignment vertical="center"/>
      <protection locked="0"/>
    </xf>
    <xf numFmtId="0" fontId="0" fillId="4" borderId="1" xfId="0" applyFill="1" applyBorder="1" applyAlignment="1" applyProtection="1">
      <alignment vertical="center" wrapText="1"/>
      <protection locked="0"/>
    </xf>
    <xf numFmtId="37" fontId="0" fillId="4" borderId="1" xfId="0" applyNumberFormat="1" applyFill="1" applyBorder="1" applyAlignment="1" applyProtection="1">
      <alignment horizontal="left" vertical="center"/>
      <protection locked="0"/>
    </xf>
    <xf numFmtId="37" fontId="0" fillId="4" borderId="1" xfId="0" applyNumberFormat="1" applyFill="1" applyBorder="1" applyAlignment="1" applyProtection="1">
      <alignment horizontal="left" vertical="center" wrapText="1"/>
      <protection locked="0"/>
    </xf>
    <xf numFmtId="1" fontId="0" fillId="0" borderId="0" xfId="0" applyNumberFormat="1" applyAlignment="1" applyProtection="1">
      <alignment horizontal="right" vertical="center"/>
      <protection locked="0"/>
    </xf>
    <xf numFmtId="0" fontId="8" fillId="4" borderId="1" xfId="0" applyFont="1" applyFill="1" applyBorder="1" applyAlignment="1">
      <alignment horizontal="center" vertical="center"/>
    </xf>
    <xf numFmtId="0" fontId="6" fillId="4" borderId="1" xfId="3" applyFill="1" applyBorder="1" applyAlignment="1" applyProtection="1">
      <alignment horizontal="center" vertical="center"/>
    </xf>
    <xf numFmtId="0" fontId="6" fillId="4" borderId="1" xfId="3" applyFill="1" applyBorder="1" applyAlignment="1" applyProtection="1">
      <alignment horizontal="center" vertical="center" wrapText="1"/>
    </xf>
    <xf numFmtId="0" fontId="8" fillId="4" borderId="1" xfId="0" applyFont="1" applyFill="1" applyBorder="1" applyAlignment="1">
      <alignment horizontal="center" vertical="center" wrapText="1"/>
    </xf>
    <xf numFmtId="0" fontId="0" fillId="4" borderId="1" xfId="0" applyFill="1" applyBorder="1" applyAlignment="1">
      <alignment vertical="center"/>
    </xf>
    <xf numFmtId="3" fontId="0" fillId="4" borderId="1" xfId="0" applyNumberFormat="1" applyFill="1" applyBorder="1" applyAlignment="1">
      <alignment horizontal="left" vertical="center" wrapText="1"/>
    </xf>
    <xf numFmtId="0" fontId="8" fillId="4" borderId="1" xfId="0" applyFont="1" applyFill="1" applyBorder="1" applyAlignment="1">
      <alignment vertical="center" wrapText="1"/>
    </xf>
    <xf numFmtId="0" fontId="0" fillId="4" borderId="1" xfId="0" applyFill="1" applyBorder="1" applyAlignment="1">
      <alignment vertical="center" wrapText="1"/>
    </xf>
    <xf numFmtId="0" fontId="8" fillId="4" borderId="1" xfId="0" quotePrefix="1" applyFont="1" applyFill="1" applyBorder="1" applyAlignment="1">
      <alignment horizontal="center" vertical="center"/>
    </xf>
    <xf numFmtId="0" fontId="23" fillId="4" borderId="1" xfId="0" applyFont="1" applyFill="1" applyBorder="1" applyAlignment="1">
      <alignment horizontal="center" vertical="center"/>
    </xf>
    <xf numFmtId="37" fontId="8" fillId="4" borderId="1" xfId="0" applyNumberFormat="1" applyFont="1" applyFill="1" applyBorder="1" applyAlignment="1">
      <alignment vertical="center"/>
    </xf>
    <xf numFmtId="37" fontId="8" fillId="4" borderId="1" xfId="0" applyNumberFormat="1" applyFont="1" applyFill="1" applyBorder="1" applyAlignment="1">
      <alignment horizontal="left" vertical="center"/>
    </xf>
    <xf numFmtId="39" fontId="8" fillId="4" borderId="1" xfId="0" applyNumberFormat="1" applyFont="1" applyFill="1" applyBorder="1" applyAlignment="1">
      <alignment vertical="center"/>
    </xf>
    <xf numFmtId="3" fontId="23" fillId="7" borderId="1" xfId="0" applyNumberFormat="1" applyFont="1" applyFill="1" applyBorder="1" applyAlignment="1">
      <alignment vertical="center"/>
    </xf>
    <xf numFmtId="3" fontId="0" fillId="4" borderId="1" xfId="0" applyNumberFormat="1" applyFill="1" applyBorder="1" applyAlignment="1">
      <alignment horizontal="right" vertical="center"/>
    </xf>
    <xf numFmtId="37" fontId="0" fillId="4" borderId="1" xfId="0" applyNumberFormat="1" applyFill="1" applyBorder="1" applyAlignment="1">
      <alignment vertical="center"/>
    </xf>
    <xf numFmtId="37" fontId="0" fillId="4" borderId="1" xfId="0" applyNumberFormat="1" applyFill="1" applyBorder="1" applyAlignment="1">
      <alignment horizontal="left" vertical="center"/>
    </xf>
    <xf numFmtId="164" fontId="8" fillId="4" borderId="1" xfId="0" applyNumberFormat="1" applyFont="1" applyFill="1" applyBorder="1" applyAlignment="1">
      <alignment vertical="center"/>
    </xf>
    <xf numFmtId="3" fontId="8" fillId="4" borderId="1" xfId="0" applyNumberFormat="1" applyFont="1" applyFill="1" applyBorder="1" applyAlignment="1">
      <alignment vertical="center"/>
    </xf>
    <xf numFmtId="0" fontId="8" fillId="4" borderId="1" xfId="0" applyFont="1" applyFill="1" applyBorder="1" applyAlignment="1">
      <alignment vertical="center"/>
    </xf>
    <xf numFmtId="0" fontId="6" fillId="4" borderId="1" xfId="3" applyFill="1" applyBorder="1" applyAlignment="1" applyProtection="1">
      <alignment vertical="center"/>
    </xf>
    <xf numFmtId="3" fontId="8" fillId="4" borderId="1" xfId="0" applyNumberFormat="1" applyFont="1" applyFill="1" applyBorder="1" applyAlignment="1">
      <alignment vertical="center" wrapText="1"/>
    </xf>
    <xf numFmtId="3" fontId="0" fillId="4" borderId="1" xfId="0" applyNumberFormat="1" applyFill="1" applyBorder="1" applyAlignment="1">
      <alignment vertical="center"/>
    </xf>
    <xf numFmtId="0" fontId="8" fillId="0" borderId="0" xfId="0" applyFont="1" applyProtection="1">
      <protection locked="0"/>
    </xf>
    <xf numFmtId="0" fontId="8" fillId="0" borderId="0" xfId="0" applyFont="1" applyAlignment="1" applyProtection="1">
      <alignment vertical="center"/>
      <protection locked="0"/>
    </xf>
    <xf numFmtId="0" fontId="11" fillId="7"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37" fontId="9" fillId="0" borderId="4" xfId="0" applyNumberFormat="1" applyFont="1" applyBorder="1" applyAlignment="1">
      <alignment vertical="center" wrapText="1"/>
    </xf>
    <xf numFmtId="3" fontId="11" fillId="0" borderId="1" xfId="0" applyNumberFormat="1" applyFont="1" applyBorder="1" applyAlignment="1">
      <alignment vertical="center" wrapText="1"/>
    </xf>
    <xf numFmtId="3" fontId="9" fillId="0" borderId="4" xfId="0" applyNumberFormat="1" applyFont="1" applyBorder="1" applyAlignment="1">
      <alignment vertical="center" wrapText="1"/>
    </xf>
    <xf numFmtId="3" fontId="20" fillId="0" borderId="1" xfId="0" applyNumberFormat="1" applyFont="1" applyBorder="1" applyAlignment="1">
      <alignment horizontal="right" vertical="center" wrapText="1"/>
    </xf>
    <xf numFmtId="0" fontId="8" fillId="11" borderId="1" xfId="0" applyFont="1" applyFill="1" applyBorder="1" applyAlignment="1" applyProtection="1">
      <alignment vertical="center" wrapText="1"/>
      <protection locked="0"/>
    </xf>
    <xf numFmtId="1" fontId="26" fillId="4" borderId="1" xfId="0" applyNumberFormat="1" applyFont="1" applyFill="1" applyBorder="1" applyAlignment="1" applyProtection="1">
      <alignment horizontal="right" vertical="center"/>
      <protection locked="0"/>
    </xf>
    <xf numFmtId="0" fontId="8" fillId="11" borderId="1" xfId="0" applyFont="1" applyFill="1" applyBorder="1" applyAlignment="1">
      <alignment vertical="center" wrapText="1"/>
    </xf>
    <xf numFmtId="37" fontId="26" fillId="4" borderId="1" xfId="0" applyNumberFormat="1" applyFont="1" applyFill="1" applyBorder="1" applyAlignment="1" applyProtection="1">
      <alignment horizontal="left" vertical="center"/>
      <protection locked="0"/>
    </xf>
    <xf numFmtId="37" fontId="26" fillId="4" borderId="1" xfId="0" applyNumberFormat="1" applyFont="1" applyFill="1" applyBorder="1" applyAlignment="1" applyProtection="1">
      <alignment horizontal="left" vertical="center" wrapText="1"/>
      <protection locked="0"/>
    </xf>
    <xf numFmtId="0" fontId="26" fillId="4"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wrapText="1"/>
      <protection locked="0"/>
    </xf>
    <xf numFmtId="0" fontId="26" fillId="4" borderId="1" xfId="0" applyFont="1" applyFill="1" applyBorder="1" applyAlignment="1" applyProtection="1">
      <alignment horizontal="center" vertical="center" wrapText="1"/>
      <protection locked="0"/>
    </xf>
    <xf numFmtId="0" fontId="26" fillId="4" borderId="1" xfId="0" applyFont="1" applyFill="1"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8" fillId="11" borderId="1" xfId="0" applyFont="1" applyFill="1" applyBorder="1" applyAlignment="1" applyProtection="1">
      <alignment horizontal="center" vertical="center"/>
      <protection locked="0"/>
    </xf>
    <xf numFmtId="0" fontId="26" fillId="11" borderId="1" xfId="0" applyFont="1" applyFill="1" applyBorder="1" applyAlignment="1" applyProtection="1">
      <alignment horizontal="center" vertical="center"/>
      <protection locked="0"/>
    </xf>
    <xf numFmtId="3" fontId="0" fillId="4" borderId="1" xfId="0" applyNumberFormat="1" applyFill="1" applyBorder="1" applyAlignment="1" applyProtection="1">
      <alignment vertical="center"/>
      <protection locked="0"/>
    </xf>
    <xf numFmtId="37" fontId="30" fillId="2" borderId="4" xfId="0" applyNumberFormat="1" applyFont="1" applyFill="1" applyBorder="1" applyAlignment="1" applyProtection="1">
      <alignment horizontal="left" vertical="center" wrapText="1"/>
      <protection locked="0"/>
    </xf>
    <xf numFmtId="3" fontId="26" fillId="4" borderId="1" xfId="0" applyNumberFormat="1" applyFont="1" applyFill="1" applyBorder="1" applyAlignment="1" applyProtection="1">
      <alignment vertical="center"/>
      <protection locked="0"/>
    </xf>
    <xf numFmtId="167" fontId="0" fillId="0" borderId="3" xfId="0" applyNumberFormat="1" applyBorder="1" applyAlignment="1" applyProtection="1">
      <alignment vertical="center"/>
      <protection locked="0"/>
    </xf>
    <xf numFmtId="37" fontId="8" fillId="11" borderId="1" xfId="0" applyNumberFormat="1" applyFont="1" applyFill="1" applyBorder="1" applyAlignment="1" applyProtection="1">
      <alignment horizontal="left" vertical="center" wrapText="1"/>
      <protection locked="0"/>
    </xf>
    <xf numFmtId="37" fontId="8" fillId="11" borderId="1" xfId="0" applyNumberFormat="1" applyFont="1" applyFill="1" applyBorder="1" applyAlignment="1" applyProtection="1">
      <alignment horizontal="left" vertical="center"/>
      <protection locked="0"/>
    </xf>
    <xf numFmtId="0" fontId="26" fillId="11" borderId="1" xfId="0" applyFont="1" applyFill="1" applyBorder="1" applyAlignment="1" applyProtection="1">
      <alignment vertical="center" wrapText="1"/>
      <protection locked="0"/>
    </xf>
    <xf numFmtId="0" fontId="31" fillId="11" borderId="1" xfId="0" applyFont="1" applyFill="1" applyBorder="1" applyAlignment="1">
      <alignment vertical="center" wrapText="1"/>
    </xf>
    <xf numFmtId="0" fontId="31" fillId="11" borderId="1" xfId="0" applyFont="1" applyFill="1" applyBorder="1" applyAlignment="1" applyProtection="1">
      <alignment vertical="center" wrapText="1"/>
      <protection locked="0"/>
    </xf>
    <xf numFmtId="0" fontId="8" fillId="11" borderId="1" xfId="0" applyFont="1" applyFill="1" applyBorder="1" applyAlignment="1">
      <alignment vertical="center"/>
    </xf>
    <xf numFmtId="0" fontId="26" fillId="11" borderId="1" xfId="0" applyFont="1" applyFill="1" applyBorder="1" applyAlignment="1" applyProtection="1">
      <alignment vertical="center"/>
      <protection locked="0"/>
    </xf>
    <xf numFmtId="0" fontId="26" fillId="4" borderId="1" xfId="0" applyFont="1" applyFill="1" applyBorder="1" applyAlignment="1">
      <alignment horizontal="center" vertical="center"/>
    </xf>
    <xf numFmtId="37" fontId="26" fillId="11" borderId="1" xfId="0" applyNumberFormat="1" applyFont="1" applyFill="1" applyBorder="1" applyAlignment="1" applyProtection="1">
      <alignment horizontal="left" vertical="center"/>
      <protection locked="0"/>
    </xf>
    <xf numFmtId="3" fontId="26" fillId="4" borderId="1" xfId="0" applyNumberFormat="1" applyFont="1" applyFill="1" applyBorder="1" applyAlignment="1" applyProtection="1">
      <alignment horizontal="right" vertical="center"/>
      <protection locked="0"/>
    </xf>
    <xf numFmtId="3" fontId="8" fillId="4" borderId="1" xfId="0" applyNumberFormat="1" applyFont="1" applyFill="1" applyBorder="1" applyAlignment="1">
      <alignment horizontal="right" vertical="center"/>
    </xf>
    <xf numFmtId="3" fontId="8" fillId="4" borderId="1" xfId="0" applyNumberFormat="1" applyFont="1" applyFill="1" applyBorder="1" applyAlignment="1" applyProtection="1">
      <alignment horizontal="right" vertical="center"/>
      <protection locked="0"/>
    </xf>
    <xf numFmtId="3" fontId="8" fillId="4" borderId="1" xfId="0" applyNumberFormat="1" applyFont="1" applyFill="1" applyBorder="1" applyAlignment="1">
      <alignment horizontal="right" vertical="center" wrapText="1"/>
    </xf>
    <xf numFmtId="3" fontId="26" fillId="4" borderId="1" xfId="0" applyNumberFormat="1" applyFont="1" applyFill="1" applyBorder="1" applyAlignment="1" applyProtection="1">
      <alignment horizontal="right" vertical="center" wrapText="1"/>
      <protection locked="0"/>
    </xf>
    <xf numFmtId="3" fontId="8" fillId="4" borderId="1" xfId="0" applyNumberFormat="1" applyFont="1" applyFill="1" applyBorder="1" applyAlignment="1" applyProtection="1">
      <alignment horizontal="right" vertical="center" wrapText="1"/>
      <protection locked="0"/>
    </xf>
    <xf numFmtId="3" fontId="22" fillId="4" borderId="1" xfId="0" applyNumberFormat="1" applyFont="1" applyFill="1" applyBorder="1" applyAlignment="1" applyProtection="1">
      <alignment horizontal="right" vertical="center" wrapText="1"/>
      <protection locked="0"/>
    </xf>
    <xf numFmtId="3" fontId="22" fillId="4" borderId="1" xfId="0" applyNumberFormat="1" applyFont="1" applyFill="1" applyBorder="1" applyAlignment="1">
      <alignment horizontal="right" vertical="center" wrapText="1"/>
    </xf>
    <xf numFmtId="3" fontId="23" fillId="4" borderId="1" xfId="0" applyNumberFormat="1" applyFont="1" applyFill="1" applyBorder="1" applyAlignment="1" applyProtection="1">
      <alignment horizontal="right" vertical="center" wrapText="1"/>
      <protection locked="0"/>
    </xf>
    <xf numFmtId="3" fontId="23" fillId="4" borderId="1" xfId="0" applyNumberFormat="1" applyFont="1" applyFill="1" applyBorder="1" applyAlignment="1">
      <alignment horizontal="right" vertical="center" wrapText="1"/>
    </xf>
    <xf numFmtId="3" fontId="23" fillId="7" borderId="1" xfId="0" applyNumberFormat="1" applyFont="1" applyFill="1" applyBorder="1" applyAlignment="1" applyProtection="1">
      <alignment horizontal="right" vertical="center" wrapText="1"/>
      <protection locked="0"/>
    </xf>
    <xf numFmtId="3" fontId="23" fillId="7" borderId="1" xfId="0" applyNumberFormat="1" applyFont="1" applyFill="1" applyBorder="1" applyAlignment="1">
      <alignment horizontal="right" vertical="center" wrapText="1"/>
    </xf>
    <xf numFmtId="3" fontId="0" fillId="4" borderId="1" xfId="0" applyNumberFormat="1" applyFill="1" applyBorder="1" applyAlignment="1" applyProtection="1">
      <alignment horizontal="right" vertical="center"/>
      <protection locked="0"/>
    </xf>
    <xf numFmtId="3" fontId="0" fillId="4" borderId="1" xfId="0" applyNumberFormat="1" applyFill="1" applyBorder="1" applyAlignment="1" applyProtection="1">
      <alignment horizontal="right" vertical="center" wrapText="1"/>
      <protection locked="0"/>
    </xf>
    <xf numFmtId="3" fontId="0" fillId="4" borderId="1" xfId="0" applyNumberFormat="1" applyFill="1" applyBorder="1" applyAlignment="1">
      <alignment horizontal="right" vertical="center" wrapText="1"/>
    </xf>
    <xf numFmtId="3" fontId="27" fillId="4" borderId="1" xfId="0" applyNumberFormat="1" applyFont="1" applyFill="1" applyBorder="1" applyAlignment="1" applyProtection="1">
      <alignment horizontal="right" vertical="center" wrapText="1"/>
      <protection locked="0"/>
    </xf>
    <xf numFmtId="166" fontId="8" fillId="4" borderId="1" xfId="0" applyNumberFormat="1" applyFont="1" applyFill="1" applyBorder="1" applyAlignment="1" applyProtection="1">
      <alignment horizontal="center" vertical="center"/>
      <protection locked="0"/>
    </xf>
    <xf numFmtId="41" fontId="8" fillId="4" borderId="1" xfId="0" applyNumberFormat="1" applyFont="1" applyFill="1" applyBorder="1" applyAlignment="1" applyProtection="1">
      <alignment horizontal="center" vertical="center"/>
      <protection locked="0"/>
    </xf>
    <xf numFmtId="1" fontId="8" fillId="4" borderId="1" xfId="0" applyNumberFormat="1" applyFont="1" applyFill="1" applyBorder="1" applyAlignment="1" applyProtection="1">
      <alignment horizontal="center" vertical="center"/>
      <protection locked="0"/>
    </xf>
    <xf numFmtId="3" fontId="8" fillId="4" borderId="1" xfId="0" applyNumberFormat="1" applyFont="1" applyFill="1" applyBorder="1" applyAlignment="1" applyProtection="1">
      <alignment horizontal="center" vertical="center"/>
      <protection locked="0"/>
    </xf>
    <xf numFmtId="37" fontId="8" fillId="4" borderId="1" xfId="0" applyNumberFormat="1" applyFont="1" applyFill="1" applyBorder="1" applyAlignment="1" applyProtection="1">
      <alignment horizontal="center" vertical="center"/>
      <protection locked="0"/>
    </xf>
    <xf numFmtId="166" fontId="26" fillId="4" borderId="1" xfId="0" applyNumberFormat="1" applyFont="1" applyFill="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37" fontId="26" fillId="11" borderId="1" xfId="0" applyNumberFormat="1" applyFont="1" applyFill="1" applyBorder="1" applyAlignment="1" applyProtection="1">
      <alignment horizontal="left" vertical="center" wrapText="1"/>
      <protection locked="0"/>
    </xf>
    <xf numFmtId="0" fontId="26" fillId="4" borderId="3" xfId="0" applyFont="1" applyFill="1" applyBorder="1" applyAlignment="1" applyProtection="1">
      <alignment horizontal="center" vertical="center"/>
      <protection locked="0"/>
    </xf>
    <xf numFmtId="3" fontId="0" fillId="4" borderId="3" xfId="0" applyNumberFormat="1" applyFill="1" applyBorder="1" applyAlignment="1" applyProtection="1">
      <alignment vertical="center"/>
      <protection locked="0"/>
    </xf>
    <xf numFmtId="0" fontId="8" fillId="4" borderId="4" xfId="0" applyFont="1" applyFill="1" applyBorder="1" applyAlignment="1">
      <alignment horizontal="center" vertical="center"/>
    </xf>
    <xf numFmtId="0" fontId="8" fillId="4" borderId="4" xfId="0" applyFont="1" applyFill="1" applyBorder="1" applyAlignment="1" applyProtection="1">
      <alignment horizontal="center" vertical="center"/>
      <protection locked="0"/>
    </xf>
    <xf numFmtId="0" fontId="8" fillId="11" borderId="4" xfId="0" applyFont="1" applyFill="1" applyBorder="1" applyAlignment="1">
      <alignment vertical="center" wrapText="1"/>
    </xf>
    <xf numFmtId="37" fontId="8" fillId="4" borderId="4" xfId="0" applyNumberFormat="1" applyFont="1" applyFill="1" applyBorder="1" applyAlignment="1">
      <alignment vertical="center"/>
    </xf>
    <xf numFmtId="0" fontId="8" fillId="4" borderId="4" xfId="0" applyFont="1" applyFill="1" applyBorder="1" applyAlignment="1">
      <alignment vertical="center"/>
    </xf>
    <xf numFmtId="3" fontId="8" fillId="4" borderId="4" xfId="0" applyNumberFormat="1" applyFont="1" applyFill="1" applyBorder="1" applyAlignment="1">
      <alignment vertical="center"/>
    </xf>
    <xf numFmtId="3" fontId="0" fillId="4" borderId="4" xfId="0" applyNumberFormat="1" applyFill="1" applyBorder="1" applyAlignment="1" applyProtection="1">
      <alignment vertical="center"/>
      <protection locked="0"/>
    </xf>
    <xf numFmtId="3" fontId="8" fillId="4" borderId="4" xfId="0" applyNumberFormat="1" applyFont="1" applyFill="1" applyBorder="1" applyAlignment="1" applyProtection="1">
      <alignment horizontal="right" vertical="center"/>
      <protection locked="0"/>
    </xf>
    <xf numFmtId="3" fontId="8" fillId="4" borderId="4" xfId="0" applyNumberFormat="1" applyFont="1" applyFill="1" applyBorder="1" applyAlignment="1">
      <alignment horizontal="right" vertical="center"/>
    </xf>
    <xf numFmtId="14" fontId="8" fillId="4" borderId="4" xfId="0" applyNumberFormat="1" applyFont="1" applyFill="1" applyBorder="1" applyAlignment="1" applyProtection="1">
      <alignment horizontal="center" vertical="center"/>
      <protection locked="0"/>
    </xf>
    <xf numFmtId="166" fontId="8" fillId="4" borderId="4" xfId="0" applyNumberFormat="1" applyFont="1" applyFill="1" applyBorder="1" applyAlignment="1" applyProtection="1">
      <alignment horizontal="center" vertical="center"/>
      <protection locked="0"/>
    </xf>
    <xf numFmtId="0" fontId="26" fillId="4" borderId="1" xfId="0" applyFont="1" applyFill="1" applyBorder="1" applyAlignment="1" applyProtection="1">
      <alignment vertical="center"/>
      <protection locked="0"/>
    </xf>
    <xf numFmtId="17" fontId="26" fillId="4" borderId="1" xfId="0" applyNumberFormat="1" applyFont="1" applyFill="1" applyBorder="1" applyAlignment="1" applyProtection="1">
      <alignment horizontal="center" vertical="center"/>
      <protection locked="0"/>
    </xf>
    <xf numFmtId="0" fontId="0" fillId="0" borderId="3" xfId="0" applyBorder="1" applyAlignment="1" applyProtection="1">
      <alignment vertical="center"/>
      <protection locked="0"/>
    </xf>
    <xf numFmtId="0" fontId="26" fillId="0" borderId="3" xfId="0" applyFont="1"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3" xfId="0" applyBorder="1" applyAlignment="1" applyProtection="1">
      <alignment vertical="center" wrapText="1"/>
      <protection locked="0"/>
    </xf>
    <xf numFmtId="37" fontId="0" fillId="0" borderId="3" xfId="0" applyNumberFormat="1" applyBorder="1" applyAlignment="1" applyProtection="1">
      <alignment vertical="center"/>
      <protection locked="0"/>
    </xf>
    <xf numFmtId="164" fontId="0" fillId="0" borderId="3" xfId="0" applyNumberFormat="1" applyBorder="1" applyAlignment="1" applyProtection="1">
      <alignment vertical="center"/>
      <protection locked="0"/>
    </xf>
    <xf numFmtId="37" fontId="0" fillId="0" borderId="3" xfId="0" applyNumberFormat="1" applyBorder="1" applyAlignment="1" applyProtection="1">
      <alignment horizontal="left" vertical="center"/>
      <protection locked="0"/>
    </xf>
    <xf numFmtId="1" fontId="0" fillId="0" borderId="3" xfId="0" applyNumberFormat="1" applyBorder="1" applyAlignment="1" applyProtection="1">
      <alignment horizontal="right" vertical="center"/>
      <protection locked="0"/>
    </xf>
    <xf numFmtId="3" fontId="0" fillId="0" borderId="3" xfId="0" applyNumberFormat="1" applyBorder="1" applyAlignment="1" applyProtection="1">
      <alignment vertical="center"/>
      <protection locked="0"/>
    </xf>
    <xf numFmtId="3" fontId="0" fillId="0" borderId="1" xfId="0" applyNumberFormat="1" applyBorder="1" applyAlignment="1" applyProtection="1">
      <alignment vertical="center"/>
      <protection locked="0"/>
    </xf>
    <xf numFmtId="3" fontId="26" fillId="0" borderId="1" xfId="0" applyNumberFormat="1" applyFont="1" applyBorder="1" applyAlignment="1" applyProtection="1">
      <alignment horizontal="right" vertical="center"/>
      <protection locked="0"/>
    </xf>
    <xf numFmtId="17" fontId="0" fillId="0" borderId="3" xfId="0" applyNumberFormat="1" applyBorder="1" applyAlignment="1" applyProtection="1">
      <alignment vertical="center"/>
      <protection locked="0"/>
    </xf>
    <xf numFmtId="0" fontId="26" fillId="0" borderId="1" xfId="0" applyFont="1" applyBorder="1" applyAlignment="1" applyProtection="1">
      <alignment horizontal="center" vertical="center"/>
      <protection locked="0"/>
    </xf>
    <xf numFmtId="0" fontId="0" fillId="0" borderId="1" xfId="0" applyBorder="1" applyAlignment="1" applyProtection="1">
      <alignment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center" wrapText="1"/>
      <protection locked="0"/>
    </xf>
    <xf numFmtId="6" fontId="0" fillId="0" borderId="1" xfId="0" applyNumberFormat="1" applyBorder="1" applyAlignment="1" applyProtection="1">
      <alignment vertical="center"/>
      <protection locked="0"/>
    </xf>
    <xf numFmtId="0" fontId="0" fillId="0" borderId="1" xfId="0" applyBorder="1" applyAlignment="1" applyProtection="1">
      <alignment horizontal="center" vertical="center" wrapText="1"/>
      <protection locked="0"/>
    </xf>
    <xf numFmtId="14" fontId="26" fillId="0" borderId="1" xfId="0" applyNumberFormat="1" applyFont="1" applyBorder="1" applyAlignment="1" applyProtection="1">
      <alignment horizontal="center" vertical="center"/>
      <protection locked="0"/>
    </xf>
    <xf numFmtId="0" fontId="26" fillId="0" borderId="1" xfId="0" applyFont="1" applyBorder="1" applyAlignment="1" applyProtection="1">
      <alignment horizontal="center" vertical="center" wrapText="1"/>
      <protection locked="0"/>
    </xf>
    <xf numFmtId="17" fontId="0" fillId="0" borderId="1" xfId="0" applyNumberFormat="1" applyBorder="1" applyAlignment="1" applyProtection="1">
      <alignment horizontal="center" vertical="center"/>
      <protection locked="0"/>
    </xf>
    <xf numFmtId="37" fontId="8" fillId="10" borderId="1" xfId="0" applyNumberFormat="1" applyFont="1" applyFill="1" applyBorder="1" applyAlignment="1" applyProtection="1">
      <alignment horizontal="left" vertical="center" wrapText="1"/>
      <protection locked="0"/>
    </xf>
    <xf numFmtId="1" fontId="0" fillId="4" borderId="1" xfId="0" applyNumberFormat="1" applyFill="1" applyBorder="1" applyAlignment="1" applyProtection="1">
      <alignment horizontal="right" vertical="center"/>
      <protection locked="0"/>
    </xf>
    <xf numFmtId="3" fontId="8" fillId="4" borderId="3" xfId="0" applyNumberFormat="1" applyFont="1" applyFill="1" applyBorder="1" applyAlignment="1" applyProtection="1">
      <alignment horizontal="right" vertical="center"/>
      <protection locked="0"/>
    </xf>
    <xf numFmtId="1" fontId="0" fillId="4" borderId="1" xfId="0" applyNumberFormat="1" applyFill="1" applyBorder="1" applyAlignment="1">
      <alignment horizontal="right" vertical="center"/>
    </xf>
    <xf numFmtId="3" fontId="8" fillId="4" borderId="3" xfId="0" applyNumberFormat="1" applyFont="1" applyFill="1" applyBorder="1" applyAlignment="1">
      <alignment horizontal="right" vertical="center"/>
    </xf>
    <xf numFmtId="0" fontId="8" fillId="4" borderId="3" xfId="0" applyFont="1" applyFill="1" applyBorder="1" applyAlignment="1" applyProtection="1">
      <alignment horizontal="center" vertical="center"/>
      <protection locked="0"/>
    </xf>
    <xf numFmtId="166" fontId="8" fillId="4" borderId="3" xfId="0" applyNumberFormat="1" applyFont="1" applyFill="1" applyBorder="1" applyAlignment="1" applyProtection="1">
      <alignment horizontal="center" vertical="center"/>
      <protection locked="0"/>
    </xf>
    <xf numFmtId="3" fontId="26" fillId="4" borderId="1" xfId="0" applyNumberFormat="1" applyFont="1" applyFill="1" applyBorder="1" applyAlignment="1" applyProtection="1">
      <alignment horizontal="center" vertical="center"/>
      <protection locked="0"/>
    </xf>
    <xf numFmtId="3" fontId="8" fillId="10" borderId="1" xfId="0" applyNumberFormat="1" applyFont="1" applyFill="1" applyBorder="1" applyAlignment="1" applyProtection="1">
      <alignment horizontal="right" vertical="center"/>
      <protection locked="0"/>
    </xf>
    <xf numFmtId="37" fontId="8" fillId="10" borderId="1" xfId="0" applyNumberFormat="1" applyFont="1"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37" fontId="21" fillId="2" borderId="4" xfId="0" applyNumberFormat="1" applyFont="1" applyFill="1" applyBorder="1" applyAlignment="1" applyProtection="1">
      <alignment horizontal="left" vertical="center"/>
      <protection locked="0"/>
    </xf>
    <xf numFmtId="0" fontId="20" fillId="4" borderId="1" xfId="0" applyFont="1" applyFill="1" applyBorder="1" applyAlignment="1">
      <alignment vertical="center"/>
    </xf>
    <xf numFmtId="0" fontId="22" fillId="4" borderId="1" xfId="0" applyFont="1" applyFill="1" applyBorder="1" applyAlignment="1">
      <alignment vertical="center"/>
    </xf>
    <xf numFmtId="0" fontId="23" fillId="7" borderId="1" xfId="0" applyFont="1" applyFill="1" applyBorder="1" applyAlignment="1">
      <alignment vertical="center"/>
    </xf>
    <xf numFmtId="37" fontId="23" fillId="4" borderId="1" xfId="0" applyNumberFormat="1" applyFont="1" applyFill="1" applyBorder="1" applyAlignment="1">
      <alignment horizontal="left" vertical="center"/>
    </xf>
    <xf numFmtId="37" fontId="8" fillId="4" borderId="4" xfId="0" applyNumberFormat="1" applyFont="1" applyFill="1" applyBorder="1" applyAlignment="1">
      <alignment horizontal="left" vertical="center"/>
    </xf>
    <xf numFmtId="3" fontId="21" fillId="2" borderId="4" xfId="0" applyNumberFormat="1" applyFont="1" applyFill="1" applyBorder="1" applyAlignment="1" applyProtection="1">
      <alignment horizontal="left" vertical="center"/>
      <protection locked="0"/>
    </xf>
    <xf numFmtId="0" fontId="8" fillId="10" borderId="1" xfId="0" applyFont="1" applyFill="1" applyBorder="1" applyAlignment="1">
      <alignment vertical="center"/>
    </xf>
    <xf numFmtId="0" fontId="0" fillId="0" borderId="1" xfId="0" applyBorder="1"/>
    <xf numFmtId="0" fontId="33" fillId="0" borderId="1" xfId="0" applyFont="1" applyBorder="1"/>
    <xf numFmtId="0" fontId="34" fillId="0" borderId="1" xfId="0" applyFont="1" applyBorder="1"/>
    <xf numFmtId="3" fontId="34" fillId="0" borderId="1" xfId="0" applyNumberFormat="1" applyFont="1" applyBorder="1"/>
    <xf numFmtId="0" fontId="32" fillId="0" borderId="1" xfId="0" applyFont="1" applyBorder="1" applyAlignment="1">
      <alignment horizontal="center"/>
    </xf>
    <xf numFmtId="0" fontId="11" fillId="0" borderId="1" xfId="0" applyFont="1" applyBorder="1" applyAlignment="1">
      <alignment horizontal="center" vertical="center" wrapText="1"/>
    </xf>
    <xf numFmtId="0" fontId="36" fillId="6" borderId="4" xfId="0" applyFont="1" applyFill="1" applyBorder="1" applyAlignment="1">
      <alignment horizontal="left" vertical="center" wrapText="1"/>
    </xf>
    <xf numFmtId="3" fontId="0" fillId="0" borderId="0" xfId="0" applyNumberFormat="1" applyAlignment="1" applyProtection="1">
      <alignment horizontal="left" vertical="center"/>
      <protection locked="0"/>
    </xf>
    <xf numFmtId="3" fontId="36" fillId="6" borderId="4" xfId="0" applyNumberFormat="1" applyFont="1" applyFill="1" applyBorder="1" applyAlignment="1">
      <alignment horizontal="left" vertical="center" wrapText="1"/>
    </xf>
    <xf numFmtId="3" fontId="0" fillId="4" borderId="1" xfId="0" applyNumberFormat="1" applyFill="1" applyBorder="1" applyAlignment="1" applyProtection="1">
      <alignment horizontal="left" vertical="center" wrapText="1"/>
      <protection locked="0"/>
    </xf>
    <xf numFmtId="3" fontId="22" fillId="4" borderId="1" xfId="0" applyNumberFormat="1" applyFont="1" applyFill="1" applyBorder="1" applyAlignment="1" applyProtection="1">
      <alignment vertical="center" wrapText="1"/>
      <protection locked="0"/>
    </xf>
    <xf numFmtId="3" fontId="8" fillId="4" borderId="1" xfId="0" applyNumberFormat="1" applyFont="1" applyFill="1" applyBorder="1" applyAlignment="1" applyProtection="1">
      <alignment horizontal="left" vertical="center" wrapText="1"/>
      <protection locked="0"/>
    </xf>
    <xf numFmtId="3" fontId="26" fillId="4" borderId="1" xfId="0" applyNumberFormat="1" applyFont="1" applyFill="1" applyBorder="1" applyAlignment="1" applyProtection="1">
      <alignment horizontal="left" vertical="center" wrapText="1"/>
      <protection locked="0"/>
    </xf>
    <xf numFmtId="3" fontId="8" fillId="4" borderId="1" xfId="0" applyNumberFormat="1" applyFont="1" applyFill="1" applyBorder="1" applyAlignment="1" applyProtection="1">
      <alignment horizontal="left" vertical="center"/>
      <protection locked="0"/>
    </xf>
    <xf numFmtId="3" fontId="26" fillId="4" borderId="1" xfId="0" applyNumberFormat="1" applyFont="1" applyFill="1" applyBorder="1" applyAlignment="1" applyProtection="1">
      <alignment vertical="center" wrapText="1"/>
      <protection locked="0"/>
    </xf>
    <xf numFmtId="3" fontId="0" fillId="4" borderId="1" xfId="0" applyNumberFormat="1" applyFill="1" applyBorder="1" applyAlignment="1" applyProtection="1">
      <alignment horizontal="left" vertical="center"/>
      <protection locked="0"/>
    </xf>
    <xf numFmtId="3" fontId="8" fillId="10" borderId="1" xfId="0" applyNumberFormat="1" applyFont="1" applyFill="1" applyBorder="1" applyAlignment="1" applyProtection="1">
      <alignment horizontal="left" vertical="center" wrapText="1"/>
      <protection locked="0"/>
    </xf>
    <xf numFmtId="3" fontId="8" fillId="10" borderId="1" xfId="0" applyNumberFormat="1" applyFont="1" applyFill="1" applyBorder="1" applyAlignment="1" applyProtection="1">
      <alignment horizontal="left" vertical="center"/>
      <protection locked="0"/>
    </xf>
    <xf numFmtId="3" fontId="0" fillId="4" borderId="1" xfId="0" applyNumberFormat="1" applyFill="1" applyBorder="1" applyAlignment="1" applyProtection="1">
      <alignment vertical="center" wrapText="1"/>
      <protection locked="0"/>
    </xf>
    <xf numFmtId="3" fontId="0" fillId="0" borderId="1" xfId="0" applyNumberFormat="1" applyBorder="1" applyAlignment="1" applyProtection="1">
      <alignment vertical="center" wrapText="1"/>
      <protection locked="0"/>
    </xf>
    <xf numFmtId="3" fontId="26" fillId="11" borderId="1" xfId="0" applyNumberFormat="1" applyFont="1" applyFill="1" applyBorder="1" applyAlignment="1" applyProtection="1">
      <alignment horizontal="left" vertical="center" wrapText="1"/>
      <protection locked="0"/>
    </xf>
    <xf numFmtId="3" fontId="26" fillId="4" borderId="1" xfId="0" applyNumberFormat="1" applyFont="1" applyFill="1" applyBorder="1" applyAlignment="1" applyProtection="1">
      <alignment horizontal="left" vertical="center"/>
      <protection locked="0"/>
    </xf>
    <xf numFmtId="3" fontId="8" fillId="11" borderId="1" xfId="0" applyNumberFormat="1" applyFont="1" applyFill="1" applyBorder="1" applyAlignment="1" applyProtection="1">
      <alignment horizontal="left" vertical="center" wrapText="1"/>
      <protection locked="0"/>
    </xf>
    <xf numFmtId="3" fontId="26" fillId="11" borderId="1" xfId="0" applyNumberFormat="1" applyFont="1" applyFill="1" applyBorder="1" applyAlignment="1" applyProtection="1">
      <alignment horizontal="left" vertical="center"/>
      <protection locked="0"/>
    </xf>
    <xf numFmtId="3" fontId="23" fillId="4" borderId="1" xfId="0" applyNumberFormat="1" applyFont="1" applyFill="1" applyBorder="1" applyAlignment="1" applyProtection="1">
      <alignment horizontal="left" vertical="center" wrapText="1"/>
      <protection locked="0"/>
    </xf>
    <xf numFmtId="3" fontId="8" fillId="11" borderId="1" xfId="0" applyNumberFormat="1" applyFont="1" applyFill="1" applyBorder="1" applyAlignment="1" applyProtection="1">
      <alignment horizontal="left" vertical="center"/>
      <protection locked="0"/>
    </xf>
    <xf numFmtId="3" fontId="26" fillId="11" borderId="1" xfId="0" applyNumberFormat="1" applyFont="1" applyFill="1" applyBorder="1" applyAlignment="1" applyProtection="1">
      <alignment vertical="center"/>
      <protection locked="0"/>
    </xf>
    <xf numFmtId="0" fontId="22" fillId="4" borderId="1" xfId="0" applyFont="1" applyFill="1" applyBorder="1" applyAlignment="1" applyProtection="1">
      <alignment vertical="center"/>
      <protection locked="0"/>
    </xf>
    <xf numFmtId="0" fontId="23" fillId="7" borderId="1" xfId="0" applyFont="1" applyFill="1" applyBorder="1" applyAlignment="1" applyProtection="1">
      <alignment vertical="center"/>
      <protection locked="0"/>
    </xf>
    <xf numFmtId="37" fontId="23" fillId="4" borderId="1" xfId="0" applyNumberFormat="1" applyFont="1" applyFill="1" applyBorder="1" applyAlignment="1" applyProtection="1">
      <alignment horizontal="left" vertical="center"/>
      <protection locked="0"/>
    </xf>
    <xf numFmtId="3" fontId="23" fillId="8" borderId="1" xfId="0" applyNumberFormat="1" applyFont="1" applyFill="1" applyBorder="1" applyAlignment="1" applyProtection="1">
      <alignment vertical="center" wrapText="1"/>
      <protection locked="0"/>
    </xf>
    <xf numFmtId="0" fontId="23" fillId="8" borderId="1" xfId="0" applyFont="1" applyFill="1" applyBorder="1" applyAlignment="1" applyProtection="1">
      <alignment vertical="center" wrapText="1"/>
      <protection locked="0"/>
    </xf>
    <xf numFmtId="37" fontId="8" fillId="4" borderId="8" xfId="0" applyNumberFormat="1" applyFont="1" applyFill="1" applyBorder="1" applyAlignment="1" applyProtection="1">
      <alignment horizontal="left" vertical="center"/>
      <protection locked="0"/>
    </xf>
    <xf numFmtId="37" fontId="0" fillId="0" borderId="18" xfId="0" applyNumberFormat="1" applyBorder="1" applyAlignment="1" applyProtection="1">
      <alignment horizontal="left" vertical="center"/>
      <protection locked="0"/>
    </xf>
    <xf numFmtId="3" fontId="8" fillId="4" borderId="7" xfId="0" applyNumberFormat="1" applyFont="1" applyFill="1" applyBorder="1" applyAlignment="1">
      <alignment vertical="center"/>
    </xf>
    <xf numFmtId="3" fontId="8" fillId="11" borderId="4" xfId="0" applyNumberFormat="1" applyFont="1" applyFill="1" applyBorder="1" applyAlignment="1" applyProtection="1">
      <alignment horizontal="left" vertical="center" wrapText="1"/>
      <protection locked="0"/>
    </xf>
    <xf numFmtId="37" fontId="8" fillId="11" borderId="4" xfId="0" applyNumberFormat="1" applyFont="1" applyFill="1" applyBorder="1" applyAlignment="1" applyProtection="1">
      <alignment horizontal="left" vertical="center" wrapText="1"/>
      <protection locked="0"/>
    </xf>
    <xf numFmtId="3" fontId="0" fillId="0" borderId="1" xfId="0" applyNumberFormat="1" applyBorder="1" applyAlignment="1" applyProtection="1">
      <alignment horizontal="left" vertical="center"/>
      <protection locked="0"/>
    </xf>
    <xf numFmtId="37" fontId="0" fillId="0" borderId="1" xfId="0" applyNumberFormat="1" applyBorder="1" applyAlignment="1" applyProtection="1">
      <alignment horizontal="left" vertical="center"/>
      <protection locked="0"/>
    </xf>
    <xf numFmtId="3" fontId="0" fillId="0" borderId="1" xfId="0" applyNumberFormat="1" applyBorder="1" applyAlignment="1">
      <alignment horizontal="right" vertical="center" wrapText="1"/>
    </xf>
    <xf numFmtId="37" fontId="0" fillId="0" borderId="19" xfId="0" applyNumberFormat="1" applyBorder="1" applyAlignment="1" applyProtection="1">
      <alignment horizontal="left" vertical="center"/>
      <protection locked="0"/>
    </xf>
    <xf numFmtId="3" fontId="0" fillId="0" borderId="17" xfId="0" applyNumberFormat="1" applyBorder="1" applyAlignment="1" applyProtection="1">
      <alignment horizontal="left" vertical="center"/>
      <protection locked="0"/>
    </xf>
    <xf numFmtId="0" fontId="8" fillId="4" borderId="3" xfId="0" applyFont="1" applyFill="1" applyBorder="1" applyAlignment="1">
      <alignment horizontal="center" vertical="center"/>
    </xf>
    <xf numFmtId="37" fontId="0" fillId="0" borderId="1" xfId="0" applyNumberFormat="1" applyBorder="1" applyAlignment="1" applyProtection="1">
      <alignment vertical="center"/>
      <protection locked="0"/>
    </xf>
    <xf numFmtId="37" fontId="8" fillId="4" borderId="3" xfId="0" applyNumberFormat="1" applyFont="1" applyFill="1" applyBorder="1" applyAlignment="1">
      <alignment vertical="center"/>
    </xf>
    <xf numFmtId="164" fontId="0" fillId="0" borderId="1" xfId="0" applyNumberFormat="1" applyBorder="1" applyAlignment="1" applyProtection="1">
      <alignment vertical="center"/>
      <protection locked="0"/>
    </xf>
    <xf numFmtId="1" fontId="0" fillId="0" borderId="1" xfId="0" applyNumberFormat="1" applyBorder="1" applyAlignment="1" applyProtection="1">
      <alignment horizontal="right" vertical="center"/>
      <protection locked="0"/>
    </xf>
    <xf numFmtId="3" fontId="8" fillId="4" borderId="0" xfId="0" applyNumberFormat="1" applyFont="1" applyFill="1" applyAlignment="1">
      <alignment vertical="center"/>
    </xf>
    <xf numFmtId="0" fontId="8" fillId="4" borderId="0" xfId="0" applyFont="1" applyFill="1" applyAlignment="1">
      <alignment vertical="center" wrapText="1"/>
    </xf>
    <xf numFmtId="0" fontId="8" fillId="4" borderId="0" xfId="0" applyFont="1" applyFill="1" applyAlignment="1">
      <alignment vertical="center"/>
    </xf>
    <xf numFmtId="0" fontId="8" fillId="4" borderId="3" xfId="0" applyFont="1" applyFill="1" applyBorder="1" applyAlignment="1">
      <alignment vertical="center"/>
    </xf>
    <xf numFmtId="3" fontId="8" fillId="4" borderId="3" xfId="0" applyNumberFormat="1" applyFont="1" applyFill="1" applyBorder="1" applyAlignment="1">
      <alignment vertical="center"/>
    </xf>
    <xf numFmtId="3" fontId="26" fillId="0" borderId="3" xfId="0" applyNumberFormat="1" applyFont="1" applyBorder="1" applyAlignment="1" applyProtection="1">
      <alignment horizontal="right" vertical="center"/>
      <protection locked="0"/>
    </xf>
    <xf numFmtId="17" fontId="0" fillId="0" borderId="1" xfId="0" applyNumberFormat="1" applyBorder="1" applyAlignment="1" applyProtection="1">
      <alignment vertical="center"/>
      <protection locked="0"/>
    </xf>
    <xf numFmtId="14" fontId="8" fillId="4" borderId="3" xfId="0" applyNumberFormat="1" applyFont="1" applyFill="1" applyBorder="1" applyAlignment="1" applyProtection="1">
      <alignment horizontal="center" vertical="center"/>
      <protection locked="0"/>
    </xf>
    <xf numFmtId="0" fontId="8" fillId="11" borderId="3" xfId="0" applyFont="1" applyFill="1" applyBorder="1" applyAlignment="1" applyProtection="1">
      <alignment horizontal="center" vertical="center"/>
      <protection locked="0"/>
    </xf>
    <xf numFmtId="0" fontId="8" fillId="11" borderId="3" xfId="0" applyFont="1" applyFill="1" applyBorder="1" applyAlignment="1">
      <alignment vertical="center" wrapText="1"/>
    </xf>
    <xf numFmtId="0" fontId="8" fillId="11" borderId="3" xfId="0" applyFont="1" applyFill="1" applyBorder="1" applyAlignment="1" applyProtection="1">
      <alignment vertical="center" wrapText="1"/>
      <protection locked="0"/>
    </xf>
    <xf numFmtId="0" fontId="26" fillId="11" borderId="4" xfId="0" applyFont="1" applyFill="1" applyBorder="1" applyAlignment="1" applyProtection="1">
      <alignment vertical="center" wrapText="1"/>
      <protection locked="0"/>
    </xf>
    <xf numFmtId="37" fontId="8" fillId="4" borderId="3" xfId="0" applyNumberFormat="1" applyFont="1" applyFill="1" applyBorder="1" applyAlignment="1">
      <alignment horizontal="left" vertical="center"/>
    </xf>
    <xf numFmtId="3" fontId="8" fillId="4" borderId="3" xfId="0" applyNumberFormat="1" applyFont="1" applyFill="1" applyBorder="1" applyAlignment="1" applyProtection="1">
      <alignment horizontal="right" vertical="center" wrapText="1"/>
      <protection locked="0"/>
    </xf>
    <xf numFmtId="3" fontId="8" fillId="4" borderId="3" xfId="0" applyNumberFormat="1" applyFont="1" applyFill="1" applyBorder="1" applyAlignment="1">
      <alignment horizontal="right" vertical="center" wrapText="1"/>
    </xf>
    <xf numFmtId="3" fontId="8" fillId="4" borderId="4" xfId="0" applyNumberFormat="1" applyFont="1" applyFill="1" applyBorder="1" applyAlignment="1" applyProtection="1">
      <alignment horizontal="left" vertical="center"/>
      <protection locked="0"/>
    </xf>
    <xf numFmtId="0" fontId="0" fillId="0" borderId="0" xfId="0" applyAlignment="1" applyProtection="1">
      <alignment vertical="center" wrapText="1"/>
      <protection locked="0"/>
    </xf>
    <xf numFmtId="37" fontId="8" fillId="11" borderId="0" xfId="0" applyNumberFormat="1" applyFont="1" applyFill="1" applyAlignment="1" applyProtection="1">
      <alignment horizontal="left" vertical="center" wrapText="1"/>
      <protection locked="0"/>
    </xf>
    <xf numFmtId="0" fontId="0" fillId="4" borderId="0" xfId="0" applyFill="1" applyAlignment="1" applyProtection="1">
      <alignment vertical="center"/>
      <protection locked="0"/>
    </xf>
    <xf numFmtId="0" fontId="35" fillId="6" borderId="5" xfId="0" applyFont="1" applyFill="1" applyBorder="1" applyAlignment="1">
      <alignment horizontal="center" vertical="center" wrapText="1"/>
    </xf>
    <xf numFmtId="0" fontId="35" fillId="6" borderId="6" xfId="0" applyFont="1" applyFill="1" applyBorder="1" applyAlignment="1">
      <alignment horizontal="center" vertical="center" wrapText="1"/>
    </xf>
    <xf numFmtId="3" fontId="10" fillId="6" borderId="4" xfId="0" applyNumberFormat="1" applyFont="1" applyFill="1" applyBorder="1" applyAlignment="1">
      <alignment horizontal="center" vertical="center" wrapText="1"/>
    </xf>
    <xf numFmtId="3" fontId="10" fillId="6" borderId="17" xfId="0"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17" xfId="0" applyFont="1" applyFill="1" applyBorder="1" applyAlignment="1">
      <alignment horizontal="center" vertical="center" wrapText="1"/>
    </xf>
    <xf numFmtId="37" fontId="7" fillId="0" borderId="0" xfId="4" applyNumberFormat="1" applyFont="1" applyFill="1" applyBorder="1" applyAlignment="1" applyProtection="1">
      <alignment horizontal="center" vertical="center" wrapText="1"/>
      <protection locked="0"/>
    </xf>
    <xf numFmtId="14" fontId="9" fillId="9" borderId="12" xfId="0" applyNumberFormat="1" applyFont="1" applyFill="1" applyBorder="1" applyAlignment="1">
      <alignment horizontal="center" vertical="center" wrapText="1"/>
    </xf>
    <xf numFmtId="0" fontId="9" fillId="9" borderId="14" xfId="0" applyFont="1" applyFill="1" applyBorder="1" applyAlignment="1">
      <alignment horizontal="center" vertical="center" wrapText="1"/>
    </xf>
    <xf numFmtId="37" fontId="7" fillId="2" borderId="4" xfId="4" applyNumberFormat="1" applyFont="1" applyFill="1" applyBorder="1" applyAlignment="1" applyProtection="1">
      <alignment horizontal="center" vertical="center" wrapText="1"/>
    </xf>
    <xf numFmtId="37" fontId="7" fillId="2" borderId="17" xfId="4" applyNumberFormat="1" applyFont="1" applyFill="1" applyBorder="1" applyAlignment="1" applyProtection="1">
      <alignment horizontal="center" vertical="center" wrapText="1"/>
    </xf>
    <xf numFmtId="0" fontId="7" fillId="2" borderId="4"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7" xfId="0" applyFont="1" applyFill="1" applyBorder="1" applyAlignment="1">
      <alignment horizontal="center" vertical="center" wrapText="1"/>
    </xf>
    <xf numFmtId="3" fontId="9" fillId="5" borderId="4" xfId="0" applyNumberFormat="1" applyFont="1" applyFill="1" applyBorder="1" applyAlignment="1">
      <alignment horizontal="center" vertical="center" wrapText="1"/>
    </xf>
    <xf numFmtId="3" fontId="9" fillId="5" borderId="11" xfId="0" applyNumberFormat="1" applyFont="1" applyFill="1" applyBorder="1" applyAlignment="1">
      <alignment horizontal="center" vertical="center" wrapText="1"/>
    </xf>
    <xf numFmtId="3" fontId="9" fillId="5" borderId="17" xfId="0" applyNumberFormat="1" applyFont="1" applyFill="1" applyBorder="1" applyAlignment="1">
      <alignment horizontal="center" vertical="center" wrapText="1"/>
    </xf>
    <xf numFmtId="37" fontId="7" fillId="2" borderId="5" xfId="4" applyNumberFormat="1" applyFont="1" applyFill="1" applyBorder="1" applyAlignment="1" applyProtection="1">
      <alignment horizontal="center" vertical="center" wrapText="1"/>
    </xf>
    <xf numFmtId="37" fontId="7" fillId="2" borderId="6" xfId="4" applyNumberFormat="1" applyFont="1" applyFill="1" applyBorder="1" applyAlignment="1" applyProtection="1">
      <alignment horizontal="center" vertical="center" wrapText="1"/>
    </xf>
    <xf numFmtId="37" fontId="7" fillId="2" borderId="7" xfId="4" applyNumberFormat="1" applyFont="1" applyFill="1" applyBorder="1" applyAlignment="1" applyProtection="1">
      <alignment horizontal="center" vertical="center" wrapText="1"/>
    </xf>
    <xf numFmtId="0" fontId="7" fillId="2" borderId="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6" borderId="13" xfId="0" applyFont="1" applyFill="1" applyBorder="1" applyAlignment="1">
      <alignment horizontal="center" vertical="center" wrapText="1"/>
    </xf>
    <xf numFmtId="0" fontId="14" fillId="6" borderId="14" xfId="0" applyFont="1" applyFill="1" applyBorder="1" applyAlignment="1">
      <alignment horizontal="center" vertical="center" wrapText="1"/>
    </xf>
    <xf numFmtId="0" fontId="15" fillId="7" borderId="8" xfId="0" applyFont="1" applyFill="1" applyBorder="1" applyAlignment="1">
      <alignment horizontal="center" vertical="center" wrapText="1"/>
    </xf>
    <xf numFmtId="0" fontId="15" fillId="7" borderId="9"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5" fillId="7" borderId="15"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7" borderId="16" xfId="0" applyFont="1" applyFill="1" applyBorder="1" applyAlignment="1">
      <alignment horizontal="center" vertical="center" wrapText="1"/>
    </xf>
    <xf numFmtId="0" fontId="7" fillId="2" borderId="4"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1" xfId="0" applyFont="1" applyFill="1" applyBorder="1" applyAlignment="1">
      <alignment horizontal="center" vertical="center" wrapText="1"/>
    </xf>
    <xf numFmtId="3" fontId="7" fillId="2" borderId="4" xfId="0" applyNumberFormat="1" applyFont="1" applyFill="1" applyBorder="1" applyAlignment="1">
      <alignment horizontal="center" vertical="center"/>
    </xf>
    <xf numFmtId="3" fontId="7" fillId="2" borderId="11" xfId="0" applyNumberFormat="1" applyFont="1" applyFill="1" applyBorder="1" applyAlignment="1">
      <alignment horizontal="center" vertical="center"/>
    </xf>
    <xf numFmtId="3" fontId="7" fillId="2" borderId="17" xfId="0" applyNumberFormat="1" applyFont="1" applyFill="1" applyBorder="1" applyAlignment="1">
      <alignment horizontal="center" vertical="center"/>
    </xf>
    <xf numFmtId="0" fontId="11" fillId="7" borderId="4"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1" fillId="7" borderId="4" xfId="0" applyFont="1" applyFill="1" applyBorder="1" applyAlignment="1">
      <alignment horizontal="center" vertical="center"/>
    </xf>
    <xf numFmtId="0" fontId="11" fillId="7" borderId="11" xfId="0" applyFont="1" applyFill="1" applyBorder="1" applyAlignment="1">
      <alignment horizontal="center" vertical="center"/>
    </xf>
    <xf numFmtId="0" fontId="11" fillId="7" borderId="17" xfId="0" applyFont="1" applyFill="1" applyBorder="1" applyAlignment="1">
      <alignment horizontal="center" vertical="center"/>
    </xf>
    <xf numFmtId="3" fontId="7" fillId="2" borderId="4" xfId="0" applyNumberFormat="1" applyFont="1" applyFill="1" applyBorder="1" applyAlignment="1">
      <alignment horizontal="center" vertical="center" wrapText="1"/>
    </xf>
    <xf numFmtId="3" fontId="7" fillId="2" borderId="17" xfId="0" applyNumberFormat="1" applyFont="1" applyFill="1" applyBorder="1" applyAlignment="1">
      <alignment horizontal="center" vertical="center" wrapText="1"/>
    </xf>
    <xf numFmtId="3" fontId="7" fillId="2" borderId="11" xfId="0" applyNumberFormat="1"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4" borderId="7" xfId="0"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11" xfId="0" applyFont="1" applyFill="1" applyBorder="1" applyAlignment="1">
      <alignment horizontal="center" vertical="center" wrapText="1"/>
    </xf>
    <xf numFmtId="37" fontId="7" fillId="2" borderId="1" xfId="4" applyNumberFormat="1" applyFont="1" applyFill="1" applyBorder="1" applyAlignment="1" applyProtection="1">
      <alignment horizontal="center" vertical="center" wrapText="1"/>
    </xf>
    <xf numFmtId="3" fontId="9" fillId="5" borderId="5" xfId="0" applyNumberFormat="1" applyFont="1" applyFill="1" applyBorder="1" applyAlignment="1">
      <alignment horizontal="center" vertical="center" wrapText="1"/>
    </xf>
    <xf numFmtId="3" fontId="9" fillId="5" borderId="7" xfId="0" applyNumberFormat="1" applyFont="1" applyFill="1" applyBorder="1" applyAlignment="1">
      <alignment horizontal="center" vertical="center" wrapText="1"/>
    </xf>
    <xf numFmtId="37" fontId="7" fillId="2" borderId="8" xfId="4" applyNumberFormat="1" applyFont="1" applyFill="1" applyBorder="1" applyAlignment="1" applyProtection="1">
      <alignment horizontal="center" vertical="center" wrapText="1"/>
    </xf>
    <xf numFmtId="37" fontId="7" fillId="2" borderId="12" xfId="4" applyNumberFormat="1" applyFont="1" applyFill="1" applyBorder="1" applyAlignment="1" applyProtection="1">
      <alignment horizontal="center" vertical="center" wrapText="1"/>
    </xf>
    <xf numFmtId="165" fontId="9" fillId="5" borderId="4" xfId="0" applyNumberFormat="1" applyFont="1" applyFill="1" applyBorder="1" applyAlignment="1">
      <alignment horizontal="center" vertical="center" wrapText="1"/>
    </xf>
    <xf numFmtId="165" fontId="9" fillId="5" borderId="11" xfId="0" applyNumberFormat="1" applyFont="1" applyFill="1" applyBorder="1" applyAlignment="1">
      <alignment horizontal="center" vertical="center" wrapText="1"/>
    </xf>
    <xf numFmtId="165" fontId="9" fillId="5" borderId="17" xfId="0" applyNumberFormat="1"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5" borderId="11" xfId="0" applyFont="1" applyFill="1" applyBorder="1" applyAlignment="1">
      <alignment horizontal="center" vertical="center" wrapText="1"/>
    </xf>
    <xf numFmtId="0" fontId="18" fillId="5" borderId="17" xfId="0" applyFont="1" applyFill="1" applyBorder="1" applyAlignment="1">
      <alignment horizontal="center" vertical="center" wrapText="1"/>
    </xf>
    <xf numFmtId="3" fontId="9" fillId="5" borderId="1" xfId="0" applyNumberFormat="1"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7" xfId="0" applyFont="1" applyFill="1" applyBorder="1" applyAlignment="1">
      <alignment horizontal="center" vertical="center" wrapText="1"/>
    </xf>
    <xf numFmtId="3" fontId="7" fillId="2" borderId="5" xfId="0" applyNumberFormat="1" applyFont="1" applyFill="1" applyBorder="1" applyAlignment="1">
      <alignment horizontal="center" vertical="center" wrapText="1"/>
    </xf>
    <xf numFmtId="3" fontId="7" fillId="2" borderId="6" xfId="0" applyNumberFormat="1" applyFont="1" applyFill="1" applyBorder="1" applyAlignment="1">
      <alignment horizontal="center" vertical="center" wrapText="1"/>
    </xf>
    <xf numFmtId="164" fontId="7" fillId="2" borderId="6" xfId="0" applyNumberFormat="1" applyFont="1" applyFill="1" applyBorder="1" applyAlignment="1">
      <alignment horizontal="center" vertical="center" wrapText="1"/>
    </xf>
    <xf numFmtId="3" fontId="7" fillId="2" borderId="7" xfId="0" applyNumberFormat="1"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6" fillId="5" borderId="17" xfId="0" applyFont="1" applyFill="1" applyBorder="1" applyAlignment="1">
      <alignment horizontal="center" vertical="center" wrapText="1"/>
    </xf>
    <xf numFmtId="0" fontId="10" fillId="6" borderId="11" xfId="0" applyFont="1" applyFill="1" applyBorder="1" applyAlignment="1">
      <alignment horizontal="center" vertical="center" wrapText="1"/>
    </xf>
    <xf numFmtId="164" fontId="7" fillId="2" borderId="4" xfId="0" applyNumberFormat="1" applyFont="1" applyFill="1" applyBorder="1" applyAlignment="1">
      <alignment horizontal="center" vertical="center" wrapText="1"/>
    </xf>
    <xf numFmtId="164" fontId="7" fillId="2" borderId="17"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7" borderId="7" xfId="0" applyFont="1" applyFill="1" applyBorder="1" applyAlignment="1">
      <alignment horizontal="center" vertical="center" wrapText="1"/>
    </xf>
  </cellXfs>
  <cellStyles count="7">
    <cellStyle name="Comma [0] 2 2" xfId="4" xr:uid="{DC8822E7-A739-4284-B7EC-251C1E2E89A6}"/>
    <cellStyle name="Hyperlink" xfId="3" builtinId="8"/>
    <cellStyle name="Normal" xfId="0" builtinId="0"/>
    <cellStyle name="Normal 2" xfId="6" xr:uid="{DF3BF9B4-78DC-496E-AD35-5C0A56ABB37B}"/>
    <cellStyle name="Normal 2 2" xfId="2" xr:uid="{6313ACA0-1BEC-4FF5-8711-B0BAFDCCF05D}"/>
    <cellStyle name="Normal 3" xfId="1" xr:uid="{E22314A0-44BB-4291-AA30-D9BA6657848E}"/>
    <cellStyle name="Normal 4 4" xfId="5" xr:uid="{18DBBD90-253D-4EEE-8508-37C38C46DAE0}"/>
  </cellStyles>
  <dxfs count="4">
    <dxf>
      <fill>
        <patternFill>
          <bgColor theme="9" tint="0.79998168889431442"/>
        </patternFill>
      </fill>
    </dxf>
    <dxf>
      <fill>
        <patternFill>
          <bgColor theme="9" tint="0.79998168889431442"/>
        </patternFill>
      </fill>
    </dxf>
    <dxf>
      <fill>
        <patternFill>
          <bgColor theme="9" tint="0.79998168889431442"/>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Anggaran\anggaran%202012%20REV%20sken3\Breakdown%20Rev%202012\Lampiran.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bri2.sharepoint.com/sites/BRIApplicationCatalog/Shared%20Documents/General/2023/Review%20Kritikalitas%20Aplikasi%202023/Portfolio%20Aplikasi%202023.xlsx" TargetMode="External"/><Relationship Id="rId2" Type="http://schemas.openxmlformats.org/officeDocument/2006/relationships/externalLinkPath" Target="https://bri2.sharepoint.com/sites/BRIApplicationCatalog/Shared%20Documents/General/2023/Review%20Kritikalitas%20Aplikasi%202023/Portfolio%20Aplikasi%202023.xlsx" TargetMode="External"/><Relationship Id="rId1" Type="http://schemas.openxmlformats.org/officeDocument/2006/relationships/externalLinkPath" Target="/sites/BRIApplicationCatalog/Shared%20Documents/General/2023/Review%20Kritikalitas%20Aplikasi%202023/Portfolio%20Aplikasi%2020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Anggaran\anggaran%202012%20REV%20sken3\FINMOD\FM%20BR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bri2-my.sharepoint.com/Server_pks/data/Anggaran/Anggaran%202010/newproject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bri2-my.sharepoint.com/Adhi/Anggaran%202005_a/Anggaran%202005_a/Financial%20Model%20-%20By%20PKS%202005%20(version%205)aceh%2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FINMOD%20-%20AMK%201.3%2017%25%20Bari\Fundprojec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bri2-my.sharepoint.com/Server_pks/data/Anggaran/Anggaran%202007%20new-Final/Finmod-07/Financial%20Model%20-%20By%20PKS%202007%20new.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Funds%20budget%202006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00051454\My%20Documents\Downloads\Simulasi%20BTK%20-%20RKAP%202013%20-%20Versi%20%202308201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FINMOD%20-%20AMK%201.3%2017%25%20Bari\Loan%20Project.xls"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file:///C:\Users\BRI\Downloads\2023%20Detail%20Perpanjangan%20Support%20&amp;%20Maintenance%20Services%20Dealing%20dan%20Pengadaan%20Upgrade%20Telephone%20IPC.xlsx" TargetMode="External"/><Relationship Id="rId2" Type="http://schemas.microsoft.com/office/2019/04/relationships/externalLinkLongPath" Target="/sites/SquadAnggaranISG/Shared%20Documents/2024/02%20Konfirmasi%20Penggunaan%20Anggaran%20TI/01%20Template/2023%20Detail%20Perpanjangan%20Support%20&amp;%20Maintenance%20Services%20Dealing%20dan%20Pengadaan%20Upgrade%20Telephone%20IPC.xlsx?D59E5259" TargetMode="External"/><Relationship Id="rId1" Type="http://schemas.openxmlformats.org/officeDocument/2006/relationships/externalLinkPath" Target="file:///\\D59E5259\2023%20Detail%20Perpanjangan%20Support%20&amp;%20Maintenance%20Services%20Dealing%20dan%20Pengadaan%20Upgrade%20Telephone%20IPC.xlsx" TargetMode="External"/><Relationship Id="rId4" Type="http://schemas.openxmlformats.org/officeDocument/2006/relationships/externalLinkPath" Target="https://bri2.sharepoint.com/sites/SquadAnggaranISG/Shared%20Documents/2024/02%20Konfirmasi%20Penggunaan%20Anggaran%20TI/01%20Template/2023%20Detail%20Perpanjangan%20Support%20&amp;%20Maintenance%20Services%20Dealing%20dan%20Pengadaan%20Upgrade%20Telephone%20IPC.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bri2-my.sharepoint.com/Server_pks/data/datahistory_NR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p1 BS"/>
      <sheetName val="Lamp2 PL"/>
      <sheetName val="Lamp3 Rasio"/>
      <sheetName val="Lamp4"/>
      <sheetName val="Lamp5 Loan"/>
      <sheetName val="Lamp6 PH+EC"/>
      <sheetName val="Lamp7 KomKon"/>
      <sheetName val="Lamp8a DPK"/>
      <sheetName val="Lamp8b BHadiah"/>
      <sheetName val="Lamp9 FBI"/>
      <sheetName val="Lamp10 BModal"/>
      <sheetName val="Lamp11 OH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METER"/>
      <sheetName val="Sistem Aplikasi"/>
      <sheetName val="Review BIA 2023"/>
      <sheetName val="Komponen Aplikasi"/>
      <sheetName val="Keterhubungan Aplikasi"/>
      <sheetName val="Aplikasi 2023"/>
      <sheetName val="Disposal Aplikasi"/>
      <sheetName val="List Project Disposal"/>
      <sheetName val="MAO"/>
      <sheetName val="Lembar Kerja Tambahan"/>
      <sheetName val="Mapping OPS-DEV"/>
      <sheetName val="BIA"/>
      <sheetName val="SK Kritikalitas Aplikasi"/>
      <sheetName val="Kritikalitas Aplikasi"/>
      <sheetName val="Test"/>
      <sheetName val="Notes"/>
      <sheetName val="Permintaan EDM"/>
      <sheetName val="Compare"/>
      <sheetName val="List Divisi (belum update)"/>
      <sheetName val="Portfolio Aplikasi 2023"/>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M"/>
      <sheetName val="ilook"/>
      <sheetName val="Report"/>
      <sheetName val="Balance sheet"/>
      <sheetName val="Income Statement"/>
      <sheetName val="InAsumsi"/>
      <sheetName val="rates_History"/>
      <sheetName val="Opening"/>
      <sheetName val="WKrates"/>
      <sheetName val="SrtBerharga"/>
      <sheetName val="Ratio_history"/>
      <sheetName val="WKrasio"/>
      <sheetName val="Indikator"/>
      <sheetName val="srt berharga"/>
    </sheetNames>
    <sheetDataSet>
      <sheetData sheetId="0" refreshError="1"/>
      <sheetData sheetId="1" refreshError="1"/>
      <sheetData sheetId="2"/>
      <sheetData sheetId="3"/>
      <sheetData sheetId="4"/>
      <sheetData sheetId="5" refreshError="1"/>
      <sheetData sheetId="6" refreshError="1"/>
      <sheetData sheetId="7"/>
      <sheetData sheetId="8"/>
      <sheetData sheetId="9" refreshError="1"/>
      <sheetData sheetId="10"/>
      <sheetData sheetId="1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ment"/>
      <sheetName val="ilook"/>
      <sheetName val="Report"/>
      <sheetName val="Balance sheet"/>
      <sheetName val="Income Statement"/>
      <sheetName val="GA + Promosi"/>
      <sheetName val="Opening"/>
      <sheetName val="InAsumsi"/>
      <sheetName val="rates_History"/>
      <sheetName val="WKrates"/>
      <sheetName val="SrtBerharga"/>
      <sheetName val="Segmen"/>
      <sheetName val="Ratio_history"/>
      <sheetName val="WKrasio"/>
      <sheetName val="Q-1.2.1 Siip"/>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Cadangan"/>
      <sheetName val="opening"/>
      <sheetName val="Balance Sheet Tampilan"/>
      <sheetName val="Income Statement Tampilan"/>
      <sheetName val="Segmen Profile"/>
      <sheetName val="DATAMAKRO"/>
      <sheetName val="G&amp;A+LAINNYA"/>
      <sheetName val="in kumulatif"/>
      <sheetName val="Income Statement"/>
      <sheetName val="Balance sheet"/>
      <sheetName val="Rate"/>
      <sheetName val="Rincian Pend"/>
      <sheetName val="Komit &amp;Kont Tampilan"/>
      <sheetName val="Komit  &amp; Kontinj"/>
      <sheetName val="Pjk Tangg"/>
      <sheetName val="Sheet2"/>
      <sheetName val="Sheet3"/>
      <sheetName val="PPAP"/>
      <sheetName val="Loan"/>
      <sheetName val="Funds"/>
      <sheetName val="Placement"/>
      <sheetName val="Rasio New"/>
      <sheetName val="Ratio"/>
      <sheetName val="Skenario"/>
      <sheetName val="Presentasi"/>
      <sheetName val="Lamp1 BS"/>
      <sheetName val="Sheet1"/>
      <sheetName val="InAsumsi"/>
      <sheetName val="Ratio_history"/>
      <sheetName val="WKrates"/>
      <sheetName val="rates_History"/>
      <sheetName val="AVERAGE KREDIT"/>
      <sheetName val="AVERAGE DANA"/>
      <sheetName val="I1_C4_E1_E2"/>
      <sheetName val="RKA TRX"/>
      <sheetName val="RKA AVERAGE KREDIT"/>
      <sheetName val="RKA AVERAGE DANA"/>
      <sheetName val="RKA KREDIT"/>
      <sheetName val="RKA DANA"/>
      <sheetName val="RKA DEB"/>
      <sheetName val="RKA FBI"/>
      <sheetName val="RKA LABA"/>
      <sheetName val="RKA NPL"/>
      <sheetName val="RKA PH &amp; REC"/>
      <sheetName val="RKA REK"/>
      <sheetName val="ACRS"/>
      <sheetName val="PARAM"/>
      <sheetName val="DATA"/>
      <sheetName val="LainLain_19"/>
      <sheetName val="AVERAGEDANA_19"/>
      <sheetName val="AVG KREDIT_19"/>
      <sheetName val="DANA_19"/>
      <sheetName val="DEB_19"/>
      <sheetName val="DPKRp_19"/>
      <sheetName val="DPK%_19"/>
      <sheetName val="FBI_19"/>
      <sheetName val="KREDIT_19"/>
      <sheetName val="NPLRp_19"/>
      <sheetName val="NPL%_19"/>
      <sheetName val="RECOV_19"/>
      <sheetName val="REKENING_19"/>
      <sheetName val="TRX_19"/>
      <sheetName val="USER_19"/>
      <sheetName val="DANA"/>
      <sheetName val="LABA &amp; FBI"/>
      <sheetName val="KREDIT"/>
      <sheetName val="Kinerja RM Pangan"/>
      <sheetName val="Parameter"/>
      <sheetName val="Nrc_History"/>
      <sheetName val="Resource"/>
      <sheetName val="InFund"/>
      <sheetName val="History NT"/>
      <sheetName val="Kode"/>
      <sheetName val="Kota"/>
      <sheetName val="Bank"/>
      <sheetName val="NASABAH KREDIT"/>
      <sheetName val="FBI"/>
      <sheetName val="NPL"/>
      <sheetName val="LABA"/>
      <sheetName val="NPL %"/>
      <sheetName val="NASABAH DANA"/>
      <sheetName val="AVERAGEKREDIT_19"/>
      <sheetName val="DPKRp_2018"/>
      <sheetName val="NPLRp_2018"/>
      <sheetName val="KREDIT_2018"/>
      <sheetName val="PH &amp; REC"/>
      <sheetName val="TRX"/>
      <sheetName val="311220"/>
      <sheetName val="310721"/>
      <sheetName val="Prognosa DPK RTLnya (2)"/>
      <sheetName val="Nasabah Baru"/>
      <sheetName val="311021"/>
      <sheetName val="Point to point"/>
      <sheetName val="Prognosa DPK RTLnya"/>
      <sheetName val="Sek.Ind - Subsek.Ind Kanwil"/>
      <sheetName val="300921"/>
      <sheetName val="Template LW321"/>
      <sheetName val="Sheet_Cadangan"/>
      <sheetName val="Balance_Sheet_Tampilan"/>
      <sheetName val="Income_Statement_Tampilan"/>
      <sheetName val="Segmen_Profile"/>
      <sheetName val="in_kumulatif"/>
      <sheetName val="Income_Statement"/>
      <sheetName val="Balance_sheet"/>
      <sheetName val="Rincian_Pend"/>
      <sheetName val="Komit_&amp;Kont_Tampilan"/>
      <sheetName val="Komit__&amp;_Kontinj"/>
      <sheetName val="Pjk_Tangg"/>
      <sheetName val="Rasio_New"/>
      <sheetName val="AVERAGE_KREDIT"/>
      <sheetName val="AVERAGE_DANA"/>
      <sheetName val="RKA_TRX"/>
      <sheetName val="RKA_AVERAGE_KREDIT"/>
      <sheetName val="RKA_AVERAGE_DANA"/>
      <sheetName val="RKA_KREDIT"/>
      <sheetName val="RKA_DANA"/>
      <sheetName val="RKA_DEB"/>
      <sheetName val="RKA_FBI"/>
      <sheetName val="RKA_LABA"/>
      <sheetName val="RKA_NPL"/>
      <sheetName val="RKA_PH_&amp;_REC"/>
      <sheetName val="RKA_REK"/>
      <sheetName val="ref"/>
      <sheetName val="KBK"/>
      <sheetName val="REFERENCE ZONA PREMIUM"/>
      <sheetName val="Rekap"/>
      <sheetName val="fund_History"/>
      <sheetName val="Wkfunds"/>
      <sheetName val="NONCAB"/>
      <sheetName val="LN"/>
      <sheetName val="DKI"/>
      <sheetName val="GABUNGAN"/>
      <sheetName val="LRK"/>
      <sheetName val="NONNRC"/>
      <sheetName val="KREDITPL - 20"/>
      <sheetName val="FBI_20"/>
      <sheetName val="TRX_20"/>
      <sheetName val="briguna lw des"/>
      <sheetName val="SUM PER CCY-RINCI"/>
      <sheetName val="menu"/>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_History"/>
      <sheetName val="Simulasi"/>
      <sheetName val="PRediksi Makro"/>
      <sheetName val="Wkfunds"/>
      <sheetName val="DANA Tyg"/>
      <sheetName val="Beban"/>
      <sheetName val="COF"/>
      <sheetName val="USULAN KETIGA"/>
      <sheetName val="Rp-Vls"/>
      <sheetName val="DANA"/>
      <sheetName val="InFund"/>
      <sheetName val="USULAN SEMULA"/>
      <sheetName val="DANA RITEL"/>
      <sheetName val="DANA MIKRO "/>
      <sheetName val=" DANA UUS"/>
      <sheetName val="SIMPANAN BANK LAIN"/>
      <sheetName val="Sheet1"/>
      <sheetName val="prog dec-giro"/>
      <sheetName val="prog dec - tab-depo"/>
      <sheetName val="Sheet2"/>
      <sheetName val="PPN OUT1"/>
      <sheetName val="NPWP"/>
    </sheetNames>
    <sheetDataSet>
      <sheetData sheetId="0"/>
      <sheetData sheetId="1"/>
      <sheetData sheetId="2" refreshError="1"/>
      <sheetData sheetId="3"/>
      <sheetData sheetId="4"/>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sheetName val="Sheet Cadangan"/>
      <sheetName val="Income Statement Tampilan"/>
      <sheetName val="Sensitivitas Akt Tetap"/>
      <sheetName val="Ratio"/>
      <sheetName val="Balance Sheet Tampilan"/>
      <sheetName val="PPAP"/>
      <sheetName val="obl pem"/>
      <sheetName val="Prodc&amp;COF"/>
      <sheetName val="Rate"/>
      <sheetName val="Balance sheet"/>
      <sheetName val="Income Statement"/>
      <sheetName val="in kumulatif"/>
      <sheetName val="Placement"/>
      <sheetName val="Rincian Pend"/>
      <sheetName val="Komit  &amp; Kontinj"/>
      <sheetName val="Komit &amp;Kont Tampilan"/>
      <sheetName val="Sheet2"/>
      <sheetName val="Rasio New"/>
      <sheetName val="Skenario"/>
      <sheetName val="Presentasi"/>
      <sheetName val="bulan1"/>
      <sheetName val="bulan10"/>
      <sheetName val="bulan11"/>
      <sheetName val="bulan12"/>
      <sheetName val="bulan2"/>
      <sheetName val="bulan3"/>
      <sheetName val="bulan4"/>
      <sheetName val="bulan5"/>
      <sheetName val="bulan6"/>
      <sheetName val="bulan7"/>
      <sheetName val="bulan8"/>
      <sheetName val="bulan9"/>
      <sheetName val="bulan nov"/>
      <sheetName val="bulanprog"/>
      <sheetName val="RKA DEB REK 2017"/>
      <sheetName val="RKA AVERAGE DANA 2017"/>
      <sheetName val="RKA AVERAGE KREDIT 2018"/>
      <sheetName val="RKA DANA 2018"/>
      <sheetName val="RKA DEB 2018"/>
      <sheetName val="RKA DPK 2018"/>
      <sheetName val="RKA FBI 2018"/>
      <sheetName val="RKA KREDIT 2018"/>
      <sheetName val="RKA NPL 2018"/>
      <sheetName val="RKA REC 2018"/>
      <sheetName val="RKA REK 2018"/>
      <sheetName val="RKA TRX 2018"/>
      <sheetName val="KREDIT"/>
      <sheetName val="kode"/>
      <sheetName val="Loan_history"/>
      <sheetName val="AVERAGEDANA_19"/>
      <sheetName val="AVERAGEKREDIT_19"/>
      <sheetName val="DANA_19"/>
      <sheetName val="DEB_19"/>
      <sheetName val="DPKRp_2018"/>
      <sheetName val="LABA &amp; FBI"/>
      <sheetName val="NPLRp_2018"/>
      <sheetName val="KREDIT_2018"/>
      <sheetName val="PH &amp; REC"/>
      <sheetName val="TRX"/>
      <sheetName val="Sheet4"/>
      <sheetName val="RKA NPL 2017"/>
      <sheetName val="RKA AVERAGE KREDIT 2017"/>
      <sheetName val="RKA DANA 2017"/>
      <sheetName val="RKA FBI 2017"/>
      <sheetName val="RKA KREDIT 2017"/>
      <sheetName val="Kanwil"/>
      <sheetName val="REKAP"/>
      <sheetName val="Jumlah Uker dan TP"/>
      <sheetName val="FBI_19"/>
      <sheetName val="TRX_19"/>
      <sheetName val="RKA_KREDIT_20"/>
      <sheetName val="RKA_FBI_20"/>
      <sheetName val="RKA_NPLRp_20"/>
      <sheetName val="RKA_DEBITUR_20"/>
      <sheetName val="RKA_DPKRp_20"/>
      <sheetName val="RKA_REC_INTRA2020"/>
      <sheetName val="RKA_RESTRUK_20"/>
      <sheetName val="RKA LABA 2017"/>
      <sheetName val="RKA RECOVERY 2017"/>
      <sheetName val="RKA TRX Echannel"/>
      <sheetName val="InFund"/>
      <sheetName val="fund_History"/>
      <sheetName val="Wkfunds"/>
      <sheetName val="Resource"/>
      <sheetName val="Yield Segmen (Rifqi)"/>
      <sheetName val="Funds"/>
      <sheetName val="Sheet32"/>
      <sheetName val="Nrc_History"/>
      <sheetName val="Ref"/>
      <sheetName val="SUMMARY"/>
      <sheetName val="MasterKanca"/>
      <sheetName val="Data Siswa"/>
      <sheetName val="KBK"/>
      <sheetName val="REFERENCE ZONA PREMIUM"/>
      <sheetName val="lists"/>
      <sheetName val="17 Feb 2000"/>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s"/>
      <sheetName val="Resource"/>
      <sheetName val="InAsumsi"/>
      <sheetName val="Income Statement"/>
      <sheetName val="Ratio_history"/>
      <sheetName val="WKrates"/>
      <sheetName val="rates_History"/>
      <sheetName val="Opening"/>
      <sheetName val="History NT"/>
      <sheetName val="DANA"/>
      <sheetName val="LABA &amp; FBI"/>
      <sheetName val="KREDIT"/>
      <sheetName val="Nrc_History"/>
      <sheetName val="RKA AVERAGE DANA 2017"/>
      <sheetName val="RKA AVERAGE KREDIT 2017"/>
      <sheetName val="RKA DEB REK 2017"/>
      <sheetName val="RKA DANA 2017"/>
      <sheetName val="RKA FBI 2017"/>
      <sheetName val="RKA KREDIT 2017"/>
      <sheetName val="RKA LABA 2017"/>
      <sheetName val="RKA NPL 2017"/>
      <sheetName val="RKA RECOVERY 2017"/>
      <sheetName val="KBK"/>
      <sheetName val="REFERENCE ZONA PREMIUM"/>
      <sheetName val="Dir- Mikro Kecil (OS)"/>
      <sheetName val="Kanwil"/>
      <sheetName val="InFund"/>
      <sheetName val="Wkfunds"/>
      <sheetName val="TOTAL PROGRAM"/>
      <sheetName val="april"/>
      <sheetName val="briguna"/>
      <sheetName val="KELAS KC KCP"/>
      <sheetName val="RKALainLain2020"/>
      <sheetName val="RKA_AVGDANA_19"/>
      <sheetName val="RKA_KREDIT_20"/>
      <sheetName val="RKA_DANA_20"/>
      <sheetName val="RKA_DEBITUR_20"/>
      <sheetName val="RKA_DPKRp_20"/>
      <sheetName val="RKA_DPK%_20"/>
      <sheetName val="RKA_FBI_20"/>
      <sheetName val="RKA_NPLRp_20"/>
      <sheetName val="RKA_NPL%_20"/>
      <sheetName val="RKA_RecovRp_20"/>
      <sheetName val="RKA_TRX_20"/>
      <sheetName val="RKA AVERAGE KREDIT 2018"/>
      <sheetName val="RKA DANA 2018"/>
      <sheetName val="RKA DEB 2018"/>
      <sheetName val="RKA DPK 2018"/>
      <sheetName val="RKA FBI 2018"/>
      <sheetName val="RKA KREDIT 2018"/>
      <sheetName val="RKA NPL 2018"/>
      <sheetName val="RKA REK 2018"/>
      <sheetName val="RKA TRX 2018"/>
      <sheetName val="RKA DPK 2017"/>
      <sheetName val="LAIN-LAIN"/>
      <sheetName val="RKA RESTRUK 2020"/>
      <sheetName val="RKA_REC_INTRA2020"/>
      <sheetName val="LIST"/>
      <sheetName val="Loan_history"/>
      <sheetName val="bulan1"/>
      <sheetName val="bulan10"/>
      <sheetName val="bulan11"/>
      <sheetName val="bulan12"/>
      <sheetName val="bulan2"/>
      <sheetName val="bulan3"/>
      <sheetName val="bulan4"/>
      <sheetName val="bulan5"/>
      <sheetName val="bulan6"/>
      <sheetName val="bulan7"/>
      <sheetName val="bulan8"/>
      <sheetName val="bulan9"/>
      <sheetName val="bulanprog"/>
      <sheetName val="RKA TRX Echannel"/>
      <sheetName val="data"/>
      <sheetName val="bulan nov"/>
      <sheetName val="RKA REC 2018"/>
      <sheetName val="Sheet2"/>
      <sheetName val="Param"/>
      <sheetName val="REKAP"/>
      <sheetName val="Jumlah Uker dan TP"/>
      <sheetName val="RKA_RESTRUK_20"/>
      <sheetName val="fund_History"/>
      <sheetName val="RKA_LainLain_20"/>
      <sheetName val="TRX_20"/>
      <sheetName val="RKA_KREDIT PL_20"/>
      <sheetName val="LRK"/>
      <sheetName val="PEND+BIAYA"/>
      <sheetName val="NONCAB"/>
      <sheetName val="lr treas"/>
      <sheetName val="Kode"/>
      <sheetName val="SUMMARY"/>
      <sheetName val="Sheet1"/>
      <sheetName val="LainLain_19"/>
      <sheetName val="AVERAGEDANA_19"/>
      <sheetName val="AVG KREDIT_19"/>
      <sheetName val="DANA_19"/>
      <sheetName val="DEB_19"/>
      <sheetName val="DPKRp_19"/>
      <sheetName val="DPK%_19"/>
      <sheetName val="FBI_19"/>
      <sheetName val="KREDIT_19"/>
      <sheetName val="NPLRp_19"/>
      <sheetName val="NPL%_19"/>
      <sheetName val="RECOV_19"/>
      <sheetName val="REKENING_19"/>
      <sheetName val="TRX_19"/>
      <sheetName val="USER_19"/>
      <sheetName val="LW321"/>
      <sheetName val="NABIRE KONSOL"/>
      <sheetName val="Prognosa DESEMBER 2019"/>
      <sheetName val="LW 321 Des 14"/>
      <sheetName val="Feb 15"/>
      <sheetName val="Jan 15"/>
      <sheetName val="17 Feb 2000"/>
      <sheetName val="SAD"/>
      <sheetName val="AVERAGE KREDIT"/>
      <sheetName val="AVERAGE DANA"/>
      <sheetName val="I1_C4_E1_E2"/>
      <sheetName val="RKA TRX"/>
      <sheetName val="RKA AVERAGE KREDIT"/>
      <sheetName val="RKA AVERAGE DANA"/>
      <sheetName val="RKA KREDIT"/>
      <sheetName val="RKA DANA"/>
      <sheetName val="RKA DEB"/>
      <sheetName val="RKA FBI"/>
      <sheetName val="RKA LABA"/>
      <sheetName val="RKA NPL"/>
      <sheetName val="RKA PH &amp; REC"/>
      <sheetName val="RKA REK"/>
      <sheetName val="RKA lain lain"/>
      <sheetName val="RKADEB2019"/>
      <sheetName val="TRX"/>
      <sheetName val="DEB &amp; REK"/>
      <sheetName val="NPL%"/>
      <sheetName val="PH &amp; REC"/>
      <sheetName val="Ref"/>
      <sheetName val="MasterKanca"/>
      <sheetName val="Data Siswa"/>
      <sheetName val="Prognosa"/>
      <sheetName val="Assumptions"/>
      <sheetName val="Sales_and_Collections"/>
      <sheetName val="Contribution_Margin"/>
      <sheetName val="Consolidated_Forecast"/>
      <sheetName val="Consolidated_Actuals"/>
      <sheetName val="Cash"/>
      <sheetName val="COGS"/>
      <sheetName val="Variance_Report"/>
      <sheetName val="Financial_Ratios"/>
      <sheetName val="Capital"/>
      <sheetName val="Depreciation"/>
      <sheetName val="Operating_Expenses"/>
      <sheetName val="Headcount"/>
      <sheetName val="Inventory_and_Purchases"/>
      <sheetName val="Template LW321"/>
      <sheetName val="LW315"/>
      <sheetName val="Kota"/>
      <sheetName val="Bank"/>
      <sheetName val="LABA_19"/>
      <sheetName val="PH_19"/>
      <sheetName val="Sheet4"/>
      <sheetName val="Check Sheet"/>
      <sheetName val="OS PROGRAM"/>
      <sheetName val="Sheet3"/>
      <sheetName val="RTC_LAST"/>
      <sheetName val="RTC_NOW"/>
      <sheetName val="FBI"/>
      <sheetName val="KAP_KC"/>
      <sheetName val="L1133"/>
      <sheetName val="RKAP"/>
      <sheetName val="DATA K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isting"/>
      <sheetName val="New"/>
      <sheetName val="RINGKASAN"/>
      <sheetName val="REFERENCE ZONA PREMIUM"/>
      <sheetName val="KBK"/>
      <sheetName val="Salary Range"/>
    </sheetNames>
    <sheetDataSet>
      <sheetData sheetId="0" refreshError="1"/>
      <sheetData sheetId="1"/>
      <sheetData sheetId="2" refreshError="1"/>
      <sheetData sheetId="3"/>
      <sheetData sheetId="4"/>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PN Kol BI"/>
      <sheetName val="Loan_history"/>
      <sheetName val="WKloan"/>
      <sheetName val="InLoan"/>
      <sheetName val="Sheet1"/>
      <sheetName val="N_terctt hist"/>
      <sheetName val="prog n_tecatat"/>
      <sheetName val="rkap n_tecatat"/>
      <sheetName val="tblPD"/>
      <sheetName val="By ckpn"/>
      <sheetName val="tblPD (2)"/>
      <sheetName val="Breaklink buat breakdown"/>
      <sheetName val="breakdown CKPM"/>
      <sheetName val="Parameter"/>
      <sheetName val="Sheet2"/>
      <sheetName val="Sheet3"/>
      <sheetName val="SW1"/>
      <sheetName val="Permanent info"/>
      <sheetName val="Marshal"/>
    </sheetNames>
    <sheetDataSet>
      <sheetData sheetId="0" refreshError="1"/>
      <sheetData sheetId="1"/>
      <sheetData sheetId="2"/>
      <sheetData sheetId="3"/>
      <sheetData sheetId="4" refreshError="1"/>
      <sheetData sheetId="5" refreshError="1"/>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laporan DIV (7)"/>
      <sheetName val="petunjuk pengisian Rincian"/>
      <sheetName val="contoh (tidak untuk diisi)"/>
      <sheetName val="Nama PIC"/>
      <sheetName val="List Drop Down"/>
      <sheetName val="Detail Penggunaan Anggaran"/>
      <sheetName val="List Material CAPEX"/>
      <sheetName val="Kritikalitas Aplikasi 202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_History"/>
      <sheetName val="Nrc_History"/>
      <sheetName val="Funds"/>
      <sheetName val="KBK"/>
      <sheetName val="REFERENCE ZONA PREMIUM"/>
      <sheetName val="Sheet4"/>
      <sheetName val="Loan_history"/>
      <sheetName val="opening"/>
      <sheetName val="NONCAB"/>
      <sheetName val="LN"/>
      <sheetName val="DKI"/>
      <sheetName val="GABUNGAN"/>
      <sheetName val="LRK"/>
      <sheetName val="NONNRC"/>
      <sheetName val="Income Statement"/>
      <sheetName val="InAsumsi"/>
      <sheetName val="Ratio_history"/>
      <sheetName val="WKrates"/>
      <sheetName val="rates_History"/>
      <sheetName val="RKALainLain2019"/>
      <sheetName val="RKAFBI2019"/>
      <sheetName val="RKATRX2019"/>
      <sheetName val="PH"/>
      <sheetName val="AVERAGE KREDIT"/>
      <sheetName val="AVERAGE DANA"/>
      <sheetName val="I1_C4_E1_E2"/>
      <sheetName val="RKA AVERAGE KREDIT"/>
      <sheetName val="RKA AVERAGE DANA"/>
      <sheetName val="RKA DANA"/>
      <sheetName val="RKA KREDIT"/>
      <sheetName val="RKA DEB"/>
      <sheetName val="RKA FBI"/>
      <sheetName val="RKA LABA"/>
      <sheetName val="RKA NPL"/>
      <sheetName val="RKA PH &amp; REC"/>
      <sheetName val="RKA REK"/>
      <sheetName val="RKA TRX"/>
      <sheetName val="DANA"/>
      <sheetName val="LABA &amp; FBI"/>
      <sheetName val="KREDIT"/>
      <sheetName val="TP"/>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confluence.bri.co.id/x/aWblYQ" TargetMode="External"/><Relationship Id="rId13" Type="http://schemas.openxmlformats.org/officeDocument/2006/relationships/vmlDrawing" Target="../drawings/vmlDrawing1.vml"/><Relationship Id="rId3" Type="http://schemas.openxmlformats.org/officeDocument/2006/relationships/hyperlink" Target="https://confluence.bri.co.id/x/a_WoXQ" TargetMode="External"/><Relationship Id="rId7" Type="http://schemas.openxmlformats.org/officeDocument/2006/relationships/hyperlink" Target="https://confluence.bri.co.id/x/53nlYQ" TargetMode="External"/><Relationship Id="rId12" Type="http://schemas.openxmlformats.org/officeDocument/2006/relationships/hyperlink" Target="https://confluence.bri.co.id/x/6s-YT" TargetMode="External"/><Relationship Id="rId2" Type="http://schemas.openxmlformats.org/officeDocument/2006/relationships/hyperlink" Target="https://confluence.bri.co.id/x/tH6sXQ" TargetMode="External"/><Relationship Id="rId1" Type="http://schemas.openxmlformats.org/officeDocument/2006/relationships/hyperlink" Target="https://confluence.bri.co.id/x/30WsXQ" TargetMode="External"/><Relationship Id="rId6" Type="http://schemas.openxmlformats.org/officeDocument/2006/relationships/hyperlink" Target="https://confluence.bri.co.id/x/1H3lYQ" TargetMode="External"/><Relationship Id="rId11" Type="http://schemas.openxmlformats.org/officeDocument/2006/relationships/hyperlink" Target="https://confluence.bri.co.id/x/xuboTw" TargetMode="External"/><Relationship Id="rId5" Type="http://schemas.openxmlformats.org/officeDocument/2006/relationships/hyperlink" Target="https://confluence.bri.co.id/x/tHjlYQ" TargetMode="External"/><Relationship Id="rId10" Type="http://schemas.openxmlformats.org/officeDocument/2006/relationships/hyperlink" Target="https://confluence.bri.co.id/x/GkTkUw" TargetMode="External"/><Relationship Id="rId4" Type="http://schemas.openxmlformats.org/officeDocument/2006/relationships/hyperlink" Target="https://confluence.bri.co.id/x/7z_sXQ" TargetMode="External"/><Relationship Id="rId9" Type="http://schemas.openxmlformats.org/officeDocument/2006/relationships/hyperlink" Target="https://confluence.bri.co.id/x/i0d5TQ"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12CE6-403B-4139-A5EB-81D8B4B6F3F2}">
  <dimension ref="A1:M96"/>
  <sheetViews>
    <sheetView workbookViewId="0">
      <selection activeCell="BB12" sqref="BB12:BM206"/>
    </sheetView>
  </sheetViews>
  <sheetFormatPr defaultColWidth="8.85546875" defaultRowHeight="12.75"/>
  <cols>
    <col min="1" max="2" width="13.42578125" style="11" customWidth="1"/>
    <col min="3" max="3" width="36.28515625" style="12" customWidth="1"/>
    <col min="4" max="4" width="1.140625" style="13" customWidth="1"/>
    <col min="5" max="5" width="20.42578125" style="10" customWidth="1"/>
    <col min="6" max="6" width="48.42578125" style="10" customWidth="1"/>
    <col min="7" max="7" width="47.42578125" style="10" bestFit="1" customWidth="1"/>
    <col min="8" max="8" width="29.7109375" style="10" bestFit="1" customWidth="1"/>
    <col min="9" max="9" width="20.140625" style="10" bestFit="1" customWidth="1"/>
    <col min="10" max="10" width="24.42578125" style="10" bestFit="1" customWidth="1"/>
    <col min="11" max="11" width="15" style="10" bestFit="1" customWidth="1"/>
    <col min="12" max="13" width="31.140625" style="10" bestFit="1" customWidth="1"/>
    <col min="14" max="16384" width="8.85546875" style="10"/>
  </cols>
  <sheetData>
    <row r="1" spans="1:13" s="4" customFormat="1">
      <c r="A1" s="1"/>
      <c r="B1" s="1" t="s">
        <v>0</v>
      </c>
      <c r="C1" s="2"/>
      <c r="D1" s="3"/>
      <c r="E1" s="1"/>
      <c r="F1" s="1" t="s">
        <v>1</v>
      </c>
      <c r="G1" s="1"/>
      <c r="H1" s="1"/>
      <c r="I1" s="1"/>
      <c r="J1" s="1"/>
      <c r="K1" s="1"/>
      <c r="L1" s="1"/>
      <c r="M1" s="1"/>
    </row>
    <row r="2" spans="1:13" s="4" customFormat="1">
      <c r="A2" s="1" t="s">
        <v>2</v>
      </c>
      <c r="B2" s="1" t="s">
        <v>3</v>
      </c>
      <c r="C2" s="2" t="s">
        <v>4</v>
      </c>
      <c r="D2" s="3"/>
      <c r="E2" s="1" t="s">
        <v>5</v>
      </c>
      <c r="F2" s="1" t="s">
        <v>6</v>
      </c>
      <c r="G2" s="1" t="s">
        <v>7</v>
      </c>
      <c r="H2" s="1" t="s">
        <v>8</v>
      </c>
      <c r="I2" s="1" t="s">
        <v>9</v>
      </c>
      <c r="J2" s="1" t="s">
        <v>10</v>
      </c>
      <c r="K2" s="1" t="s">
        <v>11</v>
      </c>
      <c r="L2" s="1" t="s">
        <v>12</v>
      </c>
      <c r="M2" s="1" t="s">
        <v>13</v>
      </c>
    </row>
    <row r="3" spans="1:13">
      <c r="A3" s="5" t="s">
        <v>3</v>
      </c>
      <c r="B3" s="5" t="s">
        <v>14</v>
      </c>
      <c r="C3" s="6" t="s">
        <v>15</v>
      </c>
      <c r="D3" s="7"/>
      <c r="E3" s="8" t="s">
        <v>16</v>
      </c>
      <c r="F3" s="8" t="s">
        <v>17</v>
      </c>
      <c r="G3" s="8" t="s">
        <v>18</v>
      </c>
      <c r="H3" s="9" t="s">
        <v>19</v>
      </c>
      <c r="I3" s="8" t="s">
        <v>20</v>
      </c>
      <c r="J3" s="8" t="s">
        <v>21</v>
      </c>
      <c r="K3" s="8" t="s">
        <v>22</v>
      </c>
      <c r="L3" s="8" t="s">
        <v>23</v>
      </c>
      <c r="M3" s="8" t="s">
        <v>24</v>
      </c>
    </row>
    <row r="4" spans="1:13">
      <c r="A4" s="5" t="s">
        <v>4</v>
      </c>
      <c r="B4" s="5" t="s">
        <v>25</v>
      </c>
      <c r="C4" s="6" t="s">
        <v>26</v>
      </c>
      <c r="D4" s="7"/>
      <c r="E4" s="8" t="s">
        <v>27</v>
      </c>
      <c r="F4" s="8" t="s">
        <v>28</v>
      </c>
      <c r="G4" s="8" t="s">
        <v>29</v>
      </c>
      <c r="H4" s="9" t="s">
        <v>30</v>
      </c>
      <c r="I4" s="8" t="s">
        <v>31</v>
      </c>
      <c r="J4" s="8" t="s">
        <v>32</v>
      </c>
      <c r="K4" s="8"/>
      <c r="L4" s="8"/>
      <c r="M4" s="8"/>
    </row>
    <row r="5" spans="1:13">
      <c r="A5" s="5"/>
      <c r="B5" s="5"/>
      <c r="C5" s="6" t="s">
        <v>33</v>
      </c>
      <c r="D5" s="7"/>
      <c r="E5" s="8" t="s">
        <v>34</v>
      </c>
      <c r="F5" s="8" t="s">
        <v>35</v>
      </c>
      <c r="G5" s="8" t="s">
        <v>36</v>
      </c>
      <c r="H5" s="8"/>
      <c r="I5" s="8" t="s">
        <v>37</v>
      </c>
      <c r="J5" s="8"/>
      <c r="K5" s="8"/>
      <c r="L5" s="8"/>
      <c r="M5" s="8"/>
    </row>
    <row r="6" spans="1:13">
      <c r="A6" s="5"/>
      <c r="B6" s="5"/>
      <c r="C6" s="6" t="s">
        <v>38</v>
      </c>
      <c r="D6" s="7"/>
      <c r="E6" s="8" t="s">
        <v>39</v>
      </c>
      <c r="F6" s="8" t="s">
        <v>40</v>
      </c>
      <c r="G6" s="8" t="s">
        <v>41</v>
      </c>
      <c r="H6" s="8"/>
      <c r="I6" s="8" t="s">
        <v>42</v>
      </c>
      <c r="J6" s="8"/>
      <c r="K6" s="8"/>
      <c r="L6" s="8"/>
      <c r="M6" s="8"/>
    </row>
    <row r="7" spans="1:13">
      <c r="A7" s="5"/>
      <c r="B7" s="5"/>
      <c r="C7" s="6" t="s">
        <v>43</v>
      </c>
      <c r="D7" s="7"/>
      <c r="E7" s="8" t="s">
        <v>44</v>
      </c>
      <c r="F7" s="8" t="s">
        <v>45</v>
      </c>
      <c r="G7" s="8" t="s">
        <v>46</v>
      </c>
      <c r="H7" s="8"/>
      <c r="I7" s="8" t="s">
        <v>47</v>
      </c>
      <c r="J7" s="8"/>
      <c r="K7" s="8"/>
      <c r="L7" s="8"/>
      <c r="M7" s="8"/>
    </row>
    <row r="8" spans="1:13">
      <c r="A8" s="5"/>
      <c r="B8" s="5"/>
      <c r="C8" s="6" t="s">
        <v>48</v>
      </c>
      <c r="D8" s="7"/>
      <c r="E8" s="8" t="s">
        <v>11</v>
      </c>
      <c r="F8" s="8" t="s">
        <v>49</v>
      </c>
      <c r="G8" s="8"/>
      <c r="H8" s="8"/>
      <c r="I8" s="8" t="s">
        <v>50</v>
      </c>
      <c r="J8" s="8"/>
      <c r="K8" s="8"/>
      <c r="L8" s="8"/>
      <c r="M8" s="8"/>
    </row>
    <row r="9" spans="1:13">
      <c r="A9" s="5"/>
      <c r="B9" s="5"/>
      <c r="C9" s="6" t="s">
        <v>51</v>
      </c>
      <c r="D9" s="7"/>
      <c r="E9" s="8" t="s">
        <v>52</v>
      </c>
      <c r="F9" s="8" t="s">
        <v>53</v>
      </c>
      <c r="G9" s="8"/>
      <c r="H9" s="8"/>
      <c r="I9" s="8"/>
      <c r="J9" s="8"/>
      <c r="K9" s="8"/>
      <c r="L9" s="8"/>
      <c r="M9" s="8"/>
    </row>
    <row r="10" spans="1:13" ht="25.5">
      <c r="A10" s="5"/>
      <c r="B10" s="5"/>
      <c r="C10" s="6" t="s">
        <v>54</v>
      </c>
      <c r="D10" s="7"/>
      <c r="E10" s="8" t="s">
        <v>55</v>
      </c>
      <c r="F10" s="8" t="s">
        <v>56</v>
      </c>
      <c r="G10" s="8"/>
      <c r="H10" s="8"/>
      <c r="I10" s="8"/>
      <c r="J10" s="8"/>
      <c r="K10" s="8"/>
      <c r="L10" s="8"/>
      <c r="M10" s="8"/>
    </row>
    <row r="11" spans="1:13">
      <c r="A11" s="5"/>
      <c r="B11" s="5"/>
      <c r="C11" s="6" t="s">
        <v>57</v>
      </c>
      <c r="D11" s="7"/>
      <c r="E11" s="8"/>
      <c r="F11" s="8" t="s">
        <v>58</v>
      </c>
      <c r="G11" s="8"/>
      <c r="H11" s="8"/>
      <c r="I11" s="8"/>
      <c r="J11" s="8"/>
      <c r="K11" s="8"/>
      <c r="L11" s="8"/>
      <c r="M11" s="8"/>
    </row>
    <row r="12" spans="1:13">
      <c r="A12" s="5"/>
      <c r="B12" s="5"/>
      <c r="C12" s="6" t="s">
        <v>59</v>
      </c>
      <c r="D12" s="7"/>
      <c r="E12" s="8"/>
      <c r="F12" s="8" t="s">
        <v>60</v>
      </c>
      <c r="G12" s="8"/>
      <c r="H12" s="8"/>
      <c r="I12" s="8"/>
      <c r="J12" s="8"/>
      <c r="K12" s="8"/>
      <c r="L12" s="8"/>
      <c r="M12" s="8"/>
    </row>
    <row r="13" spans="1:13">
      <c r="A13" s="5"/>
      <c r="B13" s="5"/>
      <c r="C13" s="6" t="s">
        <v>61</v>
      </c>
      <c r="D13" s="7"/>
      <c r="E13" s="8"/>
      <c r="F13" s="8" t="s">
        <v>62</v>
      </c>
      <c r="G13" s="8"/>
      <c r="H13" s="8"/>
      <c r="I13" s="8"/>
      <c r="J13" s="8"/>
      <c r="K13" s="8"/>
      <c r="L13" s="8"/>
      <c r="M13" s="8"/>
    </row>
    <row r="14" spans="1:13">
      <c r="A14" s="5"/>
      <c r="B14" s="5"/>
      <c r="C14" s="6" t="s">
        <v>63</v>
      </c>
      <c r="D14" s="7"/>
      <c r="E14" s="8"/>
      <c r="F14" s="8" t="s">
        <v>64</v>
      </c>
      <c r="G14" s="8"/>
      <c r="H14" s="8"/>
      <c r="I14" s="8"/>
      <c r="J14" s="8"/>
      <c r="K14" s="8"/>
      <c r="L14" s="8"/>
      <c r="M14" s="8"/>
    </row>
    <row r="15" spans="1:13">
      <c r="A15" s="5"/>
      <c r="B15" s="5"/>
      <c r="C15" s="6"/>
      <c r="D15" s="7"/>
      <c r="E15" s="8"/>
      <c r="F15" s="8" t="s">
        <v>65</v>
      </c>
      <c r="G15" s="8"/>
      <c r="H15" s="8"/>
      <c r="I15" s="8"/>
      <c r="J15" s="8"/>
      <c r="K15" s="8"/>
      <c r="L15" s="8"/>
      <c r="M15" s="8"/>
    </row>
    <row r="16" spans="1:13">
      <c r="A16" s="5"/>
      <c r="B16" s="5"/>
      <c r="C16" s="6"/>
      <c r="D16" s="7"/>
      <c r="E16" s="8"/>
      <c r="F16" s="8" t="s">
        <v>66</v>
      </c>
      <c r="G16" s="8"/>
      <c r="H16" s="8"/>
      <c r="I16" s="8"/>
      <c r="J16" s="8"/>
      <c r="K16" s="8"/>
      <c r="L16" s="8"/>
      <c r="M16" s="8"/>
    </row>
    <row r="17" spans="1:13">
      <c r="A17" s="5"/>
      <c r="B17" s="5"/>
      <c r="C17" s="6"/>
      <c r="D17" s="7"/>
      <c r="E17" s="8"/>
      <c r="F17" s="8" t="s">
        <v>67</v>
      </c>
      <c r="G17" s="8"/>
      <c r="H17" s="8"/>
      <c r="I17" s="8"/>
      <c r="J17" s="8"/>
      <c r="K17" s="8"/>
      <c r="L17" s="8"/>
      <c r="M17" s="8"/>
    </row>
    <row r="18" spans="1:13">
      <c r="A18" s="5"/>
      <c r="B18" s="5"/>
      <c r="C18" s="6"/>
      <c r="D18" s="7"/>
      <c r="E18" s="8"/>
      <c r="F18" s="8" t="s">
        <v>68</v>
      </c>
      <c r="G18" s="8"/>
      <c r="H18" s="8"/>
      <c r="I18" s="8"/>
      <c r="J18" s="8"/>
      <c r="K18" s="8"/>
      <c r="L18" s="8"/>
      <c r="M18" s="8"/>
    </row>
    <row r="19" spans="1:13">
      <c r="A19" s="5"/>
      <c r="B19" s="5"/>
      <c r="C19" s="6"/>
      <c r="D19" s="7"/>
      <c r="E19" s="8"/>
      <c r="F19" s="8" t="s">
        <v>69</v>
      </c>
      <c r="G19" s="8"/>
      <c r="H19" s="8"/>
      <c r="I19" s="8"/>
      <c r="J19" s="8"/>
      <c r="K19" s="8"/>
      <c r="L19" s="8"/>
      <c r="M19" s="8"/>
    </row>
    <row r="20" spans="1:13">
      <c r="A20" s="5"/>
      <c r="B20" s="5"/>
      <c r="C20" s="6"/>
      <c r="D20" s="7"/>
      <c r="E20" s="8"/>
      <c r="F20" s="8" t="s">
        <v>70</v>
      </c>
      <c r="G20" s="8"/>
      <c r="H20" s="8"/>
      <c r="I20" s="8"/>
      <c r="J20" s="8"/>
      <c r="K20" s="8"/>
      <c r="L20" s="8"/>
      <c r="M20" s="8"/>
    </row>
    <row r="21" spans="1:13">
      <c r="A21" s="5"/>
      <c r="B21" s="5"/>
      <c r="C21" s="6"/>
      <c r="D21" s="7"/>
      <c r="E21" s="8"/>
      <c r="F21" s="8" t="s">
        <v>71</v>
      </c>
      <c r="G21" s="8"/>
      <c r="H21" s="8"/>
      <c r="I21" s="8"/>
      <c r="J21" s="8"/>
      <c r="K21" s="8"/>
      <c r="L21" s="8"/>
      <c r="M21" s="8"/>
    </row>
    <row r="22" spans="1:13">
      <c r="A22" s="5"/>
      <c r="B22" s="5"/>
      <c r="C22" s="6"/>
      <c r="D22" s="7"/>
      <c r="E22" s="8"/>
      <c r="F22" s="8" t="s">
        <v>72</v>
      </c>
      <c r="G22" s="8"/>
      <c r="H22" s="8"/>
      <c r="I22" s="8"/>
      <c r="J22" s="8"/>
      <c r="K22" s="8"/>
      <c r="L22" s="8"/>
      <c r="M22" s="8"/>
    </row>
    <row r="23" spans="1:13">
      <c r="A23" s="5"/>
      <c r="B23" s="5"/>
      <c r="C23" s="6"/>
      <c r="D23" s="7"/>
      <c r="E23" s="8"/>
      <c r="F23" s="8" t="s">
        <v>73</v>
      </c>
      <c r="G23" s="8"/>
      <c r="H23" s="8"/>
      <c r="I23" s="8"/>
      <c r="J23" s="8"/>
      <c r="K23" s="8"/>
      <c r="L23" s="8"/>
      <c r="M23" s="8"/>
    </row>
    <row r="24" spans="1:13">
      <c r="A24" s="5"/>
      <c r="B24" s="5"/>
      <c r="C24" s="6"/>
      <c r="D24" s="7"/>
      <c r="E24" s="8"/>
      <c r="F24" s="8" t="s">
        <v>74</v>
      </c>
      <c r="G24" s="8"/>
      <c r="H24" s="8"/>
      <c r="I24" s="8"/>
      <c r="J24" s="8"/>
      <c r="K24" s="8"/>
      <c r="L24" s="8"/>
      <c r="M24" s="8"/>
    </row>
    <row r="25" spans="1:13">
      <c r="A25" s="5"/>
      <c r="B25" s="5"/>
      <c r="C25" s="6"/>
      <c r="D25" s="7"/>
      <c r="E25" s="8"/>
      <c r="F25" s="8" t="s">
        <v>75</v>
      </c>
      <c r="G25" s="8"/>
      <c r="H25" s="8"/>
      <c r="I25" s="8"/>
      <c r="J25" s="8"/>
      <c r="K25" s="8"/>
      <c r="L25" s="8"/>
      <c r="M25" s="8"/>
    </row>
    <row r="26" spans="1:13">
      <c r="A26" s="5"/>
      <c r="B26" s="5"/>
      <c r="C26" s="6"/>
      <c r="D26" s="7"/>
      <c r="E26" s="8"/>
      <c r="F26" s="8" t="s">
        <v>76</v>
      </c>
      <c r="G26" s="8"/>
      <c r="H26" s="8"/>
      <c r="I26" s="8"/>
      <c r="J26" s="8"/>
      <c r="K26" s="8"/>
      <c r="L26" s="8"/>
      <c r="M26" s="8"/>
    </row>
    <row r="27" spans="1:13">
      <c r="A27" s="5"/>
      <c r="B27" s="5"/>
      <c r="C27" s="6"/>
      <c r="D27" s="7"/>
      <c r="E27" s="8"/>
      <c r="F27" s="8" t="s">
        <v>77</v>
      </c>
      <c r="G27" s="8"/>
      <c r="H27" s="8"/>
      <c r="I27" s="8"/>
      <c r="J27" s="8"/>
      <c r="K27" s="8"/>
      <c r="L27" s="8"/>
      <c r="M27" s="8"/>
    </row>
    <row r="28" spans="1:13">
      <c r="A28" s="5"/>
      <c r="B28" s="5"/>
      <c r="C28" s="6"/>
      <c r="D28" s="7"/>
      <c r="E28" s="8"/>
      <c r="F28" s="8" t="s">
        <v>78</v>
      </c>
      <c r="G28" s="8"/>
      <c r="H28" s="8"/>
      <c r="I28" s="8"/>
      <c r="J28" s="8"/>
      <c r="K28" s="8"/>
      <c r="L28" s="8"/>
      <c r="M28" s="8"/>
    </row>
    <row r="29" spans="1:13">
      <c r="A29" s="5"/>
      <c r="B29" s="5"/>
      <c r="C29" s="6"/>
      <c r="D29" s="7"/>
      <c r="E29" s="8"/>
      <c r="F29" s="8" t="s">
        <v>79</v>
      </c>
      <c r="G29" s="8"/>
      <c r="H29" s="8"/>
      <c r="I29" s="8"/>
      <c r="J29" s="8"/>
      <c r="K29" s="8"/>
      <c r="L29" s="8"/>
      <c r="M29" s="8"/>
    </row>
    <row r="30" spans="1:13">
      <c r="A30" s="5"/>
      <c r="B30" s="5"/>
      <c r="C30" s="6"/>
      <c r="D30" s="7"/>
      <c r="E30" s="8"/>
      <c r="F30" s="8" t="s">
        <v>80</v>
      </c>
      <c r="G30" s="8"/>
      <c r="H30" s="8"/>
      <c r="I30" s="8"/>
      <c r="J30" s="8"/>
      <c r="K30" s="8"/>
      <c r="L30" s="8"/>
      <c r="M30" s="8"/>
    </row>
    <row r="31" spans="1:13">
      <c r="A31" s="5"/>
      <c r="B31" s="5"/>
      <c r="C31" s="6"/>
      <c r="D31" s="7"/>
      <c r="E31" s="8"/>
      <c r="F31" s="8" t="s">
        <v>81</v>
      </c>
      <c r="G31" s="8"/>
      <c r="H31" s="8"/>
      <c r="I31" s="8"/>
      <c r="J31" s="8"/>
      <c r="K31" s="8"/>
      <c r="L31" s="8"/>
      <c r="M31" s="8"/>
    </row>
    <row r="32" spans="1:13">
      <c r="A32" s="5"/>
      <c r="B32" s="5"/>
      <c r="C32" s="6"/>
      <c r="D32" s="7"/>
      <c r="E32" s="8"/>
      <c r="F32" s="8" t="s">
        <v>82</v>
      </c>
      <c r="G32" s="8"/>
      <c r="H32" s="8"/>
      <c r="I32" s="8"/>
      <c r="J32" s="8"/>
      <c r="K32" s="8"/>
      <c r="L32" s="8"/>
      <c r="M32" s="8"/>
    </row>
    <row r="33" spans="1:13">
      <c r="A33" s="5"/>
      <c r="B33" s="5"/>
      <c r="C33" s="6"/>
      <c r="D33" s="7"/>
      <c r="E33" s="8"/>
      <c r="F33" s="8" t="s">
        <v>83</v>
      </c>
      <c r="G33" s="8"/>
      <c r="H33" s="8"/>
      <c r="I33" s="8"/>
      <c r="J33" s="8"/>
      <c r="K33" s="8"/>
      <c r="L33" s="8"/>
      <c r="M33" s="8"/>
    </row>
    <row r="34" spans="1:13">
      <c r="A34" s="5"/>
      <c r="B34" s="5"/>
      <c r="C34" s="6"/>
      <c r="D34" s="7"/>
      <c r="E34" s="8"/>
      <c r="F34" s="8" t="s">
        <v>84</v>
      </c>
      <c r="G34" s="8"/>
      <c r="H34" s="8"/>
      <c r="I34" s="8"/>
      <c r="J34" s="8"/>
      <c r="K34" s="8"/>
      <c r="L34" s="8"/>
      <c r="M34" s="8"/>
    </row>
    <row r="35" spans="1:13">
      <c r="A35" s="5"/>
      <c r="B35" s="5"/>
      <c r="C35" s="6"/>
      <c r="D35" s="7"/>
      <c r="E35" s="8"/>
      <c r="F35" s="8" t="s">
        <v>85</v>
      </c>
      <c r="G35" s="8"/>
      <c r="H35" s="8"/>
      <c r="I35" s="8"/>
      <c r="J35" s="8"/>
      <c r="K35" s="8"/>
      <c r="L35" s="8"/>
      <c r="M35" s="8"/>
    </row>
    <row r="36" spans="1:13">
      <c r="A36" s="5"/>
      <c r="B36" s="5"/>
      <c r="C36" s="6"/>
      <c r="D36" s="7"/>
      <c r="E36" s="8"/>
      <c r="F36" s="8" t="s">
        <v>86</v>
      </c>
      <c r="G36" s="8"/>
      <c r="H36" s="8"/>
      <c r="I36" s="8"/>
      <c r="J36" s="8"/>
      <c r="K36" s="8"/>
      <c r="L36" s="8"/>
      <c r="M36" s="8"/>
    </row>
    <row r="37" spans="1:13">
      <c r="A37" s="5"/>
      <c r="B37" s="5"/>
      <c r="C37" s="6"/>
      <c r="D37" s="7"/>
      <c r="E37" s="8"/>
      <c r="F37" s="8" t="s">
        <v>87</v>
      </c>
      <c r="G37" s="8"/>
      <c r="H37" s="8"/>
      <c r="I37" s="8"/>
      <c r="J37" s="8"/>
      <c r="K37" s="8"/>
      <c r="L37" s="8"/>
      <c r="M37" s="8"/>
    </row>
    <row r="38" spans="1:13">
      <c r="A38" s="5"/>
      <c r="B38" s="5"/>
      <c r="C38" s="6"/>
      <c r="D38" s="7"/>
      <c r="E38" s="8"/>
      <c r="F38" s="8" t="s">
        <v>88</v>
      </c>
      <c r="G38" s="8"/>
      <c r="H38" s="8"/>
      <c r="I38" s="8"/>
      <c r="J38" s="8"/>
      <c r="K38" s="8"/>
      <c r="L38" s="8"/>
      <c r="M38" s="8"/>
    </row>
    <row r="39" spans="1:13">
      <c r="A39" s="5"/>
      <c r="B39" s="5"/>
      <c r="C39" s="6"/>
      <c r="D39" s="7"/>
      <c r="E39" s="8"/>
      <c r="F39" s="8" t="s">
        <v>89</v>
      </c>
      <c r="G39" s="8"/>
      <c r="H39" s="8"/>
      <c r="I39" s="8"/>
      <c r="J39" s="8"/>
      <c r="K39" s="8"/>
      <c r="L39" s="8"/>
      <c r="M39" s="8"/>
    </row>
    <row r="40" spans="1:13">
      <c r="A40" s="5"/>
      <c r="B40" s="5"/>
      <c r="C40" s="6"/>
      <c r="D40" s="7"/>
      <c r="E40" s="8"/>
      <c r="F40" s="8" t="s">
        <v>90</v>
      </c>
      <c r="G40" s="8"/>
      <c r="H40" s="8"/>
      <c r="I40" s="8"/>
      <c r="J40" s="8"/>
      <c r="K40" s="8"/>
      <c r="L40" s="8"/>
      <c r="M40" s="8"/>
    </row>
    <row r="41" spans="1:13">
      <c r="A41" s="5"/>
      <c r="B41" s="5"/>
      <c r="C41" s="6"/>
      <c r="D41" s="7"/>
      <c r="E41" s="8"/>
      <c r="F41" s="8" t="s">
        <v>91</v>
      </c>
      <c r="G41" s="8"/>
      <c r="H41" s="8"/>
      <c r="I41" s="8"/>
      <c r="J41" s="8"/>
      <c r="K41" s="8"/>
      <c r="L41" s="8"/>
      <c r="M41" s="8"/>
    </row>
    <row r="42" spans="1:13">
      <c r="A42" s="5"/>
      <c r="B42" s="5"/>
      <c r="C42" s="6"/>
      <c r="D42" s="7"/>
      <c r="E42" s="8"/>
      <c r="F42" s="8" t="s">
        <v>92</v>
      </c>
      <c r="G42" s="8"/>
      <c r="H42" s="8"/>
      <c r="I42" s="8"/>
      <c r="J42" s="8"/>
      <c r="K42" s="8"/>
      <c r="L42" s="8"/>
      <c r="M42" s="8"/>
    </row>
    <row r="43" spans="1:13">
      <c r="A43" s="5"/>
      <c r="B43" s="5"/>
      <c r="C43" s="6"/>
      <c r="D43" s="7"/>
      <c r="E43" s="8"/>
      <c r="F43" s="8" t="s">
        <v>93</v>
      </c>
      <c r="G43" s="8"/>
      <c r="H43" s="8"/>
      <c r="I43" s="8"/>
      <c r="J43" s="8"/>
      <c r="K43" s="8"/>
      <c r="L43" s="8"/>
      <c r="M43" s="8"/>
    </row>
    <row r="44" spans="1:13">
      <c r="A44" s="5"/>
      <c r="B44" s="5"/>
      <c r="C44" s="6"/>
      <c r="D44" s="7"/>
      <c r="E44" s="8"/>
      <c r="F44" s="8" t="s">
        <v>94</v>
      </c>
      <c r="G44" s="8"/>
      <c r="H44" s="8"/>
      <c r="I44" s="8"/>
      <c r="J44" s="8"/>
      <c r="K44" s="8"/>
      <c r="L44" s="8"/>
      <c r="M44" s="8"/>
    </row>
    <row r="45" spans="1:13">
      <c r="A45" s="5"/>
      <c r="B45" s="5"/>
      <c r="C45" s="6"/>
      <c r="D45" s="7"/>
      <c r="E45" s="8"/>
      <c r="F45" s="8" t="s">
        <v>95</v>
      </c>
      <c r="G45" s="8"/>
      <c r="H45" s="8"/>
      <c r="I45" s="8"/>
      <c r="J45" s="8"/>
      <c r="K45" s="8"/>
      <c r="L45" s="8"/>
      <c r="M45" s="8"/>
    </row>
    <row r="46" spans="1:13">
      <c r="A46" s="5"/>
      <c r="B46" s="5"/>
      <c r="C46" s="6"/>
      <c r="D46" s="7"/>
      <c r="E46" s="8"/>
      <c r="F46" s="8" t="s">
        <v>96</v>
      </c>
      <c r="G46" s="8"/>
      <c r="H46" s="8"/>
      <c r="I46" s="8"/>
      <c r="J46" s="8"/>
      <c r="K46" s="8"/>
      <c r="L46" s="8"/>
      <c r="M46" s="8"/>
    </row>
    <row r="47" spans="1:13">
      <c r="A47" s="5"/>
      <c r="B47" s="5"/>
      <c r="C47" s="6"/>
      <c r="D47" s="7"/>
      <c r="E47" s="8"/>
      <c r="F47" s="8" t="s">
        <v>97</v>
      </c>
      <c r="G47" s="8"/>
      <c r="H47" s="8"/>
      <c r="I47" s="8"/>
      <c r="J47" s="8"/>
      <c r="K47" s="8"/>
      <c r="L47" s="8"/>
      <c r="M47" s="8"/>
    </row>
    <row r="48" spans="1:13">
      <c r="A48" s="5"/>
      <c r="B48" s="5"/>
      <c r="C48" s="6"/>
      <c r="D48" s="7"/>
      <c r="E48" s="8"/>
      <c r="F48" s="8" t="s">
        <v>98</v>
      </c>
      <c r="G48" s="8"/>
      <c r="H48" s="8"/>
      <c r="I48" s="8"/>
      <c r="J48" s="8"/>
      <c r="K48" s="8"/>
      <c r="L48" s="8"/>
      <c r="M48" s="8"/>
    </row>
    <row r="49" spans="1:13">
      <c r="A49" s="5"/>
      <c r="B49" s="5"/>
      <c r="C49" s="6"/>
      <c r="D49" s="7"/>
      <c r="E49" s="8"/>
      <c r="F49" s="8" t="s">
        <v>99</v>
      </c>
      <c r="G49" s="8"/>
      <c r="H49" s="8"/>
      <c r="I49" s="8"/>
      <c r="J49" s="8"/>
      <c r="K49" s="8"/>
      <c r="L49" s="8"/>
      <c r="M49" s="8"/>
    </row>
    <row r="50" spans="1:13">
      <c r="A50" s="5"/>
      <c r="B50" s="5"/>
      <c r="C50" s="6"/>
      <c r="D50" s="7"/>
      <c r="E50" s="8"/>
      <c r="F50" s="8" t="s">
        <v>100</v>
      </c>
      <c r="G50" s="8"/>
      <c r="H50" s="8"/>
      <c r="I50" s="8"/>
      <c r="J50" s="8"/>
      <c r="K50" s="8"/>
      <c r="L50" s="8"/>
      <c r="M50" s="8"/>
    </row>
    <row r="51" spans="1:13">
      <c r="A51" s="5"/>
      <c r="B51" s="5"/>
      <c r="C51" s="6"/>
      <c r="D51" s="7"/>
      <c r="E51" s="8"/>
      <c r="F51" s="8" t="s">
        <v>101</v>
      </c>
      <c r="G51" s="8"/>
      <c r="H51" s="8"/>
      <c r="I51" s="8"/>
      <c r="J51" s="8"/>
      <c r="K51" s="8"/>
      <c r="L51" s="8"/>
      <c r="M51" s="8"/>
    </row>
    <row r="52" spans="1:13">
      <c r="A52" s="5"/>
      <c r="B52" s="5"/>
      <c r="C52" s="6"/>
      <c r="D52" s="7"/>
      <c r="E52" s="8"/>
      <c r="F52" s="8" t="s">
        <v>102</v>
      </c>
      <c r="G52" s="8"/>
      <c r="H52" s="8"/>
      <c r="I52" s="8"/>
      <c r="J52" s="8"/>
      <c r="K52" s="8"/>
      <c r="L52" s="8"/>
      <c r="M52" s="8"/>
    </row>
    <row r="53" spans="1:13">
      <c r="A53" s="5"/>
      <c r="B53" s="5"/>
      <c r="C53" s="6"/>
      <c r="D53" s="7"/>
      <c r="E53" s="8"/>
      <c r="F53" s="8" t="s">
        <v>103</v>
      </c>
      <c r="G53" s="8"/>
      <c r="H53" s="8"/>
      <c r="I53" s="8"/>
      <c r="J53" s="8"/>
      <c r="K53" s="8"/>
      <c r="L53" s="8"/>
      <c r="M53" s="8"/>
    </row>
    <row r="54" spans="1:13">
      <c r="A54" s="5"/>
      <c r="B54" s="5"/>
      <c r="C54" s="6"/>
      <c r="D54" s="7"/>
      <c r="E54" s="8"/>
      <c r="F54" s="8" t="s">
        <v>104</v>
      </c>
      <c r="G54" s="8"/>
      <c r="H54" s="8"/>
      <c r="I54" s="8"/>
      <c r="J54" s="8"/>
      <c r="K54" s="8"/>
      <c r="L54" s="8"/>
      <c r="M54" s="8"/>
    </row>
    <row r="55" spans="1:13">
      <c r="A55" s="5"/>
      <c r="B55" s="5"/>
      <c r="C55" s="6"/>
      <c r="D55" s="7"/>
      <c r="E55" s="8"/>
      <c r="F55" s="8" t="s">
        <v>105</v>
      </c>
      <c r="G55" s="8"/>
      <c r="H55" s="8"/>
      <c r="I55" s="8"/>
      <c r="J55" s="8"/>
      <c r="K55" s="8"/>
      <c r="L55" s="8"/>
      <c r="M55" s="8"/>
    </row>
    <row r="56" spans="1:13">
      <c r="A56" s="5"/>
      <c r="B56" s="5"/>
      <c r="C56" s="6"/>
      <c r="D56" s="7"/>
      <c r="E56" s="8"/>
      <c r="F56" s="8" t="s">
        <v>106</v>
      </c>
      <c r="G56" s="8"/>
      <c r="H56" s="8"/>
      <c r="I56" s="8"/>
      <c r="J56" s="8"/>
      <c r="K56" s="8"/>
      <c r="L56" s="8"/>
      <c r="M56" s="8"/>
    </row>
    <row r="57" spans="1:13">
      <c r="A57" s="5"/>
      <c r="B57" s="5"/>
      <c r="C57" s="6"/>
      <c r="D57" s="7"/>
      <c r="E57" s="8"/>
      <c r="F57" s="8" t="s">
        <v>107</v>
      </c>
      <c r="G57" s="8"/>
      <c r="H57" s="8"/>
      <c r="I57" s="8"/>
      <c r="J57" s="8"/>
      <c r="K57" s="8"/>
      <c r="L57" s="8"/>
      <c r="M57" s="8"/>
    </row>
    <row r="58" spans="1:13">
      <c r="A58" s="5"/>
      <c r="B58" s="5"/>
      <c r="C58" s="6"/>
      <c r="D58" s="7"/>
      <c r="E58" s="8"/>
      <c r="F58" s="8" t="s">
        <v>108</v>
      </c>
      <c r="G58" s="8"/>
      <c r="H58" s="8"/>
      <c r="I58" s="8"/>
      <c r="J58" s="8"/>
      <c r="K58" s="8"/>
      <c r="L58" s="8"/>
      <c r="M58" s="8"/>
    </row>
    <row r="59" spans="1:13">
      <c r="A59" s="5"/>
      <c r="B59" s="5"/>
      <c r="C59" s="6"/>
      <c r="D59" s="7"/>
      <c r="E59" s="8"/>
      <c r="F59" s="8" t="s">
        <v>109</v>
      </c>
      <c r="G59" s="8"/>
      <c r="H59" s="8"/>
      <c r="I59" s="8"/>
      <c r="J59" s="8"/>
      <c r="K59" s="8"/>
      <c r="L59" s="8"/>
      <c r="M59" s="8"/>
    </row>
    <row r="60" spans="1:13">
      <c r="A60" s="5"/>
      <c r="B60" s="5"/>
      <c r="C60" s="6"/>
      <c r="D60" s="7"/>
      <c r="E60" s="8"/>
      <c r="F60" s="8" t="s">
        <v>110</v>
      </c>
      <c r="G60" s="8"/>
      <c r="H60" s="8"/>
      <c r="I60" s="8"/>
      <c r="J60" s="8"/>
      <c r="K60" s="8"/>
      <c r="L60" s="8"/>
      <c r="M60" s="8"/>
    </row>
    <row r="61" spans="1:13">
      <c r="A61" s="5"/>
      <c r="B61" s="5"/>
      <c r="C61" s="6"/>
      <c r="D61" s="7"/>
      <c r="E61" s="8"/>
      <c r="F61" s="8" t="s">
        <v>111</v>
      </c>
      <c r="G61" s="8"/>
      <c r="H61" s="8"/>
      <c r="I61" s="8"/>
      <c r="J61" s="8"/>
      <c r="K61" s="8"/>
      <c r="L61" s="8"/>
      <c r="M61" s="8"/>
    </row>
    <row r="62" spans="1:13">
      <c r="A62" s="5"/>
      <c r="B62" s="5"/>
      <c r="C62" s="6"/>
      <c r="D62" s="7"/>
      <c r="E62" s="8"/>
      <c r="F62" s="8" t="s">
        <v>112</v>
      </c>
      <c r="G62" s="8"/>
      <c r="H62" s="8"/>
      <c r="I62" s="8"/>
      <c r="J62" s="8"/>
      <c r="K62" s="8"/>
      <c r="L62" s="8"/>
      <c r="M62" s="8"/>
    </row>
    <row r="63" spans="1:13">
      <c r="A63" s="5"/>
      <c r="B63" s="5"/>
      <c r="C63" s="6"/>
      <c r="D63" s="7"/>
      <c r="E63" s="8"/>
      <c r="F63" s="8" t="s">
        <v>113</v>
      </c>
      <c r="G63" s="8"/>
      <c r="H63" s="8"/>
      <c r="I63" s="8"/>
      <c r="J63" s="8"/>
      <c r="K63" s="8"/>
      <c r="L63" s="8"/>
      <c r="M63" s="8"/>
    </row>
    <row r="64" spans="1:13">
      <c r="A64" s="5"/>
      <c r="B64" s="5"/>
      <c r="C64" s="6"/>
      <c r="D64" s="7"/>
      <c r="E64" s="8"/>
      <c r="F64" s="8" t="s">
        <v>114</v>
      </c>
      <c r="G64" s="8"/>
      <c r="H64" s="8"/>
      <c r="I64" s="8"/>
      <c r="J64" s="8"/>
      <c r="K64" s="8"/>
      <c r="L64" s="8"/>
      <c r="M64" s="8"/>
    </row>
    <row r="65" spans="1:13">
      <c r="A65" s="5"/>
      <c r="B65" s="5"/>
      <c r="C65" s="6"/>
      <c r="D65" s="7"/>
      <c r="E65" s="8"/>
      <c r="F65" s="8" t="s">
        <v>115</v>
      </c>
      <c r="G65" s="8"/>
      <c r="H65" s="8"/>
      <c r="I65" s="8"/>
      <c r="J65" s="8"/>
      <c r="K65" s="8"/>
      <c r="L65" s="8"/>
      <c r="M65" s="8"/>
    </row>
    <row r="66" spans="1:13">
      <c r="A66" s="5"/>
      <c r="B66" s="5"/>
      <c r="C66" s="6"/>
      <c r="D66" s="7"/>
      <c r="E66" s="8"/>
      <c r="F66" s="8" t="s">
        <v>116</v>
      </c>
      <c r="G66" s="8"/>
      <c r="H66" s="8"/>
      <c r="I66" s="8"/>
      <c r="J66" s="8"/>
      <c r="K66" s="8"/>
      <c r="L66" s="8"/>
      <c r="M66" s="8"/>
    </row>
    <row r="67" spans="1:13">
      <c r="A67" s="5"/>
      <c r="B67" s="5"/>
      <c r="C67" s="6"/>
      <c r="D67" s="7"/>
      <c r="E67" s="8"/>
      <c r="F67" s="8" t="s">
        <v>117</v>
      </c>
      <c r="G67" s="8"/>
      <c r="H67" s="8"/>
      <c r="I67" s="8"/>
      <c r="J67" s="8"/>
      <c r="K67" s="8"/>
      <c r="L67" s="8"/>
      <c r="M67" s="8"/>
    </row>
    <row r="68" spans="1:13">
      <c r="A68" s="5"/>
      <c r="B68" s="5"/>
      <c r="C68" s="6"/>
      <c r="D68" s="7"/>
      <c r="E68" s="8"/>
      <c r="F68" s="8" t="s">
        <v>118</v>
      </c>
      <c r="G68" s="8"/>
      <c r="H68" s="8"/>
      <c r="I68" s="8"/>
      <c r="J68" s="8"/>
      <c r="K68" s="8"/>
      <c r="L68" s="8"/>
      <c r="M68" s="8"/>
    </row>
    <row r="69" spans="1:13">
      <c r="A69" s="5"/>
      <c r="B69" s="5"/>
      <c r="C69" s="6"/>
      <c r="D69" s="7"/>
      <c r="E69" s="8"/>
      <c r="F69" s="8" t="s">
        <v>119</v>
      </c>
      <c r="G69" s="8"/>
      <c r="H69" s="8"/>
      <c r="I69" s="8"/>
      <c r="J69" s="8"/>
      <c r="K69" s="8"/>
      <c r="L69" s="8"/>
      <c r="M69" s="8"/>
    </row>
    <row r="70" spans="1:13">
      <c r="A70" s="5"/>
      <c r="B70" s="5"/>
      <c r="C70" s="6"/>
      <c r="D70" s="7"/>
      <c r="E70" s="8"/>
      <c r="F70" s="8" t="s">
        <v>120</v>
      </c>
      <c r="G70" s="8"/>
      <c r="H70" s="8"/>
      <c r="I70" s="8"/>
      <c r="J70" s="8"/>
      <c r="K70" s="8"/>
      <c r="L70" s="8"/>
      <c r="M70" s="8"/>
    </row>
    <row r="71" spans="1:13">
      <c r="A71" s="5"/>
      <c r="B71" s="5"/>
      <c r="C71" s="6"/>
      <c r="D71" s="7"/>
      <c r="E71" s="8"/>
      <c r="F71" s="8" t="s">
        <v>121</v>
      </c>
      <c r="G71" s="8"/>
      <c r="H71" s="8"/>
      <c r="I71" s="8"/>
      <c r="J71" s="8"/>
      <c r="K71" s="8"/>
      <c r="L71" s="8"/>
      <c r="M71" s="8"/>
    </row>
    <row r="72" spans="1:13">
      <c r="A72" s="5"/>
      <c r="B72" s="5"/>
      <c r="C72" s="6"/>
      <c r="D72" s="7"/>
      <c r="E72" s="8"/>
      <c r="F72" s="8" t="s">
        <v>122</v>
      </c>
      <c r="G72" s="8"/>
      <c r="H72" s="8"/>
      <c r="I72" s="8"/>
      <c r="J72" s="8"/>
      <c r="K72" s="8"/>
      <c r="L72" s="8"/>
      <c r="M72" s="8"/>
    </row>
    <row r="73" spans="1:13">
      <c r="A73" s="5"/>
      <c r="B73" s="5"/>
      <c r="C73" s="6"/>
      <c r="D73" s="7"/>
      <c r="E73" s="8"/>
      <c r="F73" s="8" t="s">
        <v>123</v>
      </c>
      <c r="G73" s="8"/>
      <c r="H73" s="8"/>
      <c r="I73" s="8"/>
      <c r="J73" s="8"/>
      <c r="K73" s="8"/>
      <c r="L73" s="8"/>
      <c r="M73" s="8"/>
    </row>
    <row r="74" spans="1:13">
      <c r="A74" s="5"/>
      <c r="B74" s="5"/>
      <c r="C74" s="6"/>
      <c r="D74" s="7"/>
      <c r="E74" s="8"/>
      <c r="F74" s="8" t="s">
        <v>124</v>
      </c>
      <c r="G74" s="8"/>
      <c r="H74" s="8"/>
      <c r="I74" s="8"/>
      <c r="J74" s="8"/>
      <c r="K74" s="8"/>
      <c r="L74" s="8"/>
      <c r="M74" s="8"/>
    </row>
    <row r="75" spans="1:13">
      <c r="A75" s="5"/>
      <c r="B75" s="5"/>
      <c r="C75" s="6"/>
      <c r="D75" s="7"/>
      <c r="E75" s="8"/>
      <c r="F75" s="8" t="s">
        <v>125</v>
      </c>
      <c r="G75" s="8"/>
      <c r="H75" s="8"/>
      <c r="I75" s="8"/>
      <c r="J75" s="8"/>
      <c r="K75" s="8"/>
      <c r="L75" s="8"/>
      <c r="M75" s="8"/>
    </row>
    <row r="76" spans="1:13">
      <c r="A76" s="5"/>
      <c r="B76" s="5"/>
      <c r="C76" s="6"/>
      <c r="D76" s="7"/>
      <c r="E76" s="8"/>
      <c r="F76" s="8" t="s">
        <v>126</v>
      </c>
      <c r="G76" s="8"/>
      <c r="H76" s="8"/>
      <c r="I76" s="8"/>
      <c r="J76" s="8"/>
      <c r="K76" s="8"/>
      <c r="L76" s="8"/>
      <c r="M76" s="8"/>
    </row>
    <row r="77" spans="1:13">
      <c r="A77" s="5"/>
      <c r="B77" s="5"/>
      <c r="C77" s="6"/>
      <c r="D77" s="7"/>
      <c r="E77" s="8"/>
      <c r="F77" s="8" t="s">
        <v>127</v>
      </c>
      <c r="G77" s="8"/>
      <c r="H77" s="8"/>
      <c r="I77" s="8"/>
      <c r="J77" s="8"/>
      <c r="K77" s="8"/>
      <c r="L77" s="8"/>
      <c r="M77" s="8"/>
    </row>
    <row r="78" spans="1:13">
      <c r="A78" s="5"/>
      <c r="B78" s="5"/>
      <c r="C78" s="6"/>
      <c r="D78" s="7"/>
      <c r="E78" s="8"/>
      <c r="F78" s="8" t="s">
        <v>128</v>
      </c>
      <c r="G78" s="8"/>
      <c r="H78" s="8"/>
      <c r="I78" s="8"/>
      <c r="J78" s="8"/>
      <c r="K78" s="8"/>
      <c r="L78" s="8"/>
      <c r="M78" s="8"/>
    </row>
    <row r="79" spans="1:13">
      <c r="A79" s="5"/>
      <c r="B79" s="5"/>
      <c r="C79" s="6"/>
      <c r="D79" s="7"/>
      <c r="E79" s="8"/>
      <c r="F79" s="8" t="s">
        <v>129</v>
      </c>
      <c r="G79" s="8"/>
      <c r="H79" s="8"/>
      <c r="I79" s="8"/>
      <c r="J79" s="8"/>
      <c r="K79" s="8"/>
      <c r="L79" s="8"/>
      <c r="M79" s="8"/>
    </row>
    <row r="80" spans="1:13">
      <c r="A80" s="5"/>
      <c r="B80" s="5"/>
      <c r="C80" s="6"/>
      <c r="D80" s="7"/>
      <c r="E80" s="8"/>
      <c r="F80" s="8" t="s">
        <v>130</v>
      </c>
      <c r="G80" s="8"/>
      <c r="H80" s="8"/>
      <c r="I80" s="8"/>
      <c r="J80" s="8"/>
      <c r="K80" s="8"/>
      <c r="L80" s="8"/>
      <c r="M80" s="8"/>
    </row>
    <row r="81" spans="1:13">
      <c r="A81" s="5"/>
      <c r="B81" s="5"/>
      <c r="C81" s="6"/>
      <c r="D81" s="7"/>
      <c r="E81" s="8"/>
      <c r="F81" s="8" t="s">
        <v>131</v>
      </c>
      <c r="G81" s="8"/>
      <c r="H81" s="8"/>
      <c r="I81" s="8"/>
      <c r="J81" s="8"/>
      <c r="K81" s="8"/>
      <c r="L81" s="8"/>
      <c r="M81" s="8"/>
    </row>
    <row r="82" spans="1:13">
      <c r="A82" s="5"/>
      <c r="B82" s="5"/>
      <c r="C82" s="6"/>
      <c r="D82" s="7"/>
      <c r="E82" s="8"/>
      <c r="F82" s="8" t="s">
        <v>132</v>
      </c>
      <c r="G82" s="8"/>
      <c r="H82" s="8"/>
      <c r="I82" s="8"/>
      <c r="J82" s="8"/>
      <c r="K82" s="8"/>
      <c r="L82" s="8"/>
      <c r="M82" s="8"/>
    </row>
    <row r="83" spans="1:13">
      <c r="A83" s="5"/>
      <c r="B83" s="5"/>
      <c r="C83" s="6"/>
      <c r="D83" s="7"/>
      <c r="E83" s="8"/>
      <c r="F83" s="8" t="s">
        <v>133</v>
      </c>
      <c r="G83" s="8"/>
      <c r="H83" s="8"/>
      <c r="I83" s="8"/>
      <c r="J83" s="8"/>
      <c r="K83" s="8"/>
      <c r="L83" s="8"/>
      <c r="M83" s="8"/>
    </row>
    <row r="84" spans="1:13">
      <c r="A84" s="5"/>
      <c r="B84" s="5"/>
      <c r="C84" s="6"/>
      <c r="D84" s="7"/>
      <c r="E84" s="8"/>
      <c r="F84" s="8" t="s">
        <v>134</v>
      </c>
      <c r="G84" s="8"/>
      <c r="H84" s="8"/>
      <c r="I84" s="8"/>
      <c r="J84" s="8"/>
      <c r="K84" s="8"/>
      <c r="L84" s="8"/>
      <c r="M84" s="8"/>
    </row>
    <row r="85" spans="1:13">
      <c r="A85" s="5"/>
      <c r="B85" s="5"/>
      <c r="C85" s="6"/>
      <c r="D85" s="7"/>
      <c r="E85" s="8"/>
      <c r="F85" s="8" t="s">
        <v>135</v>
      </c>
      <c r="G85" s="8"/>
      <c r="H85" s="8"/>
      <c r="I85" s="8"/>
      <c r="J85" s="8"/>
      <c r="K85" s="8"/>
      <c r="L85" s="8"/>
      <c r="M85" s="8"/>
    </row>
    <row r="86" spans="1:13">
      <c r="A86" s="5"/>
      <c r="B86" s="5"/>
      <c r="C86" s="6"/>
      <c r="D86" s="7"/>
      <c r="E86" s="8"/>
      <c r="F86" s="8" t="s">
        <v>136</v>
      </c>
      <c r="G86" s="8"/>
      <c r="H86" s="8"/>
      <c r="I86" s="8"/>
      <c r="J86" s="8"/>
      <c r="K86" s="8"/>
      <c r="L86" s="8"/>
      <c r="M86" s="8"/>
    </row>
    <row r="87" spans="1:13">
      <c r="A87" s="5"/>
      <c r="B87" s="5"/>
      <c r="C87" s="6"/>
      <c r="D87" s="7"/>
      <c r="E87" s="8"/>
      <c r="F87" s="8" t="s">
        <v>137</v>
      </c>
      <c r="G87" s="8"/>
      <c r="H87" s="8"/>
      <c r="I87" s="8"/>
      <c r="J87" s="8"/>
      <c r="K87" s="8"/>
      <c r="L87" s="8"/>
      <c r="M87" s="8"/>
    </row>
    <row r="88" spans="1:13">
      <c r="A88" s="5"/>
      <c r="B88" s="5"/>
      <c r="C88" s="6"/>
      <c r="D88" s="7"/>
      <c r="E88" s="8"/>
      <c r="F88" s="8" t="s">
        <v>138</v>
      </c>
      <c r="G88" s="8"/>
      <c r="H88" s="8"/>
      <c r="I88" s="8"/>
      <c r="J88" s="8"/>
      <c r="K88" s="8"/>
      <c r="L88" s="8"/>
      <c r="M88" s="8"/>
    </row>
    <row r="89" spans="1:13">
      <c r="A89" s="5"/>
      <c r="B89" s="5"/>
      <c r="C89" s="6"/>
      <c r="D89" s="7"/>
      <c r="E89" s="8"/>
      <c r="F89" s="8" t="s">
        <v>139</v>
      </c>
      <c r="G89" s="8"/>
      <c r="H89" s="8"/>
      <c r="I89" s="8"/>
      <c r="J89" s="8"/>
      <c r="K89" s="8"/>
      <c r="L89" s="8"/>
      <c r="M89" s="8"/>
    </row>
    <row r="90" spans="1:13">
      <c r="A90" s="5"/>
      <c r="B90" s="5"/>
      <c r="C90" s="6"/>
      <c r="D90" s="7"/>
      <c r="E90" s="8"/>
      <c r="F90" s="8" t="s">
        <v>140</v>
      </c>
      <c r="G90" s="8"/>
      <c r="H90" s="8"/>
      <c r="I90" s="8"/>
      <c r="J90" s="8"/>
      <c r="K90" s="8"/>
      <c r="L90" s="8"/>
      <c r="M90" s="8"/>
    </row>
    <row r="91" spans="1:13">
      <c r="A91" s="5"/>
      <c r="B91" s="5"/>
      <c r="C91" s="6"/>
      <c r="D91" s="7"/>
      <c r="E91" s="8"/>
      <c r="F91" s="8" t="s">
        <v>141</v>
      </c>
      <c r="G91" s="8"/>
      <c r="H91" s="8"/>
      <c r="I91" s="8"/>
      <c r="J91" s="8"/>
      <c r="K91" s="8"/>
      <c r="L91" s="8"/>
      <c r="M91" s="8"/>
    </row>
    <row r="92" spans="1:13">
      <c r="A92" s="5"/>
      <c r="B92" s="5"/>
      <c r="C92" s="6"/>
      <c r="D92" s="7"/>
      <c r="E92" s="8"/>
      <c r="F92" s="8" t="s">
        <v>142</v>
      </c>
      <c r="G92" s="8"/>
      <c r="H92" s="8"/>
      <c r="I92" s="8"/>
      <c r="J92" s="8"/>
      <c r="K92" s="8"/>
      <c r="L92" s="8"/>
      <c r="M92" s="8"/>
    </row>
    <row r="93" spans="1:13">
      <c r="A93" s="5"/>
      <c r="B93" s="5"/>
      <c r="C93" s="6"/>
      <c r="D93" s="7"/>
      <c r="E93" s="8"/>
      <c r="F93" s="8" t="s">
        <v>143</v>
      </c>
      <c r="G93" s="8"/>
      <c r="H93" s="8"/>
      <c r="I93" s="8"/>
      <c r="J93" s="8"/>
      <c r="K93" s="8"/>
      <c r="L93" s="8"/>
      <c r="M93" s="8"/>
    </row>
    <row r="94" spans="1:13">
      <c r="A94" s="5"/>
      <c r="B94" s="5"/>
      <c r="C94" s="6"/>
      <c r="D94" s="7"/>
      <c r="E94" s="8"/>
      <c r="F94" s="8" t="s">
        <v>144</v>
      </c>
      <c r="G94" s="8"/>
      <c r="H94" s="8"/>
      <c r="I94" s="8"/>
      <c r="J94" s="8"/>
      <c r="K94" s="8"/>
      <c r="L94" s="8"/>
      <c r="M94" s="8"/>
    </row>
    <row r="95" spans="1:13">
      <c r="A95" s="5"/>
      <c r="B95" s="5"/>
      <c r="C95" s="6"/>
      <c r="D95" s="7"/>
      <c r="E95" s="8"/>
      <c r="F95" s="8" t="s">
        <v>145</v>
      </c>
      <c r="G95" s="8"/>
      <c r="H95" s="8"/>
      <c r="I95" s="8"/>
      <c r="J95" s="8"/>
      <c r="K95" s="8"/>
      <c r="L95" s="8"/>
      <c r="M95" s="8"/>
    </row>
    <row r="96" spans="1:13">
      <c r="A96" s="5"/>
      <c r="B96" s="5"/>
      <c r="C96" s="6"/>
      <c r="D96" s="7"/>
      <c r="E96" s="8"/>
      <c r="F96" s="8" t="s">
        <v>146</v>
      </c>
      <c r="G96" s="8"/>
      <c r="H96" s="8"/>
      <c r="I96" s="8"/>
      <c r="J96" s="8"/>
      <c r="K96" s="8"/>
      <c r="L96" s="8"/>
      <c r="M96"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B2BA1-27B0-40EF-8AFB-74D881A467F2}">
  <dimension ref="A2:D12"/>
  <sheetViews>
    <sheetView workbookViewId="0">
      <selection activeCell="C8" sqref="C8"/>
    </sheetView>
  </sheetViews>
  <sheetFormatPr defaultRowHeight="15"/>
  <cols>
    <col min="2" max="2" width="18.140625" bestFit="1" customWidth="1"/>
    <col min="3" max="3" width="23.7109375" bestFit="1" customWidth="1"/>
    <col min="4" max="4" width="23.5703125" customWidth="1"/>
  </cols>
  <sheetData>
    <row r="2" spans="1:4">
      <c r="A2" s="188" t="s">
        <v>147</v>
      </c>
      <c r="B2" s="188" t="s">
        <v>148</v>
      </c>
      <c r="C2" s="188" t="s">
        <v>149</v>
      </c>
      <c r="D2" s="188" t="s">
        <v>150</v>
      </c>
    </row>
    <row r="3" spans="1:4">
      <c r="A3" s="189" t="s">
        <v>151</v>
      </c>
      <c r="B3" s="190">
        <v>1430374000000</v>
      </c>
      <c r="C3" s="190">
        <v>2043739436648.9099</v>
      </c>
      <c r="D3" s="190"/>
    </row>
    <row r="5" spans="1:4">
      <c r="A5" s="191" t="s">
        <v>152</v>
      </c>
      <c r="B5" s="191" t="s">
        <v>153</v>
      </c>
      <c r="C5" s="191" t="s">
        <v>154</v>
      </c>
      <c r="D5" s="191" t="s">
        <v>155</v>
      </c>
    </row>
    <row r="6" spans="1:4">
      <c r="A6" s="187"/>
      <c r="B6" s="187"/>
      <c r="C6" s="187"/>
      <c r="D6" s="187"/>
    </row>
    <row r="7" spans="1:4">
      <c r="A7" s="187"/>
      <c r="B7" s="187"/>
      <c r="C7" s="187"/>
      <c r="D7" s="187"/>
    </row>
    <row r="8" spans="1:4">
      <c r="A8" s="187"/>
      <c r="B8" s="187"/>
      <c r="C8" s="187"/>
      <c r="D8" s="187"/>
    </row>
    <row r="9" spans="1:4">
      <c r="A9" s="187"/>
      <c r="B9" s="187"/>
      <c r="C9" s="187"/>
      <c r="D9" s="187"/>
    </row>
    <row r="10" spans="1:4">
      <c r="A10" s="187"/>
      <c r="B10" s="187"/>
      <c r="C10" s="187"/>
      <c r="D10" s="187"/>
    </row>
    <row r="11" spans="1:4">
      <c r="A11" s="187"/>
      <c r="B11" s="187"/>
      <c r="C11" s="187"/>
      <c r="D11" s="187"/>
    </row>
    <row r="12" spans="1:4">
      <c r="A12" s="187"/>
      <c r="B12" s="187"/>
      <c r="C12" s="187"/>
      <c r="D12" s="18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ABE67-DB3D-4DD2-96F2-C0A27F0D4402}">
  <sheetPr>
    <tabColor theme="9" tint="0.79998168889431442"/>
  </sheetPr>
  <dimension ref="A1:EE240"/>
  <sheetViews>
    <sheetView tabSelected="1" zoomScale="80" zoomScaleNormal="80" workbookViewId="0">
      <pane xSplit="24" ySplit="11" topLeftCell="AL12" activePane="bottomRight" state="frozen"/>
      <selection pane="bottomRight" activeCell="AD12" sqref="AD12"/>
      <selection pane="bottomLeft" activeCell="A12" sqref="A12"/>
      <selection pane="topRight" activeCell="Y1" sqref="Y1"/>
    </sheetView>
  </sheetViews>
  <sheetFormatPr defaultColWidth="9.140625" defaultRowHeight="15" outlineLevelCol="2"/>
  <cols>
    <col min="1" max="1" width="9.140625" style="15"/>
    <col min="2" max="2" width="8.7109375" style="15" customWidth="1"/>
    <col min="3" max="4" width="22.42578125" style="15" customWidth="1"/>
    <col min="5" max="17" width="22.42578125" style="15" hidden="1" customWidth="1" outlineLevel="1"/>
    <col min="18" max="18" width="22.42578125" style="177" hidden="1" customWidth="1" outlineLevel="1"/>
    <col min="19" max="20" width="22.42578125" style="15" hidden="1" customWidth="1" outlineLevel="1"/>
    <col min="21" max="21" width="22.42578125" style="177" customWidth="1" collapsed="1"/>
    <col min="22" max="22" width="34.5703125" style="15" hidden="1" customWidth="1" outlineLevel="1"/>
    <col min="23" max="23" width="38.42578125" style="15" customWidth="1" collapsed="1"/>
    <col min="24" max="24" width="37.7109375" style="15" customWidth="1"/>
    <col min="25" max="25" width="22.42578125" style="16" customWidth="1" collapsed="1"/>
    <col min="26" max="26" width="22.42578125" style="16" customWidth="1"/>
    <col min="27" max="27" width="22.7109375" style="16" customWidth="1"/>
    <col min="28" max="28" width="22.42578125" style="17" customWidth="1"/>
    <col min="29" max="30" width="22.42578125" style="18" customWidth="1"/>
    <col min="31" max="34" width="22.42578125" style="49" customWidth="1"/>
    <col min="35" max="35" width="30.28515625" style="18" customWidth="1"/>
    <col min="36" max="37" width="30.28515625" style="194" customWidth="1"/>
    <col min="38" max="38" width="30.28515625" style="18" customWidth="1"/>
    <col min="39" max="42" width="22.42578125" style="15" hidden="1" customWidth="1" outlineLevel="2"/>
    <col min="43" max="44" width="22.42578125" style="19" hidden="1" customWidth="1" outlineLevel="2"/>
    <col min="45" max="50" width="22.42578125" style="15" hidden="1" customWidth="1" outlineLevel="2"/>
    <col min="51" max="52" width="22.42578125" style="19" hidden="1" customWidth="1" outlineLevel="2"/>
    <col min="53" max="68" width="22.42578125" style="15" hidden="1" customWidth="1" outlineLevel="2"/>
    <col min="69" max="69" width="1.42578125" style="15" hidden="1" customWidth="1" outlineLevel="2"/>
    <col min="70" max="70" width="22.42578125" style="15" customWidth="1" collapsed="1"/>
    <col min="71" max="71" width="22.42578125" style="15" customWidth="1"/>
    <col min="72" max="74" width="22.42578125" style="19" customWidth="1"/>
    <col min="75" max="85" width="22.42578125" style="49" customWidth="1"/>
    <col min="86" max="86" width="22.42578125" style="15" hidden="1" customWidth="1" outlineLevel="1" collapsed="1"/>
    <col min="87" max="87" width="22.42578125" style="15" hidden="1" customWidth="1" outlineLevel="1"/>
    <col min="88" max="88" width="60.85546875" style="15" hidden="1" customWidth="1" outlineLevel="1"/>
    <col min="89" max="100" width="22.42578125" style="15" hidden="1" customWidth="1" outlineLevel="1"/>
    <col min="101" max="101" width="22.42578125" style="15" customWidth="1" collapsed="1"/>
    <col min="102" max="134" width="22.42578125" style="15" customWidth="1"/>
    <col min="135" max="135" width="9.140625" style="15" customWidth="1"/>
    <col min="136" max="16384" width="9.140625" style="15"/>
  </cols>
  <sheetData>
    <row r="1" spans="1:135">
      <c r="AD1" s="18">
        <f>AF10-AB10</f>
        <v>613365436648.90991</v>
      </c>
      <c r="AE1" s="18"/>
      <c r="AF1" s="18"/>
      <c r="AG1" s="18"/>
      <c r="AH1" s="18"/>
      <c r="BR1" s="20" t="s">
        <v>156</v>
      </c>
      <c r="BS1" s="20" t="s">
        <v>157</v>
      </c>
      <c r="BW1" s="19"/>
      <c r="BX1" s="19"/>
      <c r="BY1" s="19"/>
      <c r="BZ1" s="19"/>
      <c r="CA1" s="19"/>
      <c r="CB1" s="19"/>
      <c r="CC1" s="19"/>
      <c r="CD1" s="19"/>
      <c r="CE1" s="19"/>
      <c r="CF1" s="19"/>
      <c r="CG1" s="19"/>
    </row>
    <row r="2" spans="1:135">
      <c r="AE2" s="18"/>
      <c r="AF2" s="18"/>
      <c r="AG2" s="18"/>
      <c r="AH2" s="18"/>
      <c r="BR2" s="21">
        <f>COUNTIF($BR$9:$BR$206,BR$1)</f>
        <v>60</v>
      </c>
      <c r="BS2" s="22">
        <f>COUNTIF($BR$9:$BR$206,BS$1)</f>
        <v>0</v>
      </c>
      <c r="BW2" s="19"/>
      <c r="BX2" s="19"/>
      <c r="BY2" s="19"/>
      <c r="BZ2" s="19"/>
      <c r="CA2" s="19"/>
      <c r="CB2" s="19"/>
      <c r="CC2" s="19"/>
      <c r="CD2" s="19"/>
      <c r="CE2" s="19"/>
      <c r="CF2" s="19"/>
      <c r="CG2" s="19"/>
    </row>
    <row r="3" spans="1:135">
      <c r="AE3" s="18"/>
      <c r="AF3" s="18"/>
      <c r="AG3" s="97"/>
      <c r="AH3" s="97"/>
      <c r="AI3" s="97"/>
      <c r="AJ3" s="154"/>
      <c r="AK3" s="154"/>
      <c r="AL3" s="97"/>
      <c r="AM3" s="97">
        <v>10742293652</v>
      </c>
      <c r="AN3" s="97" t="s">
        <v>158</v>
      </c>
      <c r="BW3" s="19"/>
      <c r="BX3" s="19"/>
      <c r="BY3" s="19"/>
      <c r="BZ3" s="19"/>
      <c r="CA3" s="19"/>
      <c r="CB3" s="19"/>
      <c r="CC3" s="19"/>
      <c r="CD3" s="19"/>
      <c r="CE3" s="19"/>
      <c r="CF3" s="19"/>
      <c r="CG3" s="19"/>
    </row>
    <row r="4" spans="1:135">
      <c r="AE4" s="18"/>
      <c r="AF4" s="18"/>
      <c r="AG4" s="18"/>
      <c r="AH4" s="18"/>
      <c r="BS4" s="23"/>
      <c r="BW4" s="19"/>
      <c r="BX4" s="19"/>
      <c r="BY4" s="19"/>
      <c r="BZ4" s="19"/>
      <c r="CA4" s="19"/>
      <c r="CB4" s="19"/>
      <c r="CC4" s="19"/>
      <c r="CD4" s="19"/>
      <c r="CE4" s="19"/>
      <c r="CF4" s="19"/>
      <c r="CG4" s="19"/>
    </row>
    <row r="5" spans="1:135">
      <c r="Y5" s="15"/>
      <c r="Z5" s="15"/>
      <c r="AA5" s="15"/>
      <c r="AB5" s="15"/>
      <c r="AC5" s="15"/>
      <c r="AD5" s="15"/>
      <c r="AE5" s="15"/>
      <c r="AF5" s="15"/>
      <c r="AG5" s="15"/>
      <c r="AH5" s="15"/>
      <c r="BS5" s="23">
        <v>100299622894</v>
      </c>
      <c r="BW5" s="19"/>
      <c r="BX5" s="19"/>
      <c r="BY5" s="19"/>
      <c r="BZ5" s="19"/>
      <c r="CA5" s="19"/>
      <c r="CB5" s="19"/>
      <c r="CC5" s="19"/>
      <c r="CD5" s="19"/>
      <c r="CE5" s="19"/>
      <c r="CF5" s="19"/>
      <c r="CG5" s="19"/>
      <c r="DJ5" s="15">
        <v>52583842693</v>
      </c>
    </row>
    <row r="6" spans="1:135" s="25" customFormat="1" ht="14.1" customHeight="1">
      <c r="R6" s="178"/>
      <c r="S6" s="26"/>
      <c r="U6" s="178"/>
      <c r="Z6" s="27" t="s">
        <v>159</v>
      </c>
      <c r="AA6" s="24">
        <f>AB10-AA5</f>
        <v>1430374000000</v>
      </c>
      <c r="AB6" s="28"/>
      <c r="AC6" s="29"/>
      <c r="AD6" s="29"/>
      <c r="AE6" s="29"/>
      <c r="AF6" s="29"/>
      <c r="AG6" s="29"/>
      <c r="AH6" s="29"/>
      <c r="AI6" s="18"/>
      <c r="AJ6" s="194"/>
      <c r="AK6" s="194"/>
      <c r="AL6" s="18"/>
      <c r="BS6" s="25" t="s">
        <v>160</v>
      </c>
      <c r="CH6" s="25" t="s">
        <v>161</v>
      </c>
    </row>
    <row r="7" spans="1:135" s="25" customFormat="1" ht="15" customHeight="1">
      <c r="A7" s="73"/>
      <c r="B7" s="264" t="s">
        <v>162</v>
      </c>
      <c r="C7" s="264" t="s">
        <v>163</v>
      </c>
      <c r="D7" s="264" t="s">
        <v>164</v>
      </c>
      <c r="E7" s="264" t="s">
        <v>165</v>
      </c>
      <c r="F7" s="264" t="s">
        <v>166</v>
      </c>
      <c r="G7" s="264" t="s">
        <v>167</v>
      </c>
      <c r="H7" s="340" t="s">
        <v>168</v>
      </c>
      <c r="I7" s="340"/>
      <c r="J7" s="340"/>
      <c r="K7" s="326" t="s">
        <v>169</v>
      </c>
      <c r="L7" s="327"/>
      <c r="M7" s="327"/>
      <c r="N7" s="328"/>
      <c r="O7" s="341" t="s">
        <v>170</v>
      </c>
      <c r="P7" s="342"/>
      <c r="Q7" s="342"/>
      <c r="R7" s="343"/>
      <c r="S7" s="326" t="s">
        <v>169</v>
      </c>
      <c r="T7" s="327"/>
      <c r="U7" s="327"/>
      <c r="V7" s="327"/>
      <c r="W7" s="328"/>
      <c r="X7" s="75" t="s">
        <v>170</v>
      </c>
      <c r="Y7" s="301" t="s">
        <v>171</v>
      </c>
      <c r="Z7" s="329" t="s">
        <v>172</v>
      </c>
      <c r="AA7" s="330"/>
      <c r="AB7" s="331"/>
      <c r="AC7" s="330"/>
      <c r="AD7" s="332"/>
      <c r="AE7" s="304" t="s">
        <v>173</v>
      </c>
      <c r="AF7" s="305"/>
      <c r="AG7" s="305"/>
      <c r="AH7" s="305"/>
      <c r="AI7" s="306"/>
      <c r="AJ7" s="253" t="s">
        <v>174</v>
      </c>
      <c r="AK7" s="254"/>
      <c r="AL7" s="254"/>
      <c r="AM7" s="307" t="s">
        <v>175</v>
      </c>
      <c r="AN7" s="307"/>
      <c r="AO7" s="307"/>
      <c r="AP7" s="307"/>
      <c r="AQ7" s="307"/>
      <c r="AR7" s="307"/>
      <c r="AS7" s="307"/>
      <c r="AT7" s="307"/>
      <c r="AU7" s="307" t="s">
        <v>176</v>
      </c>
      <c r="AV7" s="307"/>
      <c r="AW7" s="307"/>
      <c r="AX7" s="307"/>
      <c r="AY7" s="307"/>
      <c r="AZ7" s="307"/>
      <c r="BA7" s="307"/>
      <c r="BB7" s="307"/>
      <c r="BC7" s="264" t="s">
        <v>177</v>
      </c>
      <c r="BD7" s="264" t="s">
        <v>178</v>
      </c>
      <c r="BE7" s="266" t="s">
        <v>169</v>
      </c>
      <c r="BF7" s="266"/>
      <c r="BG7" s="266"/>
      <c r="BH7" s="266"/>
      <c r="BI7" s="266"/>
      <c r="BJ7" s="266"/>
      <c r="BK7" s="266"/>
      <c r="BL7" s="266"/>
      <c r="BM7" s="266"/>
      <c r="BN7" s="266"/>
      <c r="BO7" s="266"/>
      <c r="BP7" s="266"/>
      <c r="BQ7" s="266"/>
      <c r="BR7" s="276" t="s">
        <v>179</v>
      </c>
      <c r="BS7" s="277"/>
      <c r="BT7" s="278" t="s">
        <v>180</v>
      </c>
      <c r="BU7" s="279"/>
      <c r="BV7" s="280"/>
      <c r="BW7" s="284" t="s">
        <v>181</v>
      </c>
      <c r="BX7" s="285"/>
      <c r="BY7" s="285"/>
      <c r="BZ7" s="285"/>
      <c r="CA7" s="285"/>
      <c r="CB7" s="285"/>
      <c r="CC7" s="285"/>
      <c r="CD7" s="285"/>
      <c r="CE7" s="285"/>
      <c r="CF7" s="285"/>
      <c r="CG7" s="286"/>
      <c r="CH7" s="321" t="s">
        <v>182</v>
      </c>
      <c r="CI7" s="321"/>
      <c r="CJ7" s="321"/>
      <c r="CK7" s="322" t="s">
        <v>183</v>
      </c>
      <c r="CL7" s="323"/>
      <c r="CM7" s="324"/>
      <c r="CN7" s="325" t="s">
        <v>184</v>
      </c>
      <c r="CO7" s="324"/>
      <c r="CP7" s="315" t="s">
        <v>185</v>
      </c>
      <c r="CQ7" s="315" t="s">
        <v>186</v>
      </c>
      <c r="CR7" s="267" t="s">
        <v>187</v>
      </c>
      <c r="CS7" s="318" t="s">
        <v>188</v>
      </c>
      <c r="CT7" s="267" t="s">
        <v>189</v>
      </c>
      <c r="CU7" s="267" t="s">
        <v>190</v>
      </c>
      <c r="CV7" s="267" t="s">
        <v>191</v>
      </c>
      <c r="CW7" s="267" t="s">
        <v>192</v>
      </c>
      <c r="CX7" s="267" t="s">
        <v>193</v>
      </c>
      <c r="CY7" s="270" t="s">
        <v>194</v>
      </c>
      <c r="CZ7" s="311" t="s">
        <v>195</v>
      </c>
      <c r="DA7" s="312"/>
      <c r="DB7" s="267" t="s">
        <v>196</v>
      </c>
      <c r="DC7" s="267" t="s">
        <v>197</v>
      </c>
      <c r="DD7" s="273" t="s">
        <v>198</v>
      </c>
      <c r="DE7" s="274"/>
      <c r="DF7" s="274"/>
      <c r="DG7" s="274"/>
      <c r="DH7" s="274"/>
      <c r="DI7" s="274"/>
      <c r="DJ7" s="274"/>
      <c r="DK7" s="274"/>
      <c r="DL7" s="274"/>
      <c r="DM7" s="274"/>
      <c r="DN7" s="274"/>
      <c r="DO7" s="274"/>
      <c r="DP7" s="274"/>
      <c r="DQ7" s="275"/>
      <c r="DR7" s="310" t="s">
        <v>199</v>
      </c>
      <c r="DS7" s="310"/>
      <c r="DT7" s="310"/>
      <c r="DU7" s="310"/>
      <c r="DV7" s="310"/>
      <c r="DW7" s="310"/>
      <c r="DX7" s="310"/>
      <c r="DY7" s="310"/>
      <c r="DZ7" s="310"/>
      <c r="EA7" s="310"/>
      <c r="EB7" s="310"/>
      <c r="EC7" s="310"/>
      <c r="ED7" s="310"/>
    </row>
    <row r="8" spans="1:135" s="25" customFormat="1">
      <c r="A8" s="73"/>
      <c r="B8" s="292"/>
      <c r="C8" s="292"/>
      <c r="D8" s="292"/>
      <c r="E8" s="292"/>
      <c r="F8" s="292"/>
      <c r="G8" s="292"/>
      <c r="H8" s="334" t="s">
        <v>200</v>
      </c>
      <c r="I8" s="334" t="s">
        <v>201</v>
      </c>
      <c r="J8" s="334" t="s">
        <v>202</v>
      </c>
      <c r="K8" s="257" t="s">
        <v>203</v>
      </c>
      <c r="L8" s="257" t="s">
        <v>0</v>
      </c>
      <c r="M8" s="257" t="s">
        <v>5</v>
      </c>
      <c r="N8" s="257" t="s">
        <v>153</v>
      </c>
      <c r="O8" s="296" t="s">
        <v>2</v>
      </c>
      <c r="P8" s="296" t="s">
        <v>0</v>
      </c>
      <c r="Q8" s="296" t="s">
        <v>5</v>
      </c>
      <c r="R8" s="296" t="s">
        <v>153</v>
      </c>
      <c r="S8" s="257" t="s">
        <v>204</v>
      </c>
      <c r="T8" s="257" t="s">
        <v>205</v>
      </c>
      <c r="U8" s="257" t="s">
        <v>206</v>
      </c>
      <c r="V8" s="257" t="s">
        <v>207</v>
      </c>
      <c r="W8" s="257" t="s">
        <v>208</v>
      </c>
      <c r="X8" s="296" t="s">
        <v>209</v>
      </c>
      <c r="Y8" s="303"/>
      <c r="Z8" s="301" t="s">
        <v>210</v>
      </c>
      <c r="AA8" s="301" t="s">
        <v>211</v>
      </c>
      <c r="AB8" s="338" t="s">
        <v>212</v>
      </c>
      <c r="AC8" s="293" t="s">
        <v>213</v>
      </c>
      <c r="AD8" s="293" t="s">
        <v>214</v>
      </c>
      <c r="AE8" s="296" t="s">
        <v>215</v>
      </c>
      <c r="AF8" s="296" t="s">
        <v>216</v>
      </c>
      <c r="AG8" s="308" t="s">
        <v>217</v>
      </c>
      <c r="AH8" s="308" t="s">
        <v>218</v>
      </c>
      <c r="AI8" s="298" t="s">
        <v>214</v>
      </c>
      <c r="AJ8" s="255" t="s">
        <v>219</v>
      </c>
      <c r="AK8" s="255" t="s">
        <v>220</v>
      </c>
      <c r="AL8" s="257" t="s">
        <v>155</v>
      </c>
      <c r="AM8" s="301" t="s">
        <v>221</v>
      </c>
      <c r="AN8" s="301" t="s">
        <v>222</v>
      </c>
      <c r="AO8" s="301" t="s">
        <v>223</v>
      </c>
      <c r="AP8" s="301" t="s">
        <v>224</v>
      </c>
      <c r="AQ8" s="301" t="s">
        <v>225</v>
      </c>
      <c r="AR8" s="301" t="s">
        <v>226</v>
      </c>
      <c r="AS8" s="301" t="s">
        <v>227</v>
      </c>
      <c r="AT8" s="301" t="s">
        <v>155</v>
      </c>
      <c r="AU8" s="301" t="s">
        <v>221</v>
      </c>
      <c r="AV8" s="301" t="s">
        <v>222</v>
      </c>
      <c r="AW8" s="301" t="s">
        <v>223</v>
      </c>
      <c r="AX8" s="301" t="s">
        <v>224</v>
      </c>
      <c r="AY8" s="301" t="s">
        <v>225</v>
      </c>
      <c r="AZ8" s="301" t="s">
        <v>226</v>
      </c>
      <c r="BA8" s="301" t="s">
        <v>227</v>
      </c>
      <c r="BB8" s="301" t="s">
        <v>155</v>
      </c>
      <c r="BC8" s="292"/>
      <c r="BD8" s="292"/>
      <c r="BE8" s="266" t="s">
        <v>228</v>
      </c>
      <c r="BF8" s="266" t="s">
        <v>222</v>
      </c>
      <c r="BG8" s="266" t="s">
        <v>229</v>
      </c>
      <c r="BH8" s="266" t="s">
        <v>230</v>
      </c>
      <c r="BI8" s="257" t="s">
        <v>231</v>
      </c>
      <c r="BJ8" s="266" t="s">
        <v>232</v>
      </c>
      <c r="BK8" s="266" t="s">
        <v>233</v>
      </c>
      <c r="BL8" s="266" t="s">
        <v>234</v>
      </c>
      <c r="BM8" s="266" t="s">
        <v>235</v>
      </c>
      <c r="BN8" s="266" t="s">
        <v>236</v>
      </c>
      <c r="BO8" s="266" t="s">
        <v>237</v>
      </c>
      <c r="BP8" s="266" t="s">
        <v>238</v>
      </c>
      <c r="BQ8" s="266" t="s">
        <v>239</v>
      </c>
      <c r="BR8" s="264" t="s">
        <v>240</v>
      </c>
      <c r="BS8" s="290" t="s">
        <v>155</v>
      </c>
      <c r="BT8" s="281"/>
      <c r="BU8" s="282"/>
      <c r="BV8" s="283"/>
      <c r="BW8" s="287"/>
      <c r="BX8" s="288"/>
      <c r="BY8" s="288"/>
      <c r="BZ8" s="288"/>
      <c r="CA8" s="288"/>
      <c r="CB8" s="288"/>
      <c r="CC8" s="288"/>
      <c r="CD8" s="288"/>
      <c r="CE8" s="288"/>
      <c r="CF8" s="288"/>
      <c r="CG8" s="289"/>
      <c r="CH8" s="270" t="s">
        <v>241</v>
      </c>
      <c r="CI8" s="270" t="s">
        <v>242</v>
      </c>
      <c r="CJ8" s="270" t="s">
        <v>243</v>
      </c>
      <c r="CK8" s="267" t="s">
        <v>244</v>
      </c>
      <c r="CL8" s="267" t="s">
        <v>245</v>
      </c>
      <c r="CM8" s="267" t="s">
        <v>246</v>
      </c>
      <c r="CN8" s="267" t="s">
        <v>244</v>
      </c>
      <c r="CO8" s="267" t="s">
        <v>247</v>
      </c>
      <c r="CP8" s="316"/>
      <c r="CQ8" s="316"/>
      <c r="CR8" s="268"/>
      <c r="CS8" s="319"/>
      <c r="CT8" s="268"/>
      <c r="CU8" s="268"/>
      <c r="CV8" s="268"/>
      <c r="CW8" s="268"/>
      <c r="CX8" s="268"/>
      <c r="CY8" s="271"/>
      <c r="CZ8" s="270" t="s">
        <v>248</v>
      </c>
      <c r="DA8" s="270" t="s">
        <v>249</v>
      </c>
      <c r="DB8" s="268"/>
      <c r="DC8" s="268"/>
      <c r="DD8" s="264" t="s">
        <v>250</v>
      </c>
      <c r="DE8" s="264" t="s">
        <v>251</v>
      </c>
      <c r="DF8" s="264" t="s">
        <v>252</v>
      </c>
      <c r="DG8" s="264" t="s">
        <v>253</v>
      </c>
      <c r="DH8" s="264" t="s">
        <v>254</v>
      </c>
      <c r="DI8" s="264" t="s">
        <v>255</v>
      </c>
      <c r="DJ8" s="264" t="s">
        <v>256</v>
      </c>
      <c r="DK8" s="264" t="s">
        <v>257</v>
      </c>
      <c r="DL8" s="264" t="s">
        <v>258</v>
      </c>
      <c r="DM8" s="264" t="s">
        <v>259</v>
      </c>
      <c r="DN8" s="264" t="s">
        <v>260</v>
      </c>
      <c r="DO8" s="264" t="s">
        <v>261</v>
      </c>
      <c r="DP8" s="264" t="s">
        <v>262</v>
      </c>
      <c r="DQ8" s="264" t="s">
        <v>263</v>
      </c>
      <c r="DR8" s="262" t="s">
        <v>250</v>
      </c>
      <c r="DS8" s="262" t="s">
        <v>251</v>
      </c>
      <c r="DT8" s="262" t="s">
        <v>252</v>
      </c>
      <c r="DU8" s="262" t="s">
        <v>253</v>
      </c>
      <c r="DV8" s="262" t="s">
        <v>254</v>
      </c>
      <c r="DW8" s="262" t="s">
        <v>255</v>
      </c>
      <c r="DX8" s="262" t="s">
        <v>256</v>
      </c>
      <c r="DY8" s="262" t="s">
        <v>257</v>
      </c>
      <c r="DZ8" s="262" t="s">
        <v>258</v>
      </c>
      <c r="EA8" s="262" t="s">
        <v>259</v>
      </c>
      <c r="EB8" s="262" t="s">
        <v>260</v>
      </c>
      <c r="EC8" s="262" t="s">
        <v>261</v>
      </c>
      <c r="ED8" s="313" t="s">
        <v>264</v>
      </c>
      <c r="EE8" s="259"/>
    </row>
    <row r="9" spans="1:135" s="25" customFormat="1" ht="40.5">
      <c r="A9" s="73"/>
      <c r="B9" s="292"/>
      <c r="C9" s="292"/>
      <c r="D9" s="292"/>
      <c r="E9" s="292"/>
      <c r="F9" s="292"/>
      <c r="G9" s="292"/>
      <c r="H9" s="335"/>
      <c r="I9" s="335"/>
      <c r="J9" s="335"/>
      <c r="K9" s="337"/>
      <c r="L9" s="337"/>
      <c r="M9" s="337"/>
      <c r="N9" s="337"/>
      <c r="O9" s="297"/>
      <c r="P9" s="297"/>
      <c r="Q9" s="297"/>
      <c r="R9" s="297"/>
      <c r="S9" s="337"/>
      <c r="T9" s="337"/>
      <c r="U9" s="337"/>
      <c r="V9" s="337"/>
      <c r="W9" s="337"/>
      <c r="X9" s="297"/>
      <c r="Y9" s="302"/>
      <c r="Z9" s="302"/>
      <c r="AA9" s="302"/>
      <c r="AB9" s="339"/>
      <c r="AC9" s="294"/>
      <c r="AD9" s="294"/>
      <c r="AE9" s="297"/>
      <c r="AF9" s="297"/>
      <c r="AG9" s="309"/>
      <c r="AH9" s="309"/>
      <c r="AI9" s="299"/>
      <c r="AJ9" s="256"/>
      <c r="AK9" s="256"/>
      <c r="AL9" s="258"/>
      <c r="AM9" s="303"/>
      <c r="AN9" s="303"/>
      <c r="AO9" s="303"/>
      <c r="AP9" s="303"/>
      <c r="AQ9" s="302"/>
      <c r="AR9" s="302"/>
      <c r="AS9" s="303"/>
      <c r="AT9" s="303"/>
      <c r="AU9" s="303"/>
      <c r="AV9" s="303"/>
      <c r="AW9" s="303"/>
      <c r="AX9" s="303"/>
      <c r="AY9" s="302"/>
      <c r="AZ9" s="302">
        <f>SUBTOTAL(9,AZ12:AZ201)</f>
        <v>196049831384.51334</v>
      </c>
      <c r="BA9" s="303"/>
      <c r="BB9" s="303"/>
      <c r="BC9" s="292"/>
      <c r="BD9" s="292"/>
      <c r="BE9" s="266"/>
      <c r="BF9" s="266"/>
      <c r="BG9" s="266"/>
      <c r="BH9" s="266"/>
      <c r="BI9" s="258"/>
      <c r="BJ9" s="266"/>
      <c r="BK9" s="266"/>
      <c r="BL9" s="266"/>
      <c r="BM9" s="266"/>
      <c r="BN9" s="266"/>
      <c r="BO9" s="266"/>
      <c r="BP9" s="266"/>
      <c r="BQ9" s="266"/>
      <c r="BR9" s="292"/>
      <c r="BS9" s="291"/>
      <c r="BT9" s="76" t="s">
        <v>250</v>
      </c>
      <c r="BU9" s="76" t="s">
        <v>251</v>
      </c>
      <c r="BV9" s="76" t="s">
        <v>265</v>
      </c>
      <c r="BW9" s="77" t="s">
        <v>253</v>
      </c>
      <c r="BX9" s="77" t="s">
        <v>254</v>
      </c>
      <c r="BY9" s="77" t="s">
        <v>255</v>
      </c>
      <c r="BZ9" s="77" t="s">
        <v>256</v>
      </c>
      <c r="CA9" s="77" t="s">
        <v>257</v>
      </c>
      <c r="CB9" s="77" t="s">
        <v>258</v>
      </c>
      <c r="CC9" s="77" t="s">
        <v>259</v>
      </c>
      <c r="CD9" s="77" t="s">
        <v>260</v>
      </c>
      <c r="CE9" s="77" t="s">
        <v>261</v>
      </c>
      <c r="CF9" s="77" t="s">
        <v>266</v>
      </c>
      <c r="CG9" s="77" t="s">
        <v>267</v>
      </c>
      <c r="CH9" s="271"/>
      <c r="CI9" s="271"/>
      <c r="CJ9" s="271"/>
      <c r="CK9" s="268"/>
      <c r="CL9" s="268"/>
      <c r="CM9" s="268"/>
      <c r="CN9" s="268"/>
      <c r="CO9" s="268"/>
      <c r="CP9" s="316"/>
      <c r="CQ9" s="316"/>
      <c r="CR9" s="268"/>
      <c r="CS9" s="319"/>
      <c r="CT9" s="268"/>
      <c r="CU9" s="268"/>
      <c r="CV9" s="268"/>
      <c r="CW9" s="268"/>
      <c r="CX9" s="268"/>
      <c r="CY9" s="272"/>
      <c r="CZ9" s="271"/>
      <c r="DA9" s="271"/>
      <c r="DB9" s="268"/>
      <c r="DC9" s="268"/>
      <c r="DD9" s="265"/>
      <c r="DE9" s="265">
        <f t="shared" ref="DE9:DQ9" si="0">SUBTOTAL(9,DE12:DE201)</f>
        <v>56238435640</v>
      </c>
      <c r="DF9" s="265">
        <f t="shared" si="0"/>
        <v>72365968707</v>
      </c>
      <c r="DG9" s="265">
        <f t="shared" si="0"/>
        <v>41487018454</v>
      </c>
      <c r="DH9" s="265">
        <f t="shared" si="0"/>
        <v>71518700000</v>
      </c>
      <c r="DI9" s="265">
        <f t="shared" si="0"/>
        <v>71518700000</v>
      </c>
      <c r="DJ9" s="265">
        <f t="shared" si="0"/>
        <v>406726153540</v>
      </c>
      <c r="DK9" s="265">
        <f t="shared" si="0"/>
        <v>139506401250</v>
      </c>
      <c r="DL9" s="265">
        <f t="shared" si="0"/>
        <v>71518700000</v>
      </c>
      <c r="DM9" s="265">
        <f t="shared" si="0"/>
        <v>71518699999.999985</v>
      </c>
      <c r="DN9" s="265">
        <f t="shared" si="0"/>
        <v>214556100000</v>
      </c>
      <c r="DO9" s="265">
        <f t="shared" si="0"/>
        <v>159054870500</v>
      </c>
      <c r="DP9" s="265">
        <f t="shared" si="0"/>
        <v>1390063488091</v>
      </c>
      <c r="DQ9" s="265">
        <f t="shared" si="0"/>
        <v>847268707</v>
      </c>
      <c r="DR9" s="263"/>
      <c r="DS9" s="263">
        <f t="shared" ref="DS9:ED9" si="1">SUBTOTAL(9,DS12:DS201)</f>
        <v>70542175640</v>
      </c>
      <c r="DT9" s="263">
        <f t="shared" si="1"/>
        <v>142908144347</v>
      </c>
      <c r="DU9" s="263">
        <f t="shared" si="1"/>
        <v>184395162801</v>
      </c>
      <c r="DV9" s="263">
        <f t="shared" si="1"/>
        <v>255913862801</v>
      </c>
      <c r="DW9" s="263">
        <f t="shared" si="1"/>
        <v>327432562801</v>
      </c>
      <c r="DX9" s="263">
        <f t="shared" si="1"/>
        <v>734158716341</v>
      </c>
      <c r="DY9" s="263">
        <f t="shared" si="1"/>
        <v>873665117591</v>
      </c>
      <c r="DZ9" s="263">
        <f t="shared" si="1"/>
        <v>945183817591</v>
      </c>
      <c r="EA9" s="263">
        <f t="shared" si="1"/>
        <v>1016702517591</v>
      </c>
      <c r="EB9" s="263">
        <f t="shared" si="1"/>
        <v>1231258617591</v>
      </c>
      <c r="EC9" s="263">
        <f t="shared" si="1"/>
        <v>1390063488091</v>
      </c>
      <c r="ED9" s="314">
        <f t="shared" si="1"/>
        <v>847268707</v>
      </c>
      <c r="EE9" s="259"/>
    </row>
    <row r="10" spans="1:135" s="25" customFormat="1" ht="15" customHeight="1">
      <c r="A10" s="73"/>
      <c r="B10" s="265"/>
      <c r="C10" s="265"/>
      <c r="D10" s="265"/>
      <c r="E10" s="265"/>
      <c r="F10" s="265"/>
      <c r="G10" s="265"/>
      <c r="H10" s="336"/>
      <c r="I10" s="336"/>
      <c r="J10" s="336"/>
      <c r="K10" s="258"/>
      <c r="L10" s="258"/>
      <c r="M10" s="258"/>
      <c r="N10" s="258"/>
      <c r="O10" s="333"/>
      <c r="P10" s="333"/>
      <c r="Q10" s="333"/>
      <c r="R10" s="333"/>
      <c r="S10" s="258"/>
      <c r="T10" s="258"/>
      <c r="U10" s="258"/>
      <c r="V10" s="258"/>
      <c r="W10" s="258"/>
      <c r="X10" s="333"/>
      <c r="Y10" s="78">
        <f>SUBTOTAL(9,Y12:Y1000)</f>
        <v>9883775181889.8691</v>
      </c>
      <c r="Z10" s="78">
        <f t="shared" ref="Z10:AB10" si="2">SUBTOTAL(9,Z12:Z1000)</f>
        <v>1430374000000</v>
      </c>
      <c r="AA10" s="78">
        <f t="shared" si="2"/>
        <v>0</v>
      </c>
      <c r="AB10" s="78">
        <f t="shared" si="2"/>
        <v>1430374000000</v>
      </c>
      <c r="AC10" s="295"/>
      <c r="AD10" s="295"/>
      <c r="AE10" s="79">
        <f>SUBTOTAL(9,AE12:AE1048576)</f>
        <v>9153299529390.2695</v>
      </c>
      <c r="AF10" s="79">
        <f>SUBTOTAL(9,AF12:AF1048576)</f>
        <v>2043739436648.9099</v>
      </c>
      <c r="AG10" s="79">
        <f>SUBTOTAL(9,AG12:AG1048576)</f>
        <v>277739590622.51331</v>
      </c>
      <c r="AH10" s="79">
        <f>SUBTOTAL(9,AH12:AH1048576)</f>
        <v>1765999846026.3967</v>
      </c>
      <c r="AI10" s="300"/>
      <c r="AJ10" s="79">
        <f>SUBTOTAL(9,AJ12:AJ1048576)</f>
        <v>0</v>
      </c>
      <c r="AK10" s="79">
        <f>SUBTOTAL(9,AK12:AK1048576)</f>
        <v>0</v>
      </c>
      <c r="AL10" s="192" t="s">
        <v>268</v>
      </c>
      <c r="AM10" s="302"/>
      <c r="AN10" s="302"/>
      <c r="AO10" s="302"/>
      <c r="AP10" s="302"/>
      <c r="AQ10" s="80">
        <f>SUBTOTAL(9,AQ12:AQ206)</f>
        <v>0</v>
      </c>
      <c r="AR10" s="80">
        <f>SUBTOTAL(9,AR12:AR206)</f>
        <v>0</v>
      </c>
      <c r="AS10" s="302"/>
      <c r="AT10" s="302"/>
      <c r="AU10" s="302"/>
      <c r="AV10" s="302"/>
      <c r="AW10" s="302"/>
      <c r="AX10" s="302"/>
      <c r="AY10" s="80">
        <f>SUBTOTAL(9,AY12:AY206)</f>
        <v>844831799223.81335</v>
      </c>
      <c r="AZ10" s="80">
        <f>SUBTOTAL(9,AZ12:AZ206)</f>
        <v>196049831384.51334</v>
      </c>
      <c r="BA10" s="302"/>
      <c r="BB10" s="302"/>
      <c r="BC10" s="265"/>
      <c r="BD10" s="265"/>
      <c r="BE10" s="266"/>
      <c r="BF10" s="266"/>
      <c r="BG10" s="266"/>
      <c r="BH10" s="266"/>
      <c r="BI10" s="80">
        <f t="shared" ref="BI10:BQ10" si="3">SUBTOTAL(9,BI12:BI206)</f>
        <v>5688119469738.2998</v>
      </c>
      <c r="BJ10" s="80">
        <f t="shared" si="3"/>
        <v>799408797507.55005</v>
      </c>
      <c r="BK10" s="80">
        <f t="shared" si="3"/>
        <v>689422928353.74988</v>
      </c>
      <c r="BL10" s="80">
        <f t="shared" si="3"/>
        <v>74333077095.410004</v>
      </c>
      <c r="BM10" s="80">
        <f t="shared" si="3"/>
        <v>75613117994.410004</v>
      </c>
      <c r="BN10" s="80">
        <f t="shared" si="3"/>
        <v>64694283397.960007</v>
      </c>
      <c r="BO10" s="80">
        <f t="shared" si="3"/>
        <v>10331705579.299999</v>
      </c>
      <c r="BP10" s="80">
        <f t="shared" si="3"/>
        <v>0</v>
      </c>
      <c r="BQ10" s="80">
        <f t="shared" si="3"/>
        <v>0</v>
      </c>
      <c r="BR10" s="260">
        <v>46113</v>
      </c>
      <c r="BS10" s="261"/>
      <c r="BT10" s="81">
        <f>SUBTOTAL(9,BT12:BT206)</f>
        <v>48504877145</v>
      </c>
      <c r="BU10" s="81">
        <f>SUBTOTAL(9,BU12:BU206)</f>
        <v>25559794494</v>
      </c>
      <c r="BV10" s="81">
        <f>SUBTOTAL(9,BV12:BV206)</f>
        <v>7625087599</v>
      </c>
      <c r="BW10" s="80">
        <f t="shared" ref="BW10:CG10" si="4">SUBTOTAL(9,BW12:BW206)</f>
        <v>15251504748</v>
      </c>
      <c r="BX10" s="80">
        <f t="shared" si="4"/>
        <v>154453693253.005</v>
      </c>
      <c r="BY10" s="80">
        <f t="shared" si="4"/>
        <v>84250310958</v>
      </c>
      <c r="BZ10" s="80">
        <f t="shared" si="4"/>
        <v>40838689149</v>
      </c>
      <c r="CA10" s="80">
        <f t="shared" si="4"/>
        <v>103384802220</v>
      </c>
      <c r="CB10" s="80">
        <f t="shared" si="4"/>
        <v>426806476671.20001</v>
      </c>
      <c r="CC10" s="80">
        <f t="shared" si="4"/>
        <v>473134168277.005</v>
      </c>
      <c r="CD10" s="80">
        <f t="shared" si="4"/>
        <v>283766010634.5</v>
      </c>
      <c r="CE10" s="80">
        <f t="shared" si="4"/>
        <v>392082286604.20001</v>
      </c>
      <c r="CF10" s="80">
        <f t="shared" si="4"/>
        <v>2055657701752.9099</v>
      </c>
      <c r="CG10" s="80">
        <f t="shared" si="4"/>
        <v>11918265104</v>
      </c>
      <c r="CH10" s="272"/>
      <c r="CI10" s="272"/>
      <c r="CJ10" s="272"/>
      <c r="CK10" s="269"/>
      <c r="CL10" s="269"/>
      <c r="CM10" s="269"/>
      <c r="CN10" s="269"/>
      <c r="CO10" s="269"/>
      <c r="CP10" s="317"/>
      <c r="CQ10" s="317"/>
      <c r="CR10" s="269"/>
      <c r="CS10" s="320"/>
      <c r="CT10" s="269"/>
      <c r="CU10" s="269"/>
      <c r="CV10" s="269"/>
      <c r="CW10" s="269"/>
      <c r="CX10" s="269"/>
      <c r="CY10" s="80">
        <f>SUBTOTAL(9,CY12:CY206)</f>
        <v>4766727118847</v>
      </c>
      <c r="CZ10" s="272"/>
      <c r="DA10" s="272"/>
      <c r="DB10" s="269"/>
      <c r="DC10" s="269"/>
      <c r="DD10" s="14">
        <f t="shared" ref="DD10:ED10" si="5">SUBTOTAL(9,DD12:DD206)</f>
        <v>14303740000</v>
      </c>
      <c r="DE10" s="14">
        <f t="shared" si="5"/>
        <v>56238435640</v>
      </c>
      <c r="DF10" s="14">
        <f t="shared" si="5"/>
        <v>72365968707</v>
      </c>
      <c r="DG10" s="14">
        <f t="shared" si="5"/>
        <v>41487018454</v>
      </c>
      <c r="DH10" s="14">
        <f t="shared" si="5"/>
        <v>71518700000</v>
      </c>
      <c r="DI10" s="14">
        <f t="shared" si="5"/>
        <v>71518700000</v>
      </c>
      <c r="DJ10" s="14">
        <f t="shared" si="5"/>
        <v>406726153540</v>
      </c>
      <c r="DK10" s="14">
        <f t="shared" si="5"/>
        <v>139506401250</v>
      </c>
      <c r="DL10" s="14">
        <f t="shared" si="5"/>
        <v>71518700000</v>
      </c>
      <c r="DM10" s="14">
        <f t="shared" si="5"/>
        <v>71518699999.999985</v>
      </c>
      <c r="DN10" s="14">
        <f t="shared" si="5"/>
        <v>214556100000</v>
      </c>
      <c r="DO10" s="14">
        <f t="shared" si="5"/>
        <v>159054870500</v>
      </c>
      <c r="DP10" s="14">
        <f t="shared" si="5"/>
        <v>1390063488091</v>
      </c>
      <c r="DQ10" s="14">
        <f t="shared" si="5"/>
        <v>847268707</v>
      </c>
      <c r="DR10" s="14">
        <f t="shared" si="5"/>
        <v>14303740000</v>
      </c>
      <c r="DS10" s="14">
        <f t="shared" si="5"/>
        <v>70542175640</v>
      </c>
      <c r="DT10" s="14">
        <f t="shared" si="5"/>
        <v>142908144347</v>
      </c>
      <c r="DU10" s="14">
        <f t="shared" si="5"/>
        <v>184395162801</v>
      </c>
      <c r="DV10" s="14">
        <f t="shared" si="5"/>
        <v>255913862801</v>
      </c>
      <c r="DW10" s="14">
        <f t="shared" si="5"/>
        <v>327432562801</v>
      </c>
      <c r="DX10" s="14">
        <f t="shared" si="5"/>
        <v>734158716341</v>
      </c>
      <c r="DY10" s="14">
        <f t="shared" si="5"/>
        <v>873665117591</v>
      </c>
      <c r="DZ10" s="14">
        <f t="shared" si="5"/>
        <v>945183817591</v>
      </c>
      <c r="EA10" s="14">
        <f t="shared" si="5"/>
        <v>1016702517591</v>
      </c>
      <c r="EB10" s="14">
        <f t="shared" si="5"/>
        <v>1231258617591</v>
      </c>
      <c r="EC10" s="14">
        <f t="shared" si="5"/>
        <v>1390063488091</v>
      </c>
      <c r="ED10" s="14">
        <f t="shared" si="5"/>
        <v>847268707</v>
      </c>
    </row>
    <row r="11" spans="1:135" s="25" customFormat="1" ht="21" customHeight="1">
      <c r="A11" s="73"/>
      <c r="B11" s="30" t="str">
        <f>B7</f>
        <v>No.</v>
      </c>
      <c r="C11" s="30" t="str">
        <f>C7</f>
        <v>Parent / Child</v>
      </c>
      <c r="D11" s="30" t="str">
        <f t="shared" ref="D11:G11" si="6">D7</f>
        <v>Planned / Unplanned</v>
      </c>
      <c r="E11" s="30" t="str">
        <f t="shared" si="6"/>
        <v>Nomor Nota Dinas (jika itu Unplanned)</v>
      </c>
      <c r="F11" s="30" t="str">
        <f t="shared" si="6"/>
        <v>Kanpus/ UPA</v>
      </c>
      <c r="G11" s="30" t="str">
        <f t="shared" si="6"/>
        <v>HO/RO</v>
      </c>
      <c r="H11" s="30" t="str">
        <f>H8</f>
        <v>Group*)</v>
      </c>
      <c r="I11" s="30" t="str">
        <f t="shared" ref="I11:J11" si="7">I8</f>
        <v>DEPT*)</v>
      </c>
      <c r="J11" s="30" t="str">
        <f t="shared" si="7"/>
        <v>Tim</v>
      </c>
      <c r="K11" s="30" t="str">
        <f>K8</f>
        <v>Jenis Anggaran
Akhir</v>
      </c>
      <c r="L11" s="30" t="str">
        <f t="shared" ref="L11:R11" si="8">L8</f>
        <v>Nama GL</v>
      </c>
      <c r="M11" s="30" t="str">
        <f t="shared" si="8"/>
        <v>Asset Class</v>
      </c>
      <c r="N11" s="30" t="str">
        <f t="shared" si="8"/>
        <v>ID</v>
      </c>
      <c r="O11" s="30" t="str">
        <f t="shared" si="8"/>
        <v>Jenis Anggaran</v>
      </c>
      <c r="P11" s="30" t="str">
        <f t="shared" si="8"/>
        <v>Nama GL</v>
      </c>
      <c r="Q11" s="30" t="str">
        <f t="shared" si="8"/>
        <v>Asset Class</v>
      </c>
      <c r="R11" s="30" t="str">
        <f t="shared" si="8"/>
        <v>ID</v>
      </c>
      <c r="S11" s="30" t="str">
        <f>S8</f>
        <v>ID RKA TI 2025</v>
      </c>
      <c r="T11" s="30" t="str">
        <f t="shared" ref="T11:X11" si="9">T8</f>
        <v>Kode Nomor
(akan diisi oleh ISG Group)</v>
      </c>
      <c r="U11" s="30" t="str">
        <f t="shared" si="9"/>
        <v>ID RKA TI 2026
(akan diisi oleh ISG Group)</v>
      </c>
      <c r="V11" s="30" t="str">
        <f t="shared" si="9"/>
        <v>Nama Usulan Proyek/Kegiatan Pengadaan*)
(berdasarkan hasil Challenge Session)</v>
      </c>
      <c r="W11" s="30" t="str">
        <f t="shared" si="9"/>
        <v>Nama Usulan Proyek/Kegiatan Pengadaan*)
(Pos Kegiatan pada SK RKA TI 2026)</v>
      </c>
      <c r="X11" s="30" t="str">
        <f t="shared" si="9"/>
        <v>Nama Usulan Proyek/Kegiatan Pengadaan*)
(berdasarkan hasil Challenge Session Revisi)</v>
      </c>
      <c r="Y11" s="31" t="str">
        <f>Y7</f>
        <v>Total Project Cost*)</v>
      </c>
      <c r="Z11" s="31" t="str">
        <f>Z8</f>
        <v>Total Kebutuhan 1 Tahun 
(pada tahun 2026)**)</v>
      </c>
      <c r="AA11" s="31" t="str">
        <f t="shared" ref="AA11:AB11" si="10">AA8</f>
        <v>Nominal Switching</v>
      </c>
      <c r="AB11" s="31" t="str">
        <f t="shared" si="10"/>
        <v>Alokasi Update</v>
      </c>
      <c r="AC11" s="179" t="str">
        <f>AC8</f>
        <v>IP Switching/Link Confluence</v>
      </c>
      <c r="AD11" s="179" t="str">
        <f>AD8</f>
        <v>Keterangan</v>
      </c>
      <c r="AE11" s="95" t="str">
        <f>AE8</f>
        <v>Total Project Cost*)
Revisi
(TANPA DESIMAL)</v>
      </c>
      <c r="AF11" s="32" t="str">
        <f t="shared" ref="AF11:AI11" si="11">AF8</f>
        <v>Total Kebutuhan 1 Tahun (pada tahun 2026) Revisi
(TANPA DESIMAL)</v>
      </c>
      <c r="AG11" s="32" t="str">
        <f>AG8</f>
        <v xml:space="preserve">Nominal Minimum Alokasi (Inisiasi 2024, Inisiasi 2025, Inisiasi 2026, Realisasi) </v>
      </c>
      <c r="AH11" s="32"/>
      <c r="AI11" s="179" t="str">
        <f t="shared" si="11"/>
        <v>Keterangan</v>
      </c>
      <c r="AJ11" s="195" t="s">
        <v>219</v>
      </c>
      <c r="AK11" s="195" t="s">
        <v>220</v>
      </c>
      <c r="AL11" s="193" t="s">
        <v>155</v>
      </c>
      <c r="AM11" s="33" t="str">
        <f>AM8</f>
        <v>Kode Inisasi</v>
      </c>
      <c r="AN11" s="33" t="str">
        <f t="shared" ref="AN11:BB11" si="12">AN8</f>
        <v>Link Inisiasi</v>
      </c>
      <c r="AO11" s="33" t="str">
        <f t="shared" si="12"/>
        <v>Nota Dinas Konfirmasi</v>
      </c>
      <c r="AP11" s="33" t="str">
        <f t="shared" si="12"/>
        <v>Status Pengadaan</v>
      </c>
      <c r="AQ11" s="33" t="str">
        <f t="shared" si="12"/>
        <v>Nominal 2026 
Awal</v>
      </c>
      <c r="AR11" s="33" t="str">
        <f t="shared" si="12"/>
        <v>Nominal 2026 
Update</v>
      </c>
      <c r="AS11" s="33" t="str">
        <f t="shared" si="12"/>
        <v>Sama/Terupdate</v>
      </c>
      <c r="AT11" s="33" t="str">
        <f t="shared" si="12"/>
        <v>Catatan</v>
      </c>
      <c r="AU11" s="33" t="str">
        <f t="shared" si="12"/>
        <v>Kode Inisasi</v>
      </c>
      <c r="AV11" s="33" t="str">
        <f t="shared" si="12"/>
        <v>Link Inisiasi</v>
      </c>
      <c r="AW11" s="33" t="str">
        <f t="shared" si="12"/>
        <v>Nota Dinas Konfirmasi</v>
      </c>
      <c r="AX11" s="33" t="str">
        <f t="shared" si="12"/>
        <v>Status Pengadaan</v>
      </c>
      <c r="AY11" s="33" t="str">
        <f t="shared" si="12"/>
        <v>Nominal 2026 
Awal</v>
      </c>
      <c r="AZ11" s="33" t="str">
        <f t="shared" si="12"/>
        <v>Nominal 2026 
Update</v>
      </c>
      <c r="BA11" s="33" t="str">
        <f t="shared" si="12"/>
        <v>Sama/Terupdate</v>
      </c>
      <c r="BB11" s="33" t="str">
        <f t="shared" si="12"/>
        <v>Catatan</v>
      </c>
      <c r="BC11" s="34" t="str">
        <f>BC7</f>
        <v>Keterangan
(Mohon mencantumkan komponen pengadaan, detail perhitungan alokasi, estimasi termin pembayaran)</v>
      </c>
      <c r="BD11" s="34" t="str">
        <f>BD7</f>
        <v>Catatan Penyesuaian</v>
      </c>
      <c r="BE11" s="34" t="str">
        <f>BE8</f>
        <v>Kode Inisiasi</v>
      </c>
      <c r="BF11" s="34" t="str">
        <f t="shared" ref="BF11:BH11" si="13">BF8</f>
        <v>Link Inisiasi</v>
      </c>
      <c r="BG11" s="34" t="str">
        <f t="shared" si="13"/>
        <v xml:space="preserve">Nama Proyek </v>
      </c>
      <c r="BH11" s="34" t="str">
        <f t="shared" si="13"/>
        <v xml:space="preserve">Status Pengadaan </v>
      </c>
      <c r="BI11" s="34" t="str">
        <f>BI8</f>
        <v>Total Project Cost</v>
      </c>
      <c r="BJ11" s="34" t="str">
        <f t="shared" ref="BJ11:BQ11" si="14">BJ8</f>
        <v>Tahun 2026</v>
      </c>
      <c r="BK11" s="34" t="str">
        <f t="shared" si="14"/>
        <v>Tahun 2027</v>
      </c>
      <c r="BL11" s="34" t="str">
        <f t="shared" si="14"/>
        <v>Tahun 2028</v>
      </c>
      <c r="BM11" s="34" t="str">
        <f t="shared" si="14"/>
        <v>Tahun 2029</v>
      </c>
      <c r="BN11" s="34" t="str">
        <f t="shared" si="14"/>
        <v>Tahun 2030</v>
      </c>
      <c r="BO11" s="34" t="str">
        <f t="shared" si="14"/>
        <v>Tahun 2031</v>
      </c>
      <c r="BP11" s="34" t="str">
        <f t="shared" si="14"/>
        <v>Tahun 2032</v>
      </c>
      <c r="BQ11" s="34" t="str">
        <f t="shared" si="14"/>
        <v>Nominal Update 2026</v>
      </c>
      <c r="BR11" s="34" t="str">
        <f>BR8</f>
        <v>Update Progress Pengadaan</v>
      </c>
      <c r="BS11" s="185" t="str">
        <f>BS8</f>
        <v>Catatan</v>
      </c>
      <c r="BT11" s="35" t="str">
        <f>BT9</f>
        <v>JAN</v>
      </c>
      <c r="BU11" s="35" t="str">
        <f t="shared" ref="BU11:CG11" si="15">BU9</f>
        <v>FEB</v>
      </c>
      <c r="BV11" s="35" t="str">
        <f t="shared" si="15"/>
        <v>MAR</v>
      </c>
      <c r="BW11" s="35" t="str">
        <f t="shared" si="15"/>
        <v>APR</v>
      </c>
      <c r="BX11" s="35" t="str">
        <f t="shared" si="15"/>
        <v>MEI</v>
      </c>
      <c r="BY11" s="35" t="str">
        <f t="shared" si="15"/>
        <v>JUN</v>
      </c>
      <c r="BZ11" s="35" t="str">
        <f t="shared" si="15"/>
        <v>JUL</v>
      </c>
      <c r="CA11" s="35" t="str">
        <f t="shared" si="15"/>
        <v>AGST</v>
      </c>
      <c r="CB11" s="35" t="str">
        <f t="shared" si="15"/>
        <v>SEP</v>
      </c>
      <c r="CC11" s="35" t="str">
        <f t="shared" si="15"/>
        <v>OKT</v>
      </c>
      <c r="CD11" s="35" t="str">
        <f t="shared" si="15"/>
        <v>NOV</v>
      </c>
      <c r="CE11" s="35" t="str">
        <f t="shared" si="15"/>
        <v>DES</v>
      </c>
      <c r="CF11" s="35" t="str">
        <f t="shared" si="15"/>
        <v>TOTAL
(JAN - DES)</v>
      </c>
      <c r="CG11" s="35" t="str">
        <f t="shared" si="15"/>
        <v xml:space="preserve">SELISIH
(TOTAL PROG - ALOKASI PENYESUAIAN) </v>
      </c>
      <c r="CH11" s="33" t="str">
        <f t="shared" ref="CH11:CO11" si="16">CH8</f>
        <v>SI/Non SI-RBB/Non SI-RKF</v>
      </c>
      <c r="CI11" s="33" t="str">
        <f t="shared" si="16"/>
        <v>Apakah terdaftar pada JPS</v>
      </c>
      <c r="CJ11" s="33" t="str">
        <f t="shared" si="16"/>
        <v>Nama Program Kerja</v>
      </c>
      <c r="CK11" s="33" t="str">
        <f t="shared" si="16"/>
        <v>Ya/Tidak</v>
      </c>
      <c r="CL11" s="33" t="str">
        <f t="shared" si="16"/>
        <v>Nama Aplikasi/Service*)</v>
      </c>
      <c r="CM11" s="33" t="str">
        <f t="shared" si="16"/>
        <v>Group Pemilik Aplikasi/Service</v>
      </c>
      <c r="CN11" s="33" t="str">
        <f t="shared" si="16"/>
        <v>Ya/Tidak</v>
      </c>
      <c r="CO11" s="33" t="str">
        <f t="shared" si="16"/>
        <v>Fungsi/ Tim terkait</v>
      </c>
      <c r="CP11" s="36" t="str">
        <f t="shared" ref="CP11:CY11" si="17">CP7</f>
        <v>Mulai Pelaksanaan*)
(mm/yyyy)</v>
      </c>
      <c r="CQ11" s="36" t="str">
        <f t="shared" si="17"/>
        <v>Selesai Pelaksanaan*)
(mm/yyyy)</v>
      </c>
      <c r="CR11" s="33" t="str">
        <f t="shared" si="17"/>
        <v>Kategori Pengadaan</v>
      </c>
      <c r="CS11" s="33" t="str">
        <f t="shared" si="17"/>
        <v>Klasifikasi Pengadaan
Run/ Change/ Transform</v>
      </c>
      <c r="CT11" s="33" t="str">
        <f t="shared" si="17"/>
        <v>Rutin/
Tidak Rutin*)</v>
      </c>
      <c r="CU11" s="33" t="str">
        <f t="shared" si="17"/>
        <v>Baru/
Sisa Bayar/
Perpanjangan</v>
      </c>
      <c r="CV11" s="33" t="str">
        <f t="shared" si="17"/>
        <v>Status Pengadaan Proyek/ Kegiatan Pengadaan</v>
      </c>
      <c r="CW11" s="33" t="str">
        <f t="shared" si="17"/>
        <v>Nomor SPK 
(jika sisa pembayaran atau bersifat rutin/perpanjangan)</v>
      </c>
      <c r="CX11" s="33" t="str">
        <f t="shared" si="17"/>
        <v>Nama SPK
(jika sisa pembayaran atau bersifat rutin/perpanjangan)</v>
      </c>
      <c r="CY11" s="33" t="str">
        <f t="shared" si="17"/>
        <v>Nominal SPK
(jika sisa pembayaran atau bersifat rutin/perpanjangan)</v>
      </c>
      <c r="CZ11" s="30" t="str">
        <f>CZ8</f>
        <v>Mulai</v>
      </c>
      <c r="DA11" s="30" t="str">
        <f>DA8</f>
        <v>Selesai</v>
      </c>
      <c r="DB11" s="30" t="str">
        <f>DB7</f>
        <v>Principle</v>
      </c>
      <c r="DC11" s="30" t="str">
        <f>DC7</f>
        <v>BP</v>
      </c>
      <c r="DD11" s="31" t="str">
        <f t="shared" ref="DD11:DX11" si="18">DD8</f>
        <v>JAN</v>
      </c>
      <c r="DE11" s="31" t="str">
        <f t="shared" si="18"/>
        <v>FEB</v>
      </c>
      <c r="DF11" s="31" t="str">
        <f t="shared" si="18"/>
        <v xml:space="preserve">MAR </v>
      </c>
      <c r="DG11" s="31" t="str">
        <f t="shared" si="18"/>
        <v>APR</v>
      </c>
      <c r="DH11" s="31" t="str">
        <f t="shared" si="18"/>
        <v>MEI</v>
      </c>
      <c r="DI11" s="31" t="str">
        <f t="shared" si="18"/>
        <v>JUN</v>
      </c>
      <c r="DJ11" s="31" t="str">
        <f t="shared" si="18"/>
        <v>JUL</v>
      </c>
      <c r="DK11" s="31" t="str">
        <f t="shared" si="18"/>
        <v>AGST</v>
      </c>
      <c r="DL11" s="31" t="str">
        <f t="shared" si="18"/>
        <v>SEP</v>
      </c>
      <c r="DM11" s="31" t="str">
        <f t="shared" si="18"/>
        <v>OKT</v>
      </c>
      <c r="DN11" s="31" t="str">
        <f t="shared" si="18"/>
        <v>NOV</v>
      </c>
      <c r="DO11" s="31" t="str">
        <f t="shared" si="18"/>
        <v>DES</v>
      </c>
      <c r="DP11" s="31" t="str">
        <f t="shared" si="18"/>
        <v>TOTAL</v>
      </c>
      <c r="DQ11" s="31" t="str">
        <f t="shared" si="18"/>
        <v xml:space="preserve">SELISIH
( EY - AB) </v>
      </c>
      <c r="DR11" s="31" t="str">
        <f t="shared" si="18"/>
        <v>JAN</v>
      </c>
      <c r="DS11" s="31" t="str">
        <f t="shared" si="18"/>
        <v>FEB</v>
      </c>
      <c r="DT11" s="31" t="str">
        <f t="shared" si="18"/>
        <v xml:space="preserve">MAR </v>
      </c>
      <c r="DU11" s="31" t="str">
        <f t="shared" si="18"/>
        <v>APR</v>
      </c>
      <c r="DV11" s="31" t="str">
        <f t="shared" si="18"/>
        <v>MEI</v>
      </c>
      <c r="DW11" s="31" t="str">
        <f t="shared" si="18"/>
        <v>JUN</v>
      </c>
      <c r="DX11" s="31" t="str">
        <f t="shared" si="18"/>
        <v>JUL</v>
      </c>
      <c r="DY11" s="31" t="s">
        <v>257</v>
      </c>
      <c r="DZ11" s="31" t="s">
        <v>258</v>
      </c>
      <c r="EA11" s="31" t="s">
        <v>259</v>
      </c>
      <c r="EB11" s="31" t="s">
        <v>260</v>
      </c>
      <c r="EC11" s="31" t="s">
        <v>261</v>
      </c>
      <c r="ED11" s="31" t="s">
        <v>264</v>
      </c>
    </row>
    <row r="12" spans="1:135" ht="195">
      <c r="B12" s="54"/>
      <c r="C12" s="50" t="s">
        <v>269</v>
      </c>
      <c r="D12" s="50" t="s">
        <v>270</v>
      </c>
      <c r="E12" s="55" t="s">
        <v>271</v>
      </c>
      <c r="F12" s="50" t="s">
        <v>272</v>
      </c>
      <c r="G12" s="50" t="s">
        <v>273</v>
      </c>
      <c r="H12" s="37" t="s">
        <v>151</v>
      </c>
      <c r="I12" s="37" t="s">
        <v>274</v>
      </c>
      <c r="J12" s="37" t="s">
        <v>275</v>
      </c>
      <c r="K12" s="50" t="s">
        <v>3</v>
      </c>
      <c r="L12" s="50" t="s">
        <v>14</v>
      </c>
      <c r="M12" s="50" t="s">
        <v>16</v>
      </c>
      <c r="N12" s="50" t="s">
        <v>276</v>
      </c>
      <c r="O12" s="37" t="s">
        <v>3</v>
      </c>
      <c r="P12" s="37" t="s">
        <v>14</v>
      </c>
      <c r="Q12" s="37" t="s">
        <v>16</v>
      </c>
      <c r="R12" s="37" t="s">
        <v>276</v>
      </c>
      <c r="S12" s="50" t="s">
        <v>277</v>
      </c>
      <c r="T12" s="50">
        <v>159</v>
      </c>
      <c r="U12" s="50" t="s">
        <v>278</v>
      </c>
      <c r="V12" s="56" t="s">
        <v>277</v>
      </c>
      <c r="W12" s="57" t="s">
        <v>279</v>
      </c>
      <c r="X12" s="46" t="s">
        <v>280</v>
      </c>
      <c r="Y12" s="64">
        <v>832858184679</v>
      </c>
      <c r="Z12" s="65">
        <v>0</v>
      </c>
      <c r="AA12" s="65">
        <f>5685047339+13721000000+8819896128+8819896128+8100000000+4435200000+2754380733+2500000000+2000000000+6144800000+472731293+1000000000+1123557207+11703969391+27252154634.8+4140215741+1650000000+22746062830+76378975010+9007246672+1127772176+31046902242+9010288844+500000000+2352000000+14278276761+1500931528+2414577168+5438251638+2310953840+44708186567-17124594064-74328774267</f>
        <v>241689905539.79999</v>
      </c>
      <c r="AB12" s="65">
        <f>Z12+AA12</f>
        <v>241689905539.79999</v>
      </c>
      <c r="AC12" s="66" t="s">
        <v>281</v>
      </c>
      <c r="AD12" s="66" t="s">
        <v>282</v>
      </c>
      <c r="AE12" s="120">
        <v>604224416745</v>
      </c>
      <c r="AF12" s="120">
        <v>241689766698</v>
      </c>
      <c r="AG12" s="121">
        <f>$AR12+$AZ12+$BQ12+$BT12+$BU12+$BV12</f>
        <v>0</v>
      </c>
      <c r="AH12" s="121">
        <f>AF12-AG12</f>
        <v>241689766698</v>
      </c>
      <c r="AI12" s="47" t="s">
        <v>283</v>
      </c>
      <c r="AJ12" s="196"/>
      <c r="AK12" s="196"/>
      <c r="AL12" s="48"/>
      <c r="AM12" s="54"/>
      <c r="AN12" s="54"/>
      <c r="AO12" s="54"/>
      <c r="AP12" s="54"/>
      <c r="AQ12" s="72"/>
      <c r="AR12" s="72"/>
      <c r="AS12" s="54"/>
      <c r="AT12" s="54"/>
      <c r="AU12" s="54"/>
      <c r="AV12" s="54"/>
      <c r="AW12" s="54"/>
      <c r="AX12" s="54"/>
      <c r="AY12" s="72"/>
      <c r="AZ12" s="72"/>
      <c r="BA12" s="54"/>
      <c r="BB12" s="54"/>
      <c r="BC12" s="54"/>
      <c r="BD12" s="54"/>
      <c r="BE12" s="57" t="s">
        <v>284</v>
      </c>
      <c r="BF12" s="57" t="s">
        <v>285</v>
      </c>
      <c r="BG12" s="57" t="s">
        <v>286</v>
      </c>
      <c r="BH12" s="57" t="s">
        <v>287</v>
      </c>
      <c r="BI12" s="54">
        <v>604224416745</v>
      </c>
      <c r="BJ12" s="54">
        <v>241689766698</v>
      </c>
      <c r="BK12" s="54">
        <v>271900987535.25</v>
      </c>
      <c r="BL12" s="54">
        <v>30211220837.25</v>
      </c>
      <c r="BM12" s="54">
        <v>30211220837.25</v>
      </c>
      <c r="BN12" s="54">
        <v>30211220837.25</v>
      </c>
      <c r="BO12" s="54">
        <v>0</v>
      </c>
      <c r="BP12" s="54">
        <v>0</v>
      </c>
      <c r="BQ12" s="54"/>
      <c r="BR12" s="69" t="s">
        <v>156</v>
      </c>
      <c r="BS12" s="69" t="s">
        <v>288</v>
      </c>
      <c r="BT12" s="72">
        <v>0</v>
      </c>
      <c r="BU12" s="72">
        <v>0</v>
      </c>
      <c r="BV12" s="72">
        <v>0</v>
      </c>
      <c r="BW12" s="94">
        <v>0</v>
      </c>
      <c r="BX12" s="94">
        <v>0</v>
      </c>
      <c r="BY12" s="94">
        <v>0</v>
      </c>
      <c r="BZ12" s="94">
        <v>0</v>
      </c>
      <c r="CA12" s="94">
        <v>0</v>
      </c>
      <c r="CB12" s="120">
        <v>241689766698</v>
      </c>
      <c r="CC12" s="119">
        <v>0</v>
      </c>
      <c r="CD12" s="119">
        <v>0</v>
      </c>
      <c r="CE12" s="119">
        <v>0</v>
      </c>
      <c r="CF12" s="64">
        <f>SUM(BT12:CE12)</f>
        <v>241689766698</v>
      </c>
      <c r="CG12" s="64">
        <f>$CF12-$AF12</f>
        <v>0</v>
      </c>
      <c r="CH12" s="87" t="s">
        <v>289</v>
      </c>
      <c r="CI12" s="87" t="s">
        <v>290</v>
      </c>
      <c r="CJ12" s="87" t="s">
        <v>277</v>
      </c>
      <c r="CK12" s="87" t="s">
        <v>291</v>
      </c>
      <c r="CL12" s="87" t="s">
        <v>292</v>
      </c>
      <c r="CM12" s="87" t="s">
        <v>292</v>
      </c>
      <c r="CN12" s="87" t="s">
        <v>290</v>
      </c>
      <c r="CO12" s="87" t="s">
        <v>277</v>
      </c>
      <c r="CP12" s="145">
        <v>46143</v>
      </c>
      <c r="CQ12" s="145">
        <v>47484</v>
      </c>
      <c r="CR12" s="87" t="s">
        <v>293</v>
      </c>
      <c r="CS12" s="87" t="s">
        <v>294</v>
      </c>
      <c r="CT12" s="87" t="s">
        <v>295</v>
      </c>
      <c r="CU12" s="129" t="s">
        <v>296</v>
      </c>
      <c r="CV12" s="91" t="s">
        <v>156</v>
      </c>
      <c r="CW12" s="87" t="s">
        <v>277</v>
      </c>
      <c r="CX12" s="87" t="s">
        <v>277</v>
      </c>
      <c r="CY12" s="87" t="s">
        <v>277</v>
      </c>
      <c r="CZ12" s="87" t="s">
        <v>277</v>
      </c>
      <c r="DA12" s="87" t="s">
        <v>277</v>
      </c>
      <c r="DB12" s="87" t="s">
        <v>277</v>
      </c>
      <c r="DC12" s="87" t="s">
        <v>277</v>
      </c>
      <c r="DD12" s="68">
        <v>0</v>
      </c>
      <c r="DE12" s="68">
        <f>5685047339+5000000000</f>
        <v>10685047339</v>
      </c>
      <c r="DF12" s="68">
        <f>0+472731293+1000000000+1650000000+26126140114+1624947667</f>
        <v>30873819074</v>
      </c>
      <c r="DG12" s="68">
        <f>0+4140215741+6241250000+1500931528+814925355+686006173</f>
        <v>13383328797</v>
      </c>
      <c r="DH12" s="68">
        <f>0+5000000000+6241250000+2854314944</f>
        <v>14095564944</v>
      </c>
      <c r="DI12" s="68">
        <f>0+5429385287</f>
        <v>5429385287</v>
      </c>
      <c r="DJ12" s="68">
        <f>0+27252154634.8+32340949609+31046902242+44708186567-17124594064-74328774267</f>
        <v>43894824721.800003</v>
      </c>
      <c r="DK12" s="68">
        <f>0+22746062830+2414577168+1769011339</f>
        <v>26929651337</v>
      </c>
      <c r="DL12" s="68">
        <f>0+1703969391</f>
        <v>1703969391</v>
      </c>
      <c r="DM12" s="68">
        <f>0+13721000000</f>
        <v>13721000000</v>
      </c>
      <c r="DN12" s="68">
        <f>0+8819896128+8819896128+8100000000+9007246672+1127772176+9010288844+14278276761</f>
        <v>59163376709</v>
      </c>
      <c r="DO12" s="68">
        <f>0+4435200000+2754380733+2500000000+2000000000+6144800000+1123557207+500000000+2352000000</f>
        <v>21809937940</v>
      </c>
      <c r="DP12" s="68">
        <f>SUM(DD12:DO12)</f>
        <v>241689905539.79999</v>
      </c>
      <c r="DQ12" s="72">
        <f>DP12-AB12</f>
        <v>0</v>
      </c>
      <c r="DR12" s="54">
        <f>$DD12</f>
        <v>0</v>
      </c>
      <c r="DS12" s="54">
        <f>DR12+DE12</f>
        <v>10685047339</v>
      </c>
      <c r="DT12" s="54">
        <f>DS12+DF12</f>
        <v>41558866413</v>
      </c>
      <c r="DU12" s="54">
        <f>DT12+DG12</f>
        <v>54942195210</v>
      </c>
      <c r="DV12" s="54">
        <f>DU12+DH12</f>
        <v>69037760154</v>
      </c>
      <c r="DW12" s="54">
        <f>DV12+DI12</f>
        <v>74467145441</v>
      </c>
      <c r="DX12" s="54">
        <f>DW12+DJ12</f>
        <v>118361970162.8</v>
      </c>
      <c r="DY12" s="54">
        <f>DX12+DK12</f>
        <v>145291621499.79999</v>
      </c>
      <c r="DZ12" s="54">
        <f>DY12+DL12</f>
        <v>146995590890.79999</v>
      </c>
      <c r="EA12" s="54">
        <f>DZ12+DM12</f>
        <v>160716590890.79999</v>
      </c>
      <c r="EB12" s="54">
        <f>EA12+DN12</f>
        <v>219879967599.79999</v>
      </c>
      <c r="EC12" s="54">
        <f>EB12+DO12</f>
        <v>241689905539.79999</v>
      </c>
      <c r="ED12" s="54">
        <f>$EC12-$AB12</f>
        <v>0</v>
      </c>
    </row>
    <row r="13" spans="1:135" ht="315">
      <c r="A13" s="74"/>
      <c r="B13" s="50">
        <v>95</v>
      </c>
      <c r="C13" s="50" t="s">
        <v>269</v>
      </c>
      <c r="D13" s="50" t="s">
        <v>297</v>
      </c>
      <c r="E13" s="50"/>
      <c r="F13" s="50" t="s">
        <v>272</v>
      </c>
      <c r="G13" s="50" t="s">
        <v>273</v>
      </c>
      <c r="H13" s="37" t="s">
        <v>151</v>
      </c>
      <c r="I13" s="37" t="s">
        <v>274</v>
      </c>
      <c r="J13" s="37" t="s">
        <v>298</v>
      </c>
      <c r="K13" s="50" t="s">
        <v>3</v>
      </c>
      <c r="L13" s="50" t="s">
        <v>14</v>
      </c>
      <c r="M13" s="50" t="s">
        <v>16</v>
      </c>
      <c r="N13" s="50" t="s">
        <v>276</v>
      </c>
      <c r="O13" s="37" t="s">
        <v>3</v>
      </c>
      <c r="P13" s="37" t="s">
        <v>14</v>
      </c>
      <c r="Q13" s="37" t="s">
        <v>16</v>
      </c>
      <c r="R13" s="37" t="s">
        <v>276</v>
      </c>
      <c r="S13" s="50" t="s">
        <v>299</v>
      </c>
      <c r="T13" s="50" t="s">
        <v>300</v>
      </c>
      <c r="U13" s="50" t="s">
        <v>301</v>
      </c>
      <c r="V13" s="56" t="s">
        <v>302</v>
      </c>
      <c r="W13" s="56" t="s">
        <v>302</v>
      </c>
      <c r="X13" s="38" t="s">
        <v>303</v>
      </c>
      <c r="Y13" s="60">
        <v>638080109412</v>
      </c>
      <c r="Z13" s="60">
        <v>180811864713</v>
      </c>
      <c r="AA13" s="60">
        <f>(-45000000000-45000000000-10299622894)+(18861488034+5793955533)+52583842693</f>
        <v>-23060336634</v>
      </c>
      <c r="AB13" s="60">
        <f>Z13+AA13</f>
        <v>157751528079</v>
      </c>
      <c r="AC13" s="180" t="s">
        <v>304</v>
      </c>
      <c r="AD13" s="181" t="s">
        <v>305</v>
      </c>
      <c r="AE13" s="113">
        <v>638080109412</v>
      </c>
      <c r="AF13" s="113">
        <v>157751528078</v>
      </c>
      <c r="AG13" s="114">
        <f>$AR13+$AZ13+$BQ13+$BT13+$BU13+$BV13</f>
        <v>0</v>
      </c>
      <c r="AH13" s="121">
        <f>AF13-AG13</f>
        <v>157751528078</v>
      </c>
      <c r="AI13" s="214" t="s">
        <v>306</v>
      </c>
      <c r="AJ13" s="197"/>
      <c r="AK13" s="197"/>
      <c r="AL13" s="43"/>
      <c r="AM13" s="68"/>
      <c r="AN13" s="68"/>
      <c r="AO13" s="68"/>
      <c r="AP13" s="68"/>
      <c r="AQ13" s="68">
        <v>0</v>
      </c>
      <c r="AR13" s="68">
        <v>0</v>
      </c>
      <c r="AS13" s="68" t="s">
        <v>307</v>
      </c>
      <c r="AT13" s="68"/>
      <c r="AU13" s="56" t="s">
        <v>308</v>
      </c>
      <c r="AV13" s="56" t="s">
        <v>309</v>
      </c>
      <c r="AW13" s="69" t="s">
        <v>310</v>
      </c>
      <c r="AX13" s="69"/>
      <c r="AY13" s="68">
        <v>180811864714.29999</v>
      </c>
      <c r="AZ13" s="68">
        <v>0</v>
      </c>
      <c r="BA13" s="68" t="s">
        <v>311</v>
      </c>
      <c r="BB13" s="68" t="s">
        <v>312</v>
      </c>
      <c r="BC13" s="69" t="s">
        <v>277</v>
      </c>
      <c r="BD13" s="69" t="s">
        <v>277</v>
      </c>
      <c r="BE13" s="56" t="s">
        <v>313</v>
      </c>
      <c r="BF13" s="56" t="s">
        <v>314</v>
      </c>
      <c r="BG13" s="56" t="s">
        <v>315</v>
      </c>
      <c r="BH13" s="56" t="s">
        <v>316</v>
      </c>
      <c r="BI13" s="69">
        <v>1209450357562.3</v>
      </c>
      <c r="BJ13" s="69">
        <v>78875764039</v>
      </c>
      <c r="BK13" s="69">
        <v>88345869537</v>
      </c>
      <c r="BL13" s="69">
        <v>5512801106.9099998</v>
      </c>
      <c r="BM13" s="69">
        <v>5512801106.9099998</v>
      </c>
      <c r="BN13" s="69">
        <v>5512801106.9099998</v>
      </c>
      <c r="BO13" s="69">
        <v>0</v>
      </c>
      <c r="BP13" s="69">
        <v>0</v>
      </c>
      <c r="BQ13" s="69"/>
      <c r="BR13" s="69" t="s">
        <v>156</v>
      </c>
      <c r="BS13" s="69" t="s">
        <v>317</v>
      </c>
      <c r="BT13" s="68">
        <v>0</v>
      </c>
      <c r="BU13" s="68">
        <v>0</v>
      </c>
      <c r="BV13" s="68">
        <v>0</v>
      </c>
      <c r="BW13" s="94">
        <v>0</v>
      </c>
      <c r="BX13" s="94">
        <v>0</v>
      </c>
      <c r="BY13" s="94">
        <v>0</v>
      </c>
      <c r="BZ13" s="94">
        <v>0</v>
      </c>
      <c r="CA13" s="94">
        <v>0</v>
      </c>
      <c r="CB13" s="109">
        <v>0</v>
      </c>
      <c r="CC13" s="122">
        <v>157751528078</v>
      </c>
      <c r="CD13" s="109">
        <v>0</v>
      </c>
      <c r="CE13" s="109">
        <v>0</v>
      </c>
      <c r="CF13" s="108">
        <f>SUM(BT13:CE13)</f>
        <v>157751528078</v>
      </c>
      <c r="CG13" s="108">
        <f>$CF13-$AF13</f>
        <v>0</v>
      </c>
      <c r="CH13" s="37" t="s">
        <v>318</v>
      </c>
      <c r="CI13" s="37" t="s">
        <v>291</v>
      </c>
      <c r="CJ13" s="37" t="s">
        <v>319</v>
      </c>
      <c r="CK13" s="37" t="s">
        <v>290</v>
      </c>
      <c r="CL13" s="37" t="s">
        <v>320</v>
      </c>
      <c r="CM13" s="37" t="s">
        <v>321</v>
      </c>
      <c r="CN13" s="37" t="s">
        <v>290</v>
      </c>
      <c r="CO13" s="37" t="s">
        <v>277</v>
      </c>
      <c r="CP13" s="41">
        <v>46023</v>
      </c>
      <c r="CQ13" s="41">
        <v>48183</v>
      </c>
      <c r="CR13" s="37" t="s">
        <v>293</v>
      </c>
      <c r="CS13" s="37" t="s">
        <v>322</v>
      </c>
      <c r="CT13" s="37" t="s">
        <v>295</v>
      </c>
      <c r="CU13" s="37" t="s">
        <v>296</v>
      </c>
      <c r="CV13" s="37" t="s">
        <v>323</v>
      </c>
      <c r="CW13" s="37">
        <v>0</v>
      </c>
      <c r="CX13" s="37">
        <v>0</v>
      </c>
      <c r="CY13" s="37">
        <v>0</v>
      </c>
      <c r="CZ13" s="123" t="s">
        <v>277</v>
      </c>
      <c r="DA13" s="123" t="s">
        <v>277</v>
      </c>
      <c r="DB13" s="37" t="s">
        <v>324</v>
      </c>
      <c r="DC13" s="37" t="s">
        <v>325</v>
      </c>
      <c r="DD13" s="68">
        <v>0</v>
      </c>
      <c r="DE13" s="68">
        <v>0</v>
      </c>
      <c r="DF13" s="68">
        <v>0</v>
      </c>
      <c r="DG13" s="68">
        <v>0</v>
      </c>
      <c r="DH13" s="68">
        <v>0</v>
      </c>
      <c r="DI13" s="68">
        <v>0</v>
      </c>
      <c r="DJ13" s="68">
        <f>45000000000-45000000000+9430744017+5793955533+52583842693</f>
        <v>67808542243</v>
      </c>
      <c r="DK13" s="68">
        <f>45000000000-45000000000+9430744017</f>
        <v>9430744017</v>
      </c>
      <c r="DL13" s="68">
        <f>45811864713-10299622894</f>
        <v>35512241819</v>
      </c>
      <c r="DM13" s="68">
        <v>0</v>
      </c>
      <c r="DN13" s="68">
        <v>45000000000</v>
      </c>
      <c r="DO13" s="68">
        <v>0</v>
      </c>
      <c r="DP13" s="68">
        <f>SUM(DD13:DO13)</f>
        <v>157751528079</v>
      </c>
      <c r="DQ13" s="68">
        <f>DP13-AB13</f>
        <v>0</v>
      </c>
      <c r="DR13" s="68">
        <f>$DD13</f>
        <v>0</v>
      </c>
      <c r="DS13" s="68">
        <f>DR13+DE13</f>
        <v>0</v>
      </c>
      <c r="DT13" s="68">
        <f>DS13+DF13</f>
        <v>0</v>
      </c>
      <c r="DU13" s="68">
        <f>DT13+DG13</f>
        <v>0</v>
      </c>
      <c r="DV13" s="68">
        <f>DU13+DH13</f>
        <v>0</v>
      </c>
      <c r="DW13" s="68">
        <f>DV13+DI13</f>
        <v>0</v>
      </c>
      <c r="DX13" s="68">
        <f>DW13+DJ13</f>
        <v>67808542243</v>
      </c>
      <c r="DY13" s="68">
        <f>DX13+DK13</f>
        <v>77239286260</v>
      </c>
      <c r="DZ13" s="68">
        <f>DY13+DL13</f>
        <v>112751528079</v>
      </c>
      <c r="EA13" s="68">
        <f>DZ13+DM13</f>
        <v>112751528079</v>
      </c>
      <c r="EB13" s="68">
        <f>EA13+DN13</f>
        <v>157751528079</v>
      </c>
      <c r="EC13" s="68">
        <f>EB13+DO13</f>
        <v>157751528079</v>
      </c>
      <c r="ED13" s="68">
        <f>$EC13-$AB13</f>
        <v>0</v>
      </c>
    </row>
    <row r="14" spans="1:135" ht="165">
      <c r="A14" s="74"/>
      <c r="B14" s="50">
        <v>121</v>
      </c>
      <c r="C14" s="50" t="s">
        <v>269</v>
      </c>
      <c r="D14" s="50" t="s">
        <v>297</v>
      </c>
      <c r="E14" s="50"/>
      <c r="F14" s="50" t="s">
        <v>272</v>
      </c>
      <c r="G14" s="50" t="s">
        <v>273</v>
      </c>
      <c r="H14" s="37" t="s">
        <v>151</v>
      </c>
      <c r="I14" s="37" t="s">
        <v>326</v>
      </c>
      <c r="J14" s="37" t="s">
        <v>327</v>
      </c>
      <c r="K14" s="50" t="s">
        <v>3</v>
      </c>
      <c r="L14" s="50" t="s">
        <v>14</v>
      </c>
      <c r="M14" s="50" t="s">
        <v>16</v>
      </c>
      <c r="N14" s="50" t="s">
        <v>276</v>
      </c>
      <c r="O14" s="37" t="s">
        <v>3</v>
      </c>
      <c r="P14" s="37" t="s">
        <v>14</v>
      </c>
      <c r="Q14" s="37" t="s">
        <v>16</v>
      </c>
      <c r="R14" s="37" t="s">
        <v>276</v>
      </c>
      <c r="S14" s="50" t="s">
        <v>328</v>
      </c>
      <c r="T14" s="50" t="s">
        <v>329</v>
      </c>
      <c r="U14" s="50" t="s">
        <v>330</v>
      </c>
      <c r="V14" s="56" t="s">
        <v>331</v>
      </c>
      <c r="W14" s="56" t="s">
        <v>331</v>
      </c>
      <c r="X14" s="38" t="s">
        <v>331</v>
      </c>
      <c r="Y14" s="60">
        <v>293000000000</v>
      </c>
      <c r="Z14" s="60">
        <v>8567807170</v>
      </c>
      <c r="AA14" s="60"/>
      <c r="AB14" s="60">
        <f>Z14+AA14</f>
        <v>8567807170</v>
      </c>
      <c r="AC14" s="61"/>
      <c r="AD14" s="61"/>
      <c r="AE14" s="109">
        <v>293000000000</v>
      </c>
      <c r="AF14" s="109">
        <v>109734350000</v>
      </c>
      <c r="AG14" s="108">
        <f>$AR14+$AZ14+$BQ14+$BT14+$BU14+$BV14</f>
        <v>8567807170</v>
      </c>
      <c r="AH14" s="121">
        <f>AF14-AG14</f>
        <v>101166542830</v>
      </c>
      <c r="AI14" s="39" t="s">
        <v>332</v>
      </c>
      <c r="AJ14" s="198"/>
      <c r="AK14" s="198"/>
      <c r="AL14" s="42"/>
      <c r="AM14" s="68"/>
      <c r="AN14" s="68"/>
      <c r="AO14" s="68"/>
      <c r="AP14" s="68"/>
      <c r="AQ14" s="68">
        <v>0</v>
      </c>
      <c r="AR14" s="68">
        <v>0</v>
      </c>
      <c r="AS14" s="68" t="s">
        <v>307</v>
      </c>
      <c r="AT14" s="68"/>
      <c r="AU14" s="69" t="s">
        <v>333</v>
      </c>
      <c r="AV14" s="70" t="s">
        <v>334</v>
      </c>
      <c r="AW14" s="69" t="s">
        <v>335</v>
      </c>
      <c r="AX14" s="69"/>
      <c r="AY14" s="68">
        <v>8567807170</v>
      </c>
      <c r="AZ14" s="68">
        <v>8567807170</v>
      </c>
      <c r="BA14" s="68" t="s">
        <v>307</v>
      </c>
      <c r="BB14" s="68"/>
      <c r="BC14" s="69" t="s">
        <v>336</v>
      </c>
      <c r="BD14" s="69" t="s">
        <v>277</v>
      </c>
      <c r="BE14" s="56" t="s">
        <v>277</v>
      </c>
      <c r="BF14" s="56" t="s">
        <v>277</v>
      </c>
      <c r="BG14" s="56" t="s">
        <v>277</v>
      </c>
      <c r="BH14" s="56" t="s">
        <v>277</v>
      </c>
      <c r="BI14" s="69">
        <v>0</v>
      </c>
      <c r="BJ14" s="69">
        <v>0</v>
      </c>
      <c r="BK14" s="69">
        <v>0</v>
      </c>
      <c r="BL14" s="69">
        <v>0</v>
      </c>
      <c r="BM14" s="69">
        <v>0</v>
      </c>
      <c r="BN14" s="69">
        <v>0</v>
      </c>
      <c r="BO14" s="69">
        <v>0</v>
      </c>
      <c r="BP14" s="69">
        <v>0</v>
      </c>
      <c r="BQ14" s="69"/>
      <c r="BR14" s="69" t="s">
        <v>337</v>
      </c>
      <c r="BS14" s="69" t="s">
        <v>338</v>
      </c>
      <c r="BT14" s="68">
        <v>0</v>
      </c>
      <c r="BU14" s="68">
        <v>0</v>
      </c>
      <c r="BV14" s="68">
        <v>0</v>
      </c>
      <c r="BW14" s="94">
        <v>0</v>
      </c>
      <c r="BX14" s="94">
        <v>109734350000</v>
      </c>
      <c r="BY14" s="94">
        <v>0</v>
      </c>
      <c r="BZ14" s="94">
        <v>0</v>
      </c>
      <c r="CA14" s="94">
        <v>0</v>
      </c>
      <c r="CB14" s="94">
        <v>0</v>
      </c>
      <c r="CC14" s="94">
        <v>0</v>
      </c>
      <c r="CD14" s="94">
        <v>0</v>
      </c>
      <c r="CE14" s="94">
        <v>0</v>
      </c>
      <c r="CF14" s="108">
        <f>SUM(BT14:CE14)</f>
        <v>109734350000</v>
      </c>
      <c r="CG14" s="108">
        <f>$CF14-$AF14</f>
        <v>0</v>
      </c>
      <c r="CH14" s="37" t="s">
        <v>318</v>
      </c>
      <c r="CI14" s="37" t="s">
        <v>291</v>
      </c>
      <c r="CJ14" s="37" t="s">
        <v>339</v>
      </c>
      <c r="CK14" s="37" t="s">
        <v>290</v>
      </c>
      <c r="CL14" s="37" t="s">
        <v>277</v>
      </c>
      <c r="CM14" s="37" t="s">
        <v>277</v>
      </c>
      <c r="CN14" s="37" t="s">
        <v>290</v>
      </c>
      <c r="CO14" s="37" t="s">
        <v>340</v>
      </c>
      <c r="CP14" s="41">
        <v>45839</v>
      </c>
      <c r="CQ14" s="41">
        <v>46082</v>
      </c>
      <c r="CR14" s="37" t="s">
        <v>293</v>
      </c>
      <c r="CS14" s="37" t="s">
        <v>294</v>
      </c>
      <c r="CT14" s="37" t="s">
        <v>295</v>
      </c>
      <c r="CU14" s="37" t="s">
        <v>341</v>
      </c>
      <c r="CV14" s="37" t="s">
        <v>157</v>
      </c>
      <c r="CW14" s="88" t="s">
        <v>342</v>
      </c>
      <c r="CX14" s="88" t="s">
        <v>331</v>
      </c>
      <c r="CY14" s="126">
        <v>117280000000</v>
      </c>
      <c r="CZ14" s="123" t="s">
        <v>277</v>
      </c>
      <c r="DA14" s="123" t="s">
        <v>277</v>
      </c>
      <c r="DB14" s="37" t="s">
        <v>343</v>
      </c>
      <c r="DC14" s="88" t="s">
        <v>344</v>
      </c>
      <c r="DD14" s="68">
        <v>0</v>
      </c>
      <c r="DE14" s="68">
        <v>0</v>
      </c>
      <c r="DF14" s="68">
        <v>0</v>
      </c>
      <c r="DG14" s="68">
        <v>0</v>
      </c>
      <c r="DH14" s="68">
        <v>0</v>
      </c>
      <c r="DI14" s="68">
        <v>0</v>
      </c>
      <c r="DJ14" s="68">
        <v>0</v>
      </c>
      <c r="DK14" s="68">
        <v>0</v>
      </c>
      <c r="DL14" s="68">
        <v>0</v>
      </c>
      <c r="DM14" s="68">
        <v>0</v>
      </c>
      <c r="DN14" s="68">
        <v>8567807170</v>
      </c>
      <c r="DO14" s="68">
        <v>0</v>
      </c>
      <c r="DP14" s="68">
        <f>SUM(DD14:DO14)</f>
        <v>8567807170</v>
      </c>
      <c r="DQ14" s="68">
        <f>DP14-AB14</f>
        <v>0</v>
      </c>
      <c r="DR14" s="68">
        <f>$DD14</f>
        <v>0</v>
      </c>
      <c r="DS14" s="68">
        <f>DR14+DE14</f>
        <v>0</v>
      </c>
      <c r="DT14" s="68">
        <f>DS14+DF14</f>
        <v>0</v>
      </c>
      <c r="DU14" s="68">
        <f>DT14+DG14</f>
        <v>0</v>
      </c>
      <c r="DV14" s="68">
        <f>DU14+DH14</f>
        <v>0</v>
      </c>
      <c r="DW14" s="68">
        <f>DV14+DI14</f>
        <v>0</v>
      </c>
      <c r="DX14" s="68">
        <f>DW14+DJ14</f>
        <v>0</v>
      </c>
      <c r="DY14" s="68">
        <f>DX14+DK14</f>
        <v>0</v>
      </c>
      <c r="DZ14" s="68">
        <f>DY14+DL14</f>
        <v>0</v>
      </c>
      <c r="EA14" s="68">
        <f>DZ14+DM14</f>
        <v>0</v>
      </c>
      <c r="EB14" s="68">
        <f>EA14+DN14</f>
        <v>8567807170</v>
      </c>
      <c r="EC14" s="68">
        <f>EB14+DO14</f>
        <v>8567807170</v>
      </c>
      <c r="ED14" s="68">
        <f>$EC14-$AB14</f>
        <v>0</v>
      </c>
    </row>
    <row r="15" spans="1:135" ht="135">
      <c r="A15" s="74"/>
      <c r="B15" s="50">
        <v>21</v>
      </c>
      <c r="C15" s="50" t="s">
        <v>269</v>
      </c>
      <c r="D15" s="50" t="s">
        <v>297</v>
      </c>
      <c r="E15" s="50"/>
      <c r="F15" s="50" t="s">
        <v>272</v>
      </c>
      <c r="G15" s="50" t="s">
        <v>273</v>
      </c>
      <c r="H15" s="37" t="s">
        <v>151</v>
      </c>
      <c r="I15" s="37" t="s">
        <v>274</v>
      </c>
      <c r="J15" s="37" t="s">
        <v>298</v>
      </c>
      <c r="K15" s="50" t="s">
        <v>3</v>
      </c>
      <c r="L15" s="50" t="s">
        <v>14</v>
      </c>
      <c r="M15" s="50" t="s">
        <v>16</v>
      </c>
      <c r="N15" s="50" t="s">
        <v>276</v>
      </c>
      <c r="O15" s="37" t="s">
        <v>3</v>
      </c>
      <c r="P15" s="37" t="s">
        <v>14</v>
      </c>
      <c r="Q15" s="37" t="s">
        <v>16</v>
      </c>
      <c r="R15" s="37" t="s">
        <v>276</v>
      </c>
      <c r="S15" s="50" t="s">
        <v>277</v>
      </c>
      <c r="T15" s="50" t="s">
        <v>345</v>
      </c>
      <c r="U15" s="50" t="s">
        <v>346</v>
      </c>
      <c r="V15" s="56" t="s">
        <v>347</v>
      </c>
      <c r="W15" s="56" t="s">
        <v>347</v>
      </c>
      <c r="X15" s="38" t="s">
        <v>348</v>
      </c>
      <c r="Y15" s="60">
        <v>45000000000</v>
      </c>
      <c r="Z15" s="60">
        <v>4500000000</v>
      </c>
      <c r="AA15" s="60">
        <f>0+39064933747.2</f>
        <v>39064933747.199997</v>
      </c>
      <c r="AB15" s="60">
        <f>Z15+AA15</f>
        <v>43564933747.199997</v>
      </c>
      <c r="AC15" s="61" t="s">
        <v>349</v>
      </c>
      <c r="AD15" s="61" t="s">
        <v>350</v>
      </c>
      <c r="AE15" s="112">
        <v>219065038078</v>
      </c>
      <c r="AF15" s="112">
        <v>98579267135</v>
      </c>
      <c r="AG15" s="110">
        <f>$AR15+$AZ15+$BQ15+$BT15+$BU15+$BV15</f>
        <v>0</v>
      </c>
      <c r="AH15" s="121">
        <f>AF15-AG15</f>
        <v>98579267135</v>
      </c>
      <c r="AI15" s="39" t="s">
        <v>351</v>
      </c>
      <c r="AJ15" s="198"/>
      <c r="AK15" s="198"/>
      <c r="AL15" s="42"/>
      <c r="AM15" s="68"/>
      <c r="AN15" s="68"/>
      <c r="AO15" s="68"/>
      <c r="AP15" s="68"/>
      <c r="AQ15" s="68">
        <v>0</v>
      </c>
      <c r="AR15" s="68">
        <v>0</v>
      </c>
      <c r="AS15" s="68" t="s">
        <v>307</v>
      </c>
      <c r="AT15" s="68"/>
      <c r="AU15" s="69" t="s">
        <v>277</v>
      </c>
      <c r="AV15" s="69" t="s">
        <v>277</v>
      </c>
      <c r="AW15" s="69" t="s">
        <v>277</v>
      </c>
      <c r="AX15" s="69"/>
      <c r="AY15" s="68">
        <v>0</v>
      </c>
      <c r="AZ15" s="68">
        <v>0</v>
      </c>
      <c r="BA15" s="68" t="s">
        <v>307</v>
      </c>
      <c r="BB15" s="68"/>
      <c r="BC15" s="69" t="s">
        <v>277</v>
      </c>
      <c r="BD15" s="69" t="s">
        <v>277</v>
      </c>
      <c r="BE15" s="56" t="s">
        <v>352</v>
      </c>
      <c r="BF15" s="56" t="s">
        <v>353</v>
      </c>
      <c r="BG15" s="56" t="s">
        <v>348</v>
      </c>
      <c r="BH15" s="56" t="s">
        <v>296</v>
      </c>
      <c r="BI15" s="69">
        <v>51252863232</v>
      </c>
      <c r="BJ15" s="69">
        <v>43564933747.199997</v>
      </c>
      <c r="BK15" s="69">
        <v>2562643161.5999999</v>
      </c>
      <c r="BL15" s="69">
        <v>2562643161.5999999</v>
      </c>
      <c r="BM15" s="69">
        <v>2562643161.5999999</v>
      </c>
      <c r="BN15" s="69">
        <v>0</v>
      </c>
      <c r="BO15" s="69">
        <v>0</v>
      </c>
      <c r="BP15" s="69">
        <v>0</v>
      </c>
      <c r="BQ15" s="69"/>
      <c r="BR15" s="69" t="s">
        <v>156</v>
      </c>
      <c r="BS15" s="69" t="s">
        <v>354</v>
      </c>
      <c r="BT15" s="68">
        <v>0</v>
      </c>
      <c r="BU15" s="68">
        <v>0</v>
      </c>
      <c r="BV15" s="68">
        <v>0</v>
      </c>
      <c r="BW15" s="94">
        <v>0</v>
      </c>
      <c r="BX15" s="94">
        <v>0</v>
      </c>
      <c r="BY15" s="94">
        <v>0</v>
      </c>
      <c r="BZ15" s="94">
        <v>0</v>
      </c>
      <c r="CA15" s="94">
        <v>0</v>
      </c>
      <c r="CB15" s="109">
        <v>87626015231</v>
      </c>
      <c r="CC15" s="109">
        <v>0</v>
      </c>
      <c r="CD15" s="109">
        <v>0</v>
      </c>
      <c r="CE15" s="109">
        <v>0</v>
      </c>
      <c r="CF15" s="108">
        <f>SUM(BT15:CE15)</f>
        <v>87626015231</v>
      </c>
      <c r="CG15" s="108">
        <f>$CF15-$AF15</f>
        <v>-10953251904</v>
      </c>
      <c r="CH15" s="37" t="s">
        <v>289</v>
      </c>
      <c r="CI15" s="37" t="s">
        <v>290</v>
      </c>
      <c r="CJ15" s="37" t="s">
        <v>277</v>
      </c>
      <c r="CK15" s="37" t="s">
        <v>290</v>
      </c>
      <c r="CL15" s="37" t="s">
        <v>277</v>
      </c>
      <c r="CM15" s="37" t="s">
        <v>277</v>
      </c>
      <c r="CN15" s="37" t="s">
        <v>290</v>
      </c>
      <c r="CO15" s="37" t="s">
        <v>275</v>
      </c>
      <c r="CP15" s="41">
        <v>46023</v>
      </c>
      <c r="CQ15" s="41">
        <v>46387</v>
      </c>
      <c r="CR15" s="37" t="s">
        <v>293</v>
      </c>
      <c r="CS15" s="37" t="s">
        <v>294</v>
      </c>
      <c r="CT15" s="37" t="s">
        <v>295</v>
      </c>
      <c r="CU15" s="37" t="s">
        <v>296</v>
      </c>
      <c r="CV15" s="37" t="s">
        <v>323</v>
      </c>
      <c r="CW15" s="37" t="s">
        <v>277</v>
      </c>
      <c r="CX15" s="37" t="s">
        <v>277</v>
      </c>
      <c r="CY15" s="37">
        <v>0</v>
      </c>
      <c r="CZ15" s="123">
        <v>46143</v>
      </c>
      <c r="DA15" s="123">
        <v>47239</v>
      </c>
      <c r="DB15" s="37" t="s">
        <v>355</v>
      </c>
      <c r="DC15" s="88" t="s">
        <v>356</v>
      </c>
      <c r="DD15" s="68">
        <v>0</v>
      </c>
      <c r="DE15" s="68">
        <v>0</v>
      </c>
      <c r="DF15" s="68">
        <v>0</v>
      </c>
      <c r="DG15" s="68">
        <v>0</v>
      </c>
      <c r="DH15" s="68">
        <v>0</v>
      </c>
      <c r="DI15" s="68">
        <v>0</v>
      </c>
      <c r="DJ15" s="68">
        <f>0+39064933747.2</f>
        <v>39064933747.199997</v>
      </c>
      <c r="DK15" s="68">
        <v>0</v>
      </c>
      <c r="DL15" s="68">
        <v>0</v>
      </c>
      <c r="DM15" s="68">
        <v>0</v>
      </c>
      <c r="DN15" s="68">
        <v>0</v>
      </c>
      <c r="DO15" s="68">
        <v>4500000000</v>
      </c>
      <c r="DP15" s="68">
        <f>SUM(DD15:DO15)</f>
        <v>43564933747.199997</v>
      </c>
      <c r="DQ15" s="68">
        <f>DP15-AB15</f>
        <v>0</v>
      </c>
      <c r="DR15" s="68">
        <f>$DD15</f>
        <v>0</v>
      </c>
      <c r="DS15" s="68">
        <f>DR15+DE15</f>
        <v>0</v>
      </c>
      <c r="DT15" s="68">
        <f>DS15+DF15</f>
        <v>0</v>
      </c>
      <c r="DU15" s="68">
        <f>DT15+DG15</f>
        <v>0</v>
      </c>
      <c r="DV15" s="68">
        <f>DU15+DH15</f>
        <v>0</v>
      </c>
      <c r="DW15" s="68">
        <f>DV15+DI15</f>
        <v>0</v>
      </c>
      <c r="DX15" s="68">
        <f>DW15+DJ15</f>
        <v>39064933747.199997</v>
      </c>
      <c r="DY15" s="68">
        <f>DX15+DK15</f>
        <v>39064933747.199997</v>
      </c>
      <c r="DZ15" s="68">
        <f>DY15+DL15</f>
        <v>39064933747.199997</v>
      </c>
      <c r="EA15" s="68">
        <f>DZ15+DM15</f>
        <v>39064933747.199997</v>
      </c>
      <c r="EB15" s="68">
        <f>EA15+DN15</f>
        <v>39064933747.199997</v>
      </c>
      <c r="EC15" s="68">
        <f>EB15+DO15</f>
        <v>43564933747.199997</v>
      </c>
      <c r="ED15" s="68">
        <f>$EC15-$AB15</f>
        <v>0</v>
      </c>
    </row>
    <row r="16" spans="1:135" ht="225">
      <c r="A16" s="74"/>
      <c r="B16" s="50">
        <v>96</v>
      </c>
      <c r="C16" s="50" t="s">
        <v>269</v>
      </c>
      <c r="D16" s="50" t="s">
        <v>297</v>
      </c>
      <c r="E16" s="50"/>
      <c r="F16" s="50" t="s">
        <v>272</v>
      </c>
      <c r="G16" s="50" t="s">
        <v>273</v>
      </c>
      <c r="H16" s="37" t="s">
        <v>151</v>
      </c>
      <c r="I16" s="37" t="s">
        <v>274</v>
      </c>
      <c r="J16" s="37" t="s">
        <v>275</v>
      </c>
      <c r="K16" s="50" t="s">
        <v>3</v>
      </c>
      <c r="L16" s="50" t="s">
        <v>14</v>
      </c>
      <c r="M16" s="50" t="s">
        <v>16</v>
      </c>
      <c r="N16" s="50" t="s">
        <v>276</v>
      </c>
      <c r="O16" s="37" t="s">
        <v>3</v>
      </c>
      <c r="P16" s="37" t="s">
        <v>14</v>
      </c>
      <c r="Q16" s="37" t="s">
        <v>16</v>
      </c>
      <c r="R16" s="37" t="s">
        <v>276</v>
      </c>
      <c r="S16" s="50" t="s">
        <v>357</v>
      </c>
      <c r="T16" s="50" t="s">
        <v>358</v>
      </c>
      <c r="U16" s="50" t="s">
        <v>359</v>
      </c>
      <c r="V16" s="56" t="s">
        <v>360</v>
      </c>
      <c r="W16" s="56" t="s">
        <v>360</v>
      </c>
      <c r="X16" s="38" t="s">
        <v>361</v>
      </c>
      <c r="Y16" s="60">
        <v>475865325000</v>
      </c>
      <c r="Z16" s="60">
        <v>154154857500</v>
      </c>
      <c r="AA16" s="60">
        <f>-39064933747.2-27252154634.8</f>
        <v>-66317088382</v>
      </c>
      <c r="AB16" s="62">
        <f>Z16+AA16</f>
        <v>87837769118</v>
      </c>
      <c r="AC16" s="61" t="s">
        <v>362</v>
      </c>
      <c r="AD16" s="61" t="s">
        <v>363</v>
      </c>
      <c r="AE16" s="112">
        <v>250965054622</v>
      </c>
      <c r="AF16" s="112">
        <v>87837769117.700012</v>
      </c>
      <c r="AG16" s="110">
        <f>$AR16+$AZ16+$BQ16+$BT16+$BU16+$BV16</f>
        <v>0</v>
      </c>
      <c r="AH16" s="121">
        <f>AF16-AG16</f>
        <v>87837769117.700012</v>
      </c>
      <c r="AI16" s="39" t="s">
        <v>364</v>
      </c>
      <c r="AJ16" s="198"/>
      <c r="AK16" s="198"/>
      <c r="AL16" s="42"/>
      <c r="AM16" s="68"/>
      <c r="AN16" s="68"/>
      <c r="AO16" s="68"/>
      <c r="AP16" s="68"/>
      <c r="AQ16" s="68">
        <v>0</v>
      </c>
      <c r="AR16" s="68">
        <v>0</v>
      </c>
      <c r="AS16" s="68" t="s">
        <v>307</v>
      </c>
      <c r="AT16" s="68"/>
      <c r="AU16" s="69" t="s">
        <v>365</v>
      </c>
      <c r="AV16" s="69" t="s">
        <v>366</v>
      </c>
      <c r="AW16" s="69" t="s">
        <v>310</v>
      </c>
      <c r="AX16" s="69"/>
      <c r="AY16" s="68">
        <v>467970103125</v>
      </c>
      <c r="AZ16" s="68">
        <v>0</v>
      </c>
      <c r="BA16" s="68" t="s">
        <v>311</v>
      </c>
      <c r="BB16" s="68" t="s">
        <v>367</v>
      </c>
      <c r="BC16" s="69" t="s">
        <v>277</v>
      </c>
      <c r="BD16" s="69" t="s">
        <v>277</v>
      </c>
      <c r="BE16" s="56" t="s">
        <v>368</v>
      </c>
      <c r="BF16" s="56" t="s">
        <v>369</v>
      </c>
      <c r="BG16" s="56" t="s">
        <v>370</v>
      </c>
      <c r="BH16" s="56" t="s">
        <v>287</v>
      </c>
      <c r="BI16" s="69">
        <v>2141872254622</v>
      </c>
      <c r="BJ16" s="69">
        <v>87837769117.699997</v>
      </c>
      <c r="BK16" s="69">
        <v>125482527311</v>
      </c>
      <c r="BL16" s="69">
        <v>12548252731.099998</v>
      </c>
      <c r="BM16" s="69">
        <v>12548252731.099998</v>
      </c>
      <c r="BN16" s="69">
        <v>12548252731.099998</v>
      </c>
      <c r="BO16" s="69">
        <v>0</v>
      </c>
      <c r="BP16" s="69">
        <v>0</v>
      </c>
      <c r="BQ16" s="69"/>
      <c r="BR16" s="69" t="s">
        <v>156</v>
      </c>
      <c r="BS16" s="69" t="s">
        <v>371</v>
      </c>
      <c r="BT16" s="68">
        <v>0</v>
      </c>
      <c r="BU16" s="68">
        <v>0</v>
      </c>
      <c r="BV16" s="68">
        <v>0</v>
      </c>
      <c r="BW16" s="94">
        <v>0</v>
      </c>
      <c r="BX16" s="94">
        <v>0</v>
      </c>
      <c r="BY16" s="94">
        <v>0</v>
      </c>
      <c r="BZ16" s="94">
        <v>0</v>
      </c>
      <c r="CA16" s="94">
        <v>0</v>
      </c>
      <c r="CB16" s="109">
        <v>0</v>
      </c>
      <c r="CC16" s="109">
        <v>0</v>
      </c>
      <c r="CD16" s="109">
        <v>0</v>
      </c>
      <c r="CE16" s="111">
        <v>87837769117.700012</v>
      </c>
      <c r="CF16" s="108">
        <f>SUM(BT16:CE16)</f>
        <v>87837769117.700012</v>
      </c>
      <c r="CG16" s="108">
        <f>$CF16-$AF16</f>
        <v>0</v>
      </c>
      <c r="CH16" s="37" t="s">
        <v>318</v>
      </c>
      <c r="CI16" s="37" t="s">
        <v>291</v>
      </c>
      <c r="CJ16" s="37" t="s">
        <v>319</v>
      </c>
      <c r="CK16" s="37" t="s">
        <v>290</v>
      </c>
      <c r="CL16" s="37" t="s">
        <v>320</v>
      </c>
      <c r="CM16" s="37" t="s">
        <v>321</v>
      </c>
      <c r="CN16" s="37" t="s">
        <v>290</v>
      </c>
      <c r="CO16" s="37" t="s">
        <v>277</v>
      </c>
      <c r="CP16" s="41">
        <v>46023</v>
      </c>
      <c r="CQ16" s="41">
        <v>48183</v>
      </c>
      <c r="CR16" s="37" t="s">
        <v>293</v>
      </c>
      <c r="CS16" s="37" t="s">
        <v>322</v>
      </c>
      <c r="CT16" s="37" t="s">
        <v>295</v>
      </c>
      <c r="CU16" s="37" t="s">
        <v>296</v>
      </c>
      <c r="CV16" s="37" t="s">
        <v>323</v>
      </c>
      <c r="CW16" s="37">
        <v>0</v>
      </c>
      <c r="CX16" s="37">
        <v>0</v>
      </c>
      <c r="CY16" s="37">
        <v>0</v>
      </c>
      <c r="CZ16" s="123" t="s">
        <v>277</v>
      </c>
      <c r="DA16" s="123" t="s">
        <v>277</v>
      </c>
      <c r="DB16" s="37" t="s">
        <v>372</v>
      </c>
      <c r="DC16" s="37" t="s">
        <v>373</v>
      </c>
      <c r="DD16" s="68">
        <v>0</v>
      </c>
      <c r="DE16" s="68">
        <v>0</v>
      </c>
      <c r="DF16" s="68">
        <v>0</v>
      </c>
      <c r="DG16" s="68">
        <v>0</v>
      </c>
      <c r="DH16" s="68">
        <v>0</v>
      </c>
      <c r="DI16" s="68">
        <v>0</v>
      </c>
      <c r="DJ16" s="68">
        <f>154154857500-39064933747.2-27252154634.8</f>
        <v>87837769118</v>
      </c>
      <c r="DK16" s="68">
        <v>0</v>
      </c>
      <c r="DL16" s="68">
        <v>0</v>
      </c>
      <c r="DM16" s="68">
        <v>0</v>
      </c>
      <c r="DN16" s="68">
        <v>0</v>
      </c>
      <c r="DO16" s="68">
        <v>0</v>
      </c>
      <c r="DP16" s="68">
        <f>SUM(DD16:DO16)</f>
        <v>87837769118</v>
      </c>
      <c r="DQ16" s="68">
        <f>DP16-AB16</f>
        <v>0</v>
      </c>
      <c r="DR16" s="68">
        <f>$DD16</f>
        <v>0</v>
      </c>
      <c r="DS16" s="68">
        <f>DR16+DE16</f>
        <v>0</v>
      </c>
      <c r="DT16" s="68">
        <f>DS16+DF16</f>
        <v>0</v>
      </c>
      <c r="DU16" s="68">
        <f>DT16+DG16</f>
        <v>0</v>
      </c>
      <c r="DV16" s="68">
        <f>DU16+DH16</f>
        <v>0</v>
      </c>
      <c r="DW16" s="68">
        <f>DV16+DI16</f>
        <v>0</v>
      </c>
      <c r="DX16" s="68">
        <f>DW16+DJ16</f>
        <v>87837769118</v>
      </c>
      <c r="DY16" s="68">
        <f>DX16+DK16</f>
        <v>87837769118</v>
      </c>
      <c r="DZ16" s="68">
        <f>DY16+DL16</f>
        <v>87837769118</v>
      </c>
      <c r="EA16" s="68">
        <f>DZ16+DM16</f>
        <v>87837769118</v>
      </c>
      <c r="EB16" s="68">
        <f>EA16+DN16</f>
        <v>87837769118</v>
      </c>
      <c r="EC16" s="68">
        <f>EB16+DO16</f>
        <v>87837769118</v>
      </c>
      <c r="ED16" s="68">
        <f>$EC16-$AB16</f>
        <v>0</v>
      </c>
    </row>
    <row r="17" spans="1:134" ht="45">
      <c r="A17" s="74"/>
      <c r="B17" s="50">
        <v>30</v>
      </c>
      <c r="C17" s="50" t="s">
        <v>269</v>
      </c>
      <c r="D17" s="50" t="s">
        <v>297</v>
      </c>
      <c r="E17" s="50"/>
      <c r="F17" s="50" t="s">
        <v>272</v>
      </c>
      <c r="G17" s="50" t="s">
        <v>273</v>
      </c>
      <c r="H17" s="37" t="s">
        <v>151</v>
      </c>
      <c r="I17" s="37" t="s">
        <v>274</v>
      </c>
      <c r="J17" s="37" t="s">
        <v>298</v>
      </c>
      <c r="K17" s="50" t="s">
        <v>3</v>
      </c>
      <c r="L17" s="50" t="s">
        <v>14</v>
      </c>
      <c r="M17" s="50" t="s">
        <v>16</v>
      </c>
      <c r="N17" s="50" t="s">
        <v>276</v>
      </c>
      <c r="O17" s="37" t="s">
        <v>3</v>
      </c>
      <c r="P17" s="37" t="s">
        <v>14</v>
      </c>
      <c r="Q17" s="37" t="s">
        <v>16</v>
      </c>
      <c r="R17" s="37" t="s">
        <v>276</v>
      </c>
      <c r="S17" s="50" t="s">
        <v>374</v>
      </c>
      <c r="T17" s="50" t="s">
        <v>375</v>
      </c>
      <c r="U17" s="50" t="s">
        <v>376</v>
      </c>
      <c r="V17" s="56" t="s">
        <v>377</v>
      </c>
      <c r="W17" s="56" t="s">
        <v>377</v>
      </c>
      <c r="X17" s="38" t="s">
        <v>377</v>
      </c>
      <c r="Y17" s="60">
        <v>60405360478</v>
      </c>
      <c r="Z17" s="60">
        <v>41558888009</v>
      </c>
      <c r="AA17" s="60"/>
      <c r="AB17" s="60">
        <f>Z17+AA17</f>
        <v>41558888009</v>
      </c>
      <c r="AC17" s="61"/>
      <c r="AD17" s="61"/>
      <c r="AE17" s="109">
        <v>88000000000</v>
      </c>
      <c r="AF17" s="109">
        <v>85615000000</v>
      </c>
      <c r="AG17" s="108">
        <f>$AR17+$AZ17+$BQ17+$BT17+$BU17+$BV17</f>
        <v>51948610011.080002</v>
      </c>
      <c r="AH17" s="121">
        <f>AF17-AG17</f>
        <v>33666389988.919998</v>
      </c>
      <c r="AI17" s="39" t="s">
        <v>378</v>
      </c>
      <c r="AJ17" s="198"/>
      <c r="AK17" s="198"/>
      <c r="AL17" s="42"/>
      <c r="AM17" s="68"/>
      <c r="AN17" s="68"/>
      <c r="AO17" s="68"/>
      <c r="AP17" s="68"/>
      <c r="AQ17" s="68">
        <v>0</v>
      </c>
      <c r="AR17" s="68">
        <v>0</v>
      </c>
      <c r="AS17" s="68" t="s">
        <v>307</v>
      </c>
      <c r="AT17" s="68"/>
      <c r="AU17" s="69" t="s">
        <v>379</v>
      </c>
      <c r="AV17" s="70" t="s">
        <v>380</v>
      </c>
      <c r="AW17" s="69" t="s">
        <v>381</v>
      </c>
      <c r="AX17" s="69"/>
      <c r="AY17" s="68">
        <v>51948610011.080002</v>
      </c>
      <c r="AZ17" s="68">
        <v>51948610011.080002</v>
      </c>
      <c r="BA17" s="68" t="s">
        <v>307</v>
      </c>
      <c r="BB17" s="68"/>
      <c r="BC17" s="69" t="s">
        <v>277</v>
      </c>
      <c r="BD17" s="69" t="s">
        <v>277</v>
      </c>
      <c r="BE17" s="56" t="s">
        <v>277</v>
      </c>
      <c r="BF17" s="56" t="s">
        <v>277</v>
      </c>
      <c r="BG17" s="56" t="s">
        <v>277</v>
      </c>
      <c r="BH17" s="56" t="s">
        <v>277</v>
      </c>
      <c r="BI17" s="69">
        <v>0</v>
      </c>
      <c r="BJ17" s="69">
        <v>0</v>
      </c>
      <c r="BK17" s="69">
        <v>0</v>
      </c>
      <c r="BL17" s="69">
        <v>0</v>
      </c>
      <c r="BM17" s="69">
        <v>0</v>
      </c>
      <c r="BN17" s="69">
        <v>0</v>
      </c>
      <c r="BO17" s="69">
        <v>0</v>
      </c>
      <c r="BP17" s="69">
        <v>0</v>
      </c>
      <c r="BQ17" s="69"/>
      <c r="BR17" s="69" t="s">
        <v>382</v>
      </c>
      <c r="BS17" s="69" t="s">
        <v>383</v>
      </c>
      <c r="BT17" s="68">
        <v>0</v>
      </c>
      <c r="BU17" s="68">
        <v>0</v>
      </c>
      <c r="BV17" s="68">
        <v>0</v>
      </c>
      <c r="BW17" s="94">
        <v>0</v>
      </c>
      <c r="BX17" s="94">
        <v>0</v>
      </c>
      <c r="BY17" s="94">
        <v>0</v>
      </c>
      <c r="BZ17" s="94">
        <v>0</v>
      </c>
      <c r="CA17" s="94">
        <v>0</v>
      </c>
      <c r="CB17" s="109">
        <v>0</v>
      </c>
      <c r="CC17" s="109">
        <v>0</v>
      </c>
      <c r="CD17" s="109">
        <v>0</v>
      </c>
      <c r="CE17" s="109">
        <v>0</v>
      </c>
      <c r="CF17" s="108">
        <f>SUM(BT17:CE17)</f>
        <v>0</v>
      </c>
      <c r="CG17" s="108">
        <f>$CF17-$AF17</f>
        <v>-85615000000</v>
      </c>
      <c r="CH17" s="37" t="s">
        <v>289</v>
      </c>
      <c r="CI17" s="37" t="s">
        <v>291</v>
      </c>
      <c r="CJ17" s="37" t="s">
        <v>277</v>
      </c>
      <c r="CK17" s="37" t="s">
        <v>290</v>
      </c>
      <c r="CL17" s="37" t="s">
        <v>277</v>
      </c>
      <c r="CM17" s="37" t="s">
        <v>277</v>
      </c>
      <c r="CN17" s="37" t="s">
        <v>290</v>
      </c>
      <c r="CO17" s="37" t="s">
        <v>275</v>
      </c>
      <c r="CP17" s="41">
        <v>45870</v>
      </c>
      <c r="CQ17" s="41">
        <v>47788</v>
      </c>
      <c r="CR17" s="37" t="s">
        <v>293</v>
      </c>
      <c r="CS17" s="37" t="s">
        <v>322</v>
      </c>
      <c r="CT17" s="37" t="s">
        <v>295</v>
      </c>
      <c r="CU17" s="37" t="s">
        <v>341</v>
      </c>
      <c r="CV17" s="37" t="s">
        <v>384</v>
      </c>
      <c r="CW17" s="88" t="s">
        <v>385</v>
      </c>
      <c r="CX17" s="37" t="s">
        <v>386</v>
      </c>
      <c r="CY17" s="125">
        <v>88000000000</v>
      </c>
      <c r="CZ17" s="123" t="s">
        <v>277</v>
      </c>
      <c r="DA17" s="123" t="s">
        <v>277</v>
      </c>
      <c r="DB17" s="37" t="s">
        <v>387</v>
      </c>
      <c r="DC17" s="37" t="s">
        <v>388</v>
      </c>
      <c r="DD17" s="68">
        <v>0</v>
      </c>
      <c r="DE17" s="68">
        <v>0</v>
      </c>
      <c r="DF17" s="68">
        <v>0</v>
      </c>
      <c r="DG17" s="68">
        <v>0</v>
      </c>
      <c r="DH17" s="68">
        <v>0</v>
      </c>
      <c r="DI17" s="68">
        <v>41558888009</v>
      </c>
      <c r="DJ17" s="68">
        <v>0</v>
      </c>
      <c r="DK17" s="68">
        <v>0</v>
      </c>
      <c r="DL17" s="68">
        <v>0</v>
      </c>
      <c r="DM17" s="68">
        <v>0</v>
      </c>
      <c r="DN17" s="68">
        <v>0</v>
      </c>
      <c r="DO17" s="68">
        <v>0</v>
      </c>
      <c r="DP17" s="68">
        <f>SUM(DD17:DO17)</f>
        <v>41558888009</v>
      </c>
      <c r="DQ17" s="68">
        <f>DP17-AB17</f>
        <v>0</v>
      </c>
      <c r="DR17" s="68">
        <f>$DD17</f>
        <v>0</v>
      </c>
      <c r="DS17" s="68">
        <f>DR17+DE17</f>
        <v>0</v>
      </c>
      <c r="DT17" s="68">
        <f>DS17+DF17</f>
        <v>0</v>
      </c>
      <c r="DU17" s="68">
        <f>DT17+DG17</f>
        <v>0</v>
      </c>
      <c r="DV17" s="68">
        <f>DU17+DH17</f>
        <v>0</v>
      </c>
      <c r="DW17" s="68">
        <f>DV17+DI17</f>
        <v>41558888009</v>
      </c>
      <c r="DX17" s="68">
        <f>DW17+DJ17</f>
        <v>41558888009</v>
      </c>
      <c r="DY17" s="68">
        <f>DX17+DK17</f>
        <v>41558888009</v>
      </c>
      <c r="DZ17" s="68">
        <f>DY17+DL17</f>
        <v>41558888009</v>
      </c>
      <c r="EA17" s="68">
        <f>DZ17+DM17</f>
        <v>41558888009</v>
      </c>
      <c r="EB17" s="68">
        <f>EA17+DN17</f>
        <v>41558888009</v>
      </c>
      <c r="EC17" s="68">
        <f>EB17+DO17</f>
        <v>41558888009</v>
      </c>
      <c r="ED17" s="68">
        <f>$EC17-$AB17</f>
        <v>0</v>
      </c>
    </row>
    <row r="18" spans="1:134" ht="60">
      <c r="A18" s="74"/>
      <c r="B18" s="50">
        <v>171</v>
      </c>
      <c r="C18" s="50" t="s">
        <v>269</v>
      </c>
      <c r="D18" s="50" t="s">
        <v>297</v>
      </c>
      <c r="E18" s="50"/>
      <c r="F18" s="50" t="s">
        <v>272</v>
      </c>
      <c r="G18" s="50" t="s">
        <v>273</v>
      </c>
      <c r="H18" s="37" t="s">
        <v>151</v>
      </c>
      <c r="I18" s="37" t="s">
        <v>274</v>
      </c>
      <c r="J18" s="37" t="s">
        <v>298</v>
      </c>
      <c r="K18" s="50" t="s">
        <v>3</v>
      </c>
      <c r="L18" s="50" t="s">
        <v>14</v>
      </c>
      <c r="M18" s="50" t="s">
        <v>16</v>
      </c>
      <c r="N18" s="50" t="s">
        <v>276</v>
      </c>
      <c r="O18" s="37" t="s">
        <v>3</v>
      </c>
      <c r="P18" s="37" t="s">
        <v>14</v>
      </c>
      <c r="Q18" s="37" t="s">
        <v>16</v>
      </c>
      <c r="R18" s="37" t="s">
        <v>276</v>
      </c>
      <c r="S18" s="50" t="s">
        <v>277</v>
      </c>
      <c r="T18" s="50"/>
      <c r="U18" s="50" t="s">
        <v>389</v>
      </c>
      <c r="V18" s="56" t="s">
        <v>390</v>
      </c>
      <c r="W18" s="56" t="s">
        <v>390</v>
      </c>
      <c r="X18" s="38" t="s">
        <v>390</v>
      </c>
      <c r="Y18" s="60"/>
      <c r="Z18" s="60"/>
      <c r="AA18" s="60"/>
      <c r="AB18" s="60"/>
      <c r="AC18" s="61"/>
      <c r="AD18" s="61"/>
      <c r="AE18" s="109">
        <v>88000000000</v>
      </c>
      <c r="AF18" s="109">
        <v>85615000000</v>
      </c>
      <c r="AG18" s="108">
        <f>$AR18+$AZ18+$BQ18+$BT18+$BU18+$BV18</f>
        <v>0</v>
      </c>
      <c r="AH18" s="121">
        <f>AF18-AG18</f>
        <v>85615000000</v>
      </c>
      <c r="AI18" s="39" t="s">
        <v>391</v>
      </c>
      <c r="AJ18" s="198"/>
      <c r="AK18" s="198"/>
      <c r="AL18" s="42"/>
      <c r="AM18" s="68"/>
      <c r="AN18" s="68"/>
      <c r="AO18" s="68"/>
      <c r="AP18" s="68"/>
      <c r="AQ18" s="68"/>
      <c r="AR18" s="68"/>
      <c r="AS18" s="68"/>
      <c r="AT18" s="68"/>
      <c r="AU18" s="69"/>
      <c r="AV18" s="69"/>
      <c r="AW18" s="69"/>
      <c r="AX18" s="69"/>
      <c r="AY18" s="68"/>
      <c r="AZ18" s="68"/>
      <c r="BA18" s="68"/>
      <c r="BB18" s="68"/>
      <c r="BC18" s="69"/>
      <c r="BD18" s="69"/>
      <c r="BE18" s="56" t="s">
        <v>277</v>
      </c>
      <c r="BF18" s="56" t="s">
        <v>277</v>
      </c>
      <c r="BG18" s="56" t="s">
        <v>277</v>
      </c>
      <c r="BH18" s="56" t="s">
        <v>277</v>
      </c>
      <c r="BI18" s="69">
        <v>0</v>
      </c>
      <c r="BJ18" s="69">
        <v>0</v>
      </c>
      <c r="BK18" s="69">
        <v>0</v>
      </c>
      <c r="BL18" s="69">
        <v>0</v>
      </c>
      <c r="BM18" s="69">
        <v>0</v>
      </c>
      <c r="BN18" s="69">
        <v>0</v>
      </c>
      <c r="BO18" s="69">
        <v>0</v>
      </c>
      <c r="BP18" s="69">
        <v>0</v>
      </c>
      <c r="BQ18" s="69"/>
      <c r="BR18" s="69" t="s">
        <v>337</v>
      </c>
      <c r="BS18" s="69" t="s">
        <v>392</v>
      </c>
      <c r="BT18" s="68">
        <v>0</v>
      </c>
      <c r="BU18" s="68">
        <v>0</v>
      </c>
      <c r="BV18" s="68">
        <v>0</v>
      </c>
      <c r="BW18" s="94">
        <v>0</v>
      </c>
      <c r="BX18" s="94">
        <v>0</v>
      </c>
      <c r="BY18" s="94">
        <v>0</v>
      </c>
      <c r="BZ18" s="94">
        <v>0</v>
      </c>
      <c r="CA18" s="94">
        <v>0</v>
      </c>
      <c r="CB18" s="96">
        <v>0</v>
      </c>
      <c r="CC18" s="109">
        <v>85615000000</v>
      </c>
      <c r="CD18" s="96">
        <v>0</v>
      </c>
      <c r="CE18" s="96">
        <v>0</v>
      </c>
      <c r="CF18" s="108">
        <f>SUM(BT18:CE18)</f>
        <v>85615000000</v>
      </c>
      <c r="CG18" s="108">
        <f>$CF18-$AF18</f>
        <v>0</v>
      </c>
      <c r="CH18" s="37" t="s">
        <v>289</v>
      </c>
      <c r="CI18" s="37" t="s">
        <v>290</v>
      </c>
      <c r="CJ18" s="37" t="s">
        <v>277</v>
      </c>
      <c r="CK18" s="37" t="s">
        <v>290</v>
      </c>
      <c r="CL18" s="37" t="s">
        <v>277</v>
      </c>
      <c r="CM18" s="37" t="s">
        <v>277</v>
      </c>
      <c r="CN18" s="37" t="s">
        <v>290</v>
      </c>
      <c r="CO18" s="37" t="s">
        <v>277</v>
      </c>
      <c r="CP18" s="87" t="s">
        <v>277</v>
      </c>
      <c r="CQ18" s="87" t="s">
        <v>277</v>
      </c>
      <c r="CR18" s="37" t="s">
        <v>293</v>
      </c>
      <c r="CS18" s="37" t="s">
        <v>322</v>
      </c>
      <c r="CT18" s="37" t="s">
        <v>295</v>
      </c>
      <c r="CU18" s="89" t="s">
        <v>296</v>
      </c>
      <c r="CV18" s="37" t="s">
        <v>337</v>
      </c>
      <c r="CW18" s="37" t="s">
        <v>277</v>
      </c>
      <c r="CX18" s="37" t="s">
        <v>277</v>
      </c>
      <c r="CY18" s="37" t="s">
        <v>277</v>
      </c>
      <c r="CZ18" s="87" t="s">
        <v>277</v>
      </c>
      <c r="DA18" s="87" t="s">
        <v>277</v>
      </c>
      <c r="DB18" s="37" t="s">
        <v>277</v>
      </c>
      <c r="DC18" s="37" t="s">
        <v>277</v>
      </c>
      <c r="DD18" s="68"/>
      <c r="DE18" s="68"/>
      <c r="DF18" s="68"/>
      <c r="DG18" s="68"/>
      <c r="DH18" s="68"/>
      <c r="DI18" s="68"/>
      <c r="DJ18" s="68"/>
      <c r="DK18" s="68"/>
      <c r="DL18" s="68"/>
      <c r="DM18" s="68"/>
      <c r="DN18" s="68"/>
      <c r="DO18" s="68"/>
      <c r="DP18" s="68">
        <f>SUM(DD18:DO18)</f>
        <v>0</v>
      </c>
      <c r="DQ18" s="68">
        <f>DP18-AB18</f>
        <v>0</v>
      </c>
      <c r="DR18" s="68">
        <f>$DD18</f>
        <v>0</v>
      </c>
      <c r="DS18" s="68">
        <f>DR18+DE18</f>
        <v>0</v>
      </c>
      <c r="DT18" s="68">
        <f>DS18+DF18</f>
        <v>0</v>
      </c>
      <c r="DU18" s="68">
        <f>DT18+DG18</f>
        <v>0</v>
      </c>
      <c r="DV18" s="68">
        <f>DU18+DH18</f>
        <v>0</v>
      </c>
      <c r="DW18" s="68">
        <f>DV18+DI18</f>
        <v>0</v>
      </c>
      <c r="DX18" s="68">
        <f>DW18+DJ18</f>
        <v>0</v>
      </c>
      <c r="DY18" s="68">
        <f>DX18+DK18</f>
        <v>0</v>
      </c>
      <c r="DZ18" s="68">
        <f>DY18+DL18</f>
        <v>0</v>
      </c>
      <c r="EA18" s="68">
        <f>DZ18+DM18</f>
        <v>0</v>
      </c>
      <c r="EB18" s="68">
        <f>EA18+DN18</f>
        <v>0</v>
      </c>
      <c r="EC18" s="68">
        <f>EB18+DO18</f>
        <v>0</v>
      </c>
      <c r="ED18" s="68">
        <f>$EC18-$AB18</f>
        <v>0</v>
      </c>
    </row>
    <row r="19" spans="1:134" ht="75">
      <c r="A19" s="74"/>
      <c r="B19" s="50">
        <v>10</v>
      </c>
      <c r="C19" s="50" t="s">
        <v>269</v>
      </c>
      <c r="D19" s="50" t="s">
        <v>297</v>
      </c>
      <c r="E19" s="50"/>
      <c r="F19" s="50" t="s">
        <v>272</v>
      </c>
      <c r="G19" s="50" t="s">
        <v>273</v>
      </c>
      <c r="H19" s="37" t="s">
        <v>151</v>
      </c>
      <c r="I19" s="37" t="s">
        <v>274</v>
      </c>
      <c r="J19" s="37" t="s">
        <v>298</v>
      </c>
      <c r="K19" s="50" t="s">
        <v>3</v>
      </c>
      <c r="L19" s="50" t="s">
        <v>14</v>
      </c>
      <c r="M19" s="50" t="s">
        <v>16</v>
      </c>
      <c r="N19" s="50" t="s">
        <v>276</v>
      </c>
      <c r="O19" s="37" t="s">
        <v>3</v>
      </c>
      <c r="P19" s="37" t="s">
        <v>14</v>
      </c>
      <c r="Q19" s="37" t="s">
        <v>16</v>
      </c>
      <c r="R19" s="37" t="s">
        <v>276</v>
      </c>
      <c r="S19" s="50" t="s">
        <v>277</v>
      </c>
      <c r="T19" s="50" t="s">
        <v>393</v>
      </c>
      <c r="U19" s="50" t="s">
        <v>394</v>
      </c>
      <c r="V19" s="56" t="s">
        <v>395</v>
      </c>
      <c r="W19" s="56" t="s">
        <v>395</v>
      </c>
      <c r="X19" s="38" t="s">
        <v>396</v>
      </c>
      <c r="Y19" s="60">
        <v>70000000000</v>
      </c>
      <c r="Z19" s="60">
        <v>11200436490</v>
      </c>
      <c r="AA19" s="60"/>
      <c r="AB19" s="60">
        <f>Z19+AA19</f>
        <v>11200436490</v>
      </c>
      <c r="AC19" s="61"/>
      <c r="AD19" s="61"/>
      <c r="AE19" s="109">
        <v>184922803200</v>
      </c>
      <c r="AF19" s="109">
        <v>83215261440</v>
      </c>
      <c r="AG19" s="108">
        <f>$AR19+$AZ19+$BQ19+$BT19+$BU19+$BV19</f>
        <v>0</v>
      </c>
      <c r="AH19" s="121">
        <f>AF19-AG19</f>
        <v>83215261440</v>
      </c>
      <c r="AI19" s="39" t="s">
        <v>397</v>
      </c>
      <c r="AJ19" s="198"/>
      <c r="AK19" s="198"/>
      <c r="AL19" s="42"/>
      <c r="AM19" s="68"/>
      <c r="AN19" s="68"/>
      <c r="AO19" s="68"/>
      <c r="AP19" s="68"/>
      <c r="AQ19" s="68">
        <v>0</v>
      </c>
      <c r="AR19" s="68">
        <v>0</v>
      </c>
      <c r="AS19" s="68" t="s">
        <v>307</v>
      </c>
      <c r="AT19" s="68"/>
      <c r="AU19" s="69" t="s">
        <v>277</v>
      </c>
      <c r="AV19" s="69" t="s">
        <v>277</v>
      </c>
      <c r="AW19" s="69" t="s">
        <v>277</v>
      </c>
      <c r="AX19" s="69"/>
      <c r="AY19" s="68">
        <v>0</v>
      </c>
      <c r="AZ19" s="68">
        <v>0</v>
      </c>
      <c r="BA19" s="68" t="s">
        <v>307</v>
      </c>
      <c r="BB19" s="68"/>
      <c r="BC19" s="69" t="s">
        <v>277</v>
      </c>
      <c r="BD19" s="69" t="s">
        <v>277</v>
      </c>
      <c r="BE19" s="56" t="s">
        <v>277</v>
      </c>
      <c r="BF19" s="56" t="s">
        <v>277</v>
      </c>
      <c r="BG19" s="56" t="s">
        <v>277</v>
      </c>
      <c r="BH19" s="56" t="s">
        <v>277</v>
      </c>
      <c r="BI19" s="69">
        <v>0</v>
      </c>
      <c r="BJ19" s="69">
        <v>0</v>
      </c>
      <c r="BK19" s="69">
        <v>0</v>
      </c>
      <c r="BL19" s="69">
        <v>0</v>
      </c>
      <c r="BM19" s="69">
        <v>0</v>
      </c>
      <c r="BN19" s="69">
        <v>0</v>
      </c>
      <c r="BO19" s="69">
        <v>0</v>
      </c>
      <c r="BP19" s="69">
        <v>0</v>
      </c>
      <c r="BQ19" s="69">
        <f>$BJ19</f>
        <v>0</v>
      </c>
      <c r="BR19" s="69" t="s">
        <v>156</v>
      </c>
      <c r="BS19" s="69" t="s">
        <v>398</v>
      </c>
      <c r="BT19" s="68">
        <v>0</v>
      </c>
      <c r="BU19" s="68">
        <v>0</v>
      </c>
      <c r="BV19" s="68">
        <v>0</v>
      </c>
      <c r="BW19" s="109">
        <v>0</v>
      </c>
      <c r="BX19" s="109">
        <v>0</v>
      </c>
      <c r="BY19" s="109">
        <v>9246140160</v>
      </c>
      <c r="BZ19" s="109">
        <v>0</v>
      </c>
      <c r="CA19" s="109">
        <v>0</v>
      </c>
      <c r="CB19" s="109">
        <v>0</v>
      </c>
      <c r="CC19" s="109">
        <v>0</v>
      </c>
      <c r="CD19" s="109">
        <v>73969121280</v>
      </c>
      <c r="CE19" s="109">
        <v>0</v>
      </c>
      <c r="CF19" s="108">
        <f>SUM(BT19:CE19)</f>
        <v>83215261440</v>
      </c>
      <c r="CG19" s="108">
        <f>$CF19-$AF19</f>
        <v>0</v>
      </c>
      <c r="CH19" s="37" t="s">
        <v>289</v>
      </c>
      <c r="CI19" s="37" t="s">
        <v>290</v>
      </c>
      <c r="CJ19" s="37" t="s">
        <v>277</v>
      </c>
      <c r="CK19" s="37" t="s">
        <v>290</v>
      </c>
      <c r="CL19" s="37" t="s">
        <v>277</v>
      </c>
      <c r="CM19" s="37" t="s">
        <v>277</v>
      </c>
      <c r="CN19" s="37" t="s">
        <v>290</v>
      </c>
      <c r="CO19" s="37" t="s">
        <v>275</v>
      </c>
      <c r="CP19" s="41">
        <v>46023</v>
      </c>
      <c r="CQ19" s="41">
        <v>46387</v>
      </c>
      <c r="CR19" s="37" t="s">
        <v>293</v>
      </c>
      <c r="CS19" s="37" t="s">
        <v>322</v>
      </c>
      <c r="CT19" s="37" t="s">
        <v>295</v>
      </c>
      <c r="CU19" s="37" t="s">
        <v>296</v>
      </c>
      <c r="CV19" s="37" t="s">
        <v>323</v>
      </c>
      <c r="CW19" s="37" t="s">
        <v>277</v>
      </c>
      <c r="CX19" s="37" t="s">
        <v>277</v>
      </c>
      <c r="CY19" s="37">
        <v>0</v>
      </c>
      <c r="CZ19" s="123">
        <v>46143</v>
      </c>
      <c r="DA19" s="123">
        <v>47270</v>
      </c>
      <c r="DB19" s="37" t="s">
        <v>399</v>
      </c>
      <c r="DC19" s="88" t="s">
        <v>400</v>
      </c>
      <c r="DD19" s="68">
        <v>0</v>
      </c>
      <c r="DE19" s="68">
        <v>0</v>
      </c>
      <c r="DF19" s="68">
        <v>610249177</v>
      </c>
      <c r="DG19" s="68">
        <v>0</v>
      </c>
      <c r="DH19" s="68">
        <v>0</v>
      </c>
      <c r="DI19" s="68">
        <v>3021640138</v>
      </c>
      <c r="DJ19" s="68">
        <v>6381120696</v>
      </c>
      <c r="DK19" s="68">
        <v>1187426479</v>
      </c>
      <c r="DL19" s="68">
        <v>0</v>
      </c>
      <c r="DM19" s="68">
        <v>0</v>
      </c>
      <c r="DN19" s="68">
        <v>0</v>
      </c>
      <c r="DO19" s="68">
        <v>0</v>
      </c>
      <c r="DP19" s="68">
        <f>SUM(DD19:DO19)</f>
        <v>11200436490</v>
      </c>
      <c r="DQ19" s="68">
        <f>DP19-AB19</f>
        <v>0</v>
      </c>
      <c r="DR19" s="68">
        <f>$DD19</f>
        <v>0</v>
      </c>
      <c r="DS19" s="68">
        <f>DR19+DE19</f>
        <v>0</v>
      </c>
      <c r="DT19" s="68">
        <f>DS19+DF19</f>
        <v>610249177</v>
      </c>
      <c r="DU19" s="68">
        <f>DT19+DG19</f>
        <v>610249177</v>
      </c>
      <c r="DV19" s="68">
        <f>DU19+DH19</f>
        <v>610249177</v>
      </c>
      <c r="DW19" s="68">
        <f>DV19+DI19</f>
        <v>3631889315</v>
      </c>
      <c r="DX19" s="68">
        <f>DW19+DJ19</f>
        <v>10013010011</v>
      </c>
      <c r="DY19" s="68">
        <f>DX19+DK19</f>
        <v>11200436490</v>
      </c>
      <c r="DZ19" s="68">
        <f>DY19+DL19</f>
        <v>11200436490</v>
      </c>
      <c r="EA19" s="68">
        <f>DZ19+DM19</f>
        <v>11200436490</v>
      </c>
      <c r="EB19" s="68">
        <f>EA19+DN19</f>
        <v>11200436490</v>
      </c>
      <c r="EC19" s="68">
        <f>EB19+DO19</f>
        <v>11200436490</v>
      </c>
      <c r="ED19" s="68">
        <f>$EC19-$AB19</f>
        <v>0</v>
      </c>
    </row>
    <row r="20" spans="1:134" ht="90">
      <c r="B20" s="54"/>
      <c r="C20" s="50" t="s">
        <v>269</v>
      </c>
      <c r="D20" s="50" t="s">
        <v>270</v>
      </c>
      <c r="E20" s="55" t="s">
        <v>401</v>
      </c>
      <c r="F20" s="50" t="s">
        <v>272</v>
      </c>
      <c r="G20" s="50" t="s">
        <v>273</v>
      </c>
      <c r="H20" s="37" t="s">
        <v>151</v>
      </c>
      <c r="I20" s="37" t="s">
        <v>274</v>
      </c>
      <c r="J20" s="37" t="s">
        <v>298</v>
      </c>
      <c r="K20" s="50" t="s">
        <v>3</v>
      </c>
      <c r="L20" s="50" t="s">
        <v>14</v>
      </c>
      <c r="M20" s="50" t="s">
        <v>16</v>
      </c>
      <c r="N20" s="50" t="s">
        <v>276</v>
      </c>
      <c r="O20" s="37" t="s">
        <v>3</v>
      </c>
      <c r="P20" s="37" t="s">
        <v>14</v>
      </c>
      <c r="Q20" s="37" t="s">
        <v>16</v>
      </c>
      <c r="R20" s="37" t="s">
        <v>276</v>
      </c>
      <c r="S20" s="50" t="s">
        <v>277</v>
      </c>
      <c r="T20" s="50">
        <v>167</v>
      </c>
      <c r="U20" s="50" t="s">
        <v>402</v>
      </c>
      <c r="V20" s="56" t="s">
        <v>277</v>
      </c>
      <c r="W20" s="57" t="s">
        <v>403</v>
      </c>
      <c r="X20" s="46" t="s">
        <v>403</v>
      </c>
      <c r="Y20" s="64">
        <v>101032736977</v>
      </c>
      <c r="Z20" s="65">
        <v>0</v>
      </c>
      <c r="AA20" s="65">
        <f>0+74328774267</f>
        <v>74328774267</v>
      </c>
      <c r="AB20" s="65">
        <f>Z20+AA20</f>
        <v>74328774267</v>
      </c>
      <c r="AC20" s="66" t="s">
        <v>404</v>
      </c>
      <c r="AD20" s="66" t="s">
        <v>405</v>
      </c>
      <c r="AE20" s="107">
        <v>101032736977</v>
      </c>
      <c r="AF20" s="120">
        <v>74328774267</v>
      </c>
      <c r="AG20" s="121">
        <f>$AR20+$AZ20+$BQ20+$BT20+$BU20+$BV20</f>
        <v>0</v>
      </c>
      <c r="AH20" s="121">
        <f>AF20-AG20</f>
        <v>74328774267</v>
      </c>
      <c r="AI20" s="47" t="s">
        <v>406</v>
      </c>
      <c r="AJ20" s="196"/>
      <c r="AK20" s="196"/>
      <c r="AL20" s="48"/>
      <c r="AM20" s="54"/>
      <c r="AN20" s="54"/>
      <c r="AO20" s="54"/>
      <c r="AP20" s="54"/>
      <c r="AQ20" s="72"/>
      <c r="AR20" s="72"/>
      <c r="AS20" s="54"/>
      <c r="AT20" s="54"/>
      <c r="AU20" s="54"/>
      <c r="AV20" s="54"/>
      <c r="AW20" s="54"/>
      <c r="AX20" s="54"/>
      <c r="AY20" s="72"/>
      <c r="AZ20" s="72"/>
      <c r="BA20" s="54"/>
      <c r="BB20" s="54"/>
      <c r="BC20" s="54"/>
      <c r="BD20" s="54"/>
      <c r="BE20" s="57" t="s">
        <v>407</v>
      </c>
      <c r="BF20" s="57" t="s">
        <v>408</v>
      </c>
      <c r="BG20" s="57" t="s">
        <v>403</v>
      </c>
      <c r="BH20" s="57" t="s">
        <v>296</v>
      </c>
      <c r="BI20" s="54">
        <v>101032736977</v>
      </c>
      <c r="BJ20" s="54">
        <v>74328774267</v>
      </c>
      <c r="BK20" s="54">
        <v>16600689012.299999</v>
      </c>
      <c r="BL20" s="54">
        <v>5051636848.8500004</v>
      </c>
      <c r="BM20" s="54">
        <v>5051636848.8500004</v>
      </c>
      <c r="BN20" s="54">
        <v>0</v>
      </c>
      <c r="BO20" s="54">
        <v>0</v>
      </c>
      <c r="BP20" s="54">
        <v>0</v>
      </c>
      <c r="BQ20" s="54"/>
      <c r="BR20" s="69" t="s">
        <v>156</v>
      </c>
      <c r="BS20" s="69"/>
      <c r="BT20" s="72">
        <v>0</v>
      </c>
      <c r="BU20" s="72">
        <v>0</v>
      </c>
      <c r="BV20" s="72">
        <v>0</v>
      </c>
      <c r="BW20" s="94">
        <v>0</v>
      </c>
      <c r="BX20" s="94">
        <v>0</v>
      </c>
      <c r="BY20" s="94">
        <v>0</v>
      </c>
      <c r="BZ20" s="94">
        <v>0</v>
      </c>
      <c r="CA20" s="94">
        <v>74328774267</v>
      </c>
      <c r="CB20" s="94">
        <v>0</v>
      </c>
      <c r="CC20" s="94">
        <v>0</v>
      </c>
      <c r="CD20" s="94">
        <v>0</v>
      </c>
      <c r="CE20" s="94">
        <v>0</v>
      </c>
      <c r="CF20" s="64">
        <f>SUM(BT20:CE20)</f>
        <v>74328774267</v>
      </c>
      <c r="CG20" s="64">
        <f>$CF20-$AF20</f>
        <v>0</v>
      </c>
      <c r="CH20" s="87" t="s">
        <v>289</v>
      </c>
      <c r="CI20" s="87" t="s">
        <v>290</v>
      </c>
      <c r="CJ20" s="87" t="s">
        <v>277</v>
      </c>
      <c r="CK20" s="87" t="s">
        <v>290</v>
      </c>
      <c r="CL20" s="87" t="s">
        <v>277</v>
      </c>
      <c r="CM20" s="87" t="s">
        <v>277</v>
      </c>
      <c r="CN20" s="87" t="s">
        <v>290</v>
      </c>
      <c r="CO20" s="87" t="s">
        <v>277</v>
      </c>
      <c r="CP20" s="87" t="s">
        <v>277</v>
      </c>
      <c r="CQ20" s="87" t="s">
        <v>277</v>
      </c>
      <c r="CR20" s="87" t="s">
        <v>293</v>
      </c>
      <c r="CS20" s="87" t="s">
        <v>322</v>
      </c>
      <c r="CT20" s="87" t="s">
        <v>295</v>
      </c>
      <c r="CU20" s="89" t="s">
        <v>296</v>
      </c>
      <c r="CV20" s="91" t="s">
        <v>156</v>
      </c>
      <c r="CW20" s="87" t="s">
        <v>277</v>
      </c>
      <c r="CX20" s="87" t="s">
        <v>277</v>
      </c>
      <c r="CY20" s="87" t="s">
        <v>277</v>
      </c>
      <c r="CZ20" s="45" t="s">
        <v>277</v>
      </c>
      <c r="DA20" s="45" t="s">
        <v>277</v>
      </c>
      <c r="DB20" s="45" t="s">
        <v>277</v>
      </c>
      <c r="DC20" s="45" t="s">
        <v>277</v>
      </c>
      <c r="DD20" s="72">
        <v>0</v>
      </c>
      <c r="DE20" s="72">
        <v>0</v>
      </c>
      <c r="DF20" s="72">
        <v>0</v>
      </c>
      <c r="DG20" s="72">
        <v>0</v>
      </c>
      <c r="DH20" s="72">
        <v>0</v>
      </c>
      <c r="DI20" s="72">
        <v>0</v>
      </c>
      <c r="DJ20" s="72">
        <f>0+74328774267</f>
        <v>74328774267</v>
      </c>
      <c r="DK20" s="72">
        <v>0</v>
      </c>
      <c r="DL20" s="72">
        <v>0</v>
      </c>
      <c r="DM20" s="72">
        <v>0</v>
      </c>
      <c r="DN20" s="72">
        <v>0</v>
      </c>
      <c r="DO20" s="72">
        <v>0</v>
      </c>
      <c r="DP20" s="72">
        <f>SUM(DD20:DO20)</f>
        <v>74328774267</v>
      </c>
      <c r="DQ20" s="72">
        <f>DP20-AB20</f>
        <v>0</v>
      </c>
      <c r="DR20" s="72">
        <f>$DD20</f>
        <v>0</v>
      </c>
      <c r="DS20" s="72">
        <f>DR20+DE20</f>
        <v>0</v>
      </c>
      <c r="DT20" s="72">
        <f>DS20+DF20</f>
        <v>0</v>
      </c>
      <c r="DU20" s="72">
        <f>DT20+DG20</f>
        <v>0</v>
      </c>
      <c r="DV20" s="72">
        <f>DU20+DH20</f>
        <v>0</v>
      </c>
      <c r="DW20" s="72">
        <f>DV20+DI20</f>
        <v>0</v>
      </c>
      <c r="DX20" s="72">
        <f>DW20+DJ20</f>
        <v>74328774267</v>
      </c>
      <c r="DY20" s="72">
        <f>DX20+DK20</f>
        <v>74328774267</v>
      </c>
      <c r="DZ20" s="72">
        <f>DY20+DL20</f>
        <v>74328774267</v>
      </c>
      <c r="EA20" s="72">
        <f>DZ20+DM20</f>
        <v>74328774267</v>
      </c>
      <c r="EB20" s="72">
        <f>EA20+DN20</f>
        <v>74328774267</v>
      </c>
      <c r="EC20" s="72">
        <f>EB20+DO20</f>
        <v>74328774267</v>
      </c>
      <c r="ED20" s="72">
        <f>$EC20-$AB20</f>
        <v>0</v>
      </c>
    </row>
    <row r="21" spans="1:134" ht="195">
      <c r="A21" s="74"/>
      <c r="B21" s="50">
        <v>107</v>
      </c>
      <c r="C21" s="50" t="s">
        <v>269</v>
      </c>
      <c r="D21" s="50" t="s">
        <v>297</v>
      </c>
      <c r="E21" s="50"/>
      <c r="F21" s="50" t="s">
        <v>272</v>
      </c>
      <c r="G21" s="50" t="s">
        <v>273</v>
      </c>
      <c r="H21" s="37" t="s">
        <v>151</v>
      </c>
      <c r="I21" s="37" t="s">
        <v>326</v>
      </c>
      <c r="J21" s="37" t="s">
        <v>327</v>
      </c>
      <c r="K21" s="50" t="s">
        <v>3</v>
      </c>
      <c r="L21" s="50" t="s">
        <v>14</v>
      </c>
      <c r="M21" s="50" t="s">
        <v>16</v>
      </c>
      <c r="N21" s="50" t="s">
        <v>276</v>
      </c>
      <c r="O21" s="37" t="s">
        <v>3</v>
      </c>
      <c r="P21" s="37" t="s">
        <v>14</v>
      </c>
      <c r="Q21" s="37" t="s">
        <v>16</v>
      </c>
      <c r="R21" s="37" t="s">
        <v>276</v>
      </c>
      <c r="S21" s="50" t="s">
        <v>409</v>
      </c>
      <c r="T21" s="50" t="s">
        <v>410</v>
      </c>
      <c r="U21" s="50" t="s">
        <v>411</v>
      </c>
      <c r="V21" s="56" t="s">
        <v>412</v>
      </c>
      <c r="W21" s="56" t="s">
        <v>412</v>
      </c>
      <c r="X21" s="38" t="s">
        <v>413</v>
      </c>
      <c r="Y21" s="60">
        <v>504196844836</v>
      </c>
      <c r="Z21" s="60">
        <v>105018838560</v>
      </c>
      <c r="AA21" s="60">
        <v>-31046902242</v>
      </c>
      <c r="AB21" s="60">
        <f>Z21+AA21</f>
        <v>73971936318</v>
      </c>
      <c r="AC21" s="61" t="s">
        <v>414</v>
      </c>
      <c r="AD21" s="61" t="s">
        <v>415</v>
      </c>
      <c r="AE21" s="107">
        <v>504196844836</v>
      </c>
      <c r="AF21" s="40">
        <v>73971936318</v>
      </c>
      <c r="AG21" s="110">
        <f>$AR21+$AZ21+$BQ21+$BT21+$BU21+$BV21</f>
        <v>0</v>
      </c>
      <c r="AH21" s="121">
        <f>AF21-AG21</f>
        <v>73971936318</v>
      </c>
      <c r="AI21" s="39" t="s">
        <v>416</v>
      </c>
      <c r="AJ21" s="198"/>
      <c r="AK21" s="198"/>
      <c r="AL21" s="42"/>
      <c r="AM21" s="68"/>
      <c r="AN21" s="68"/>
      <c r="AO21" s="68"/>
      <c r="AP21" s="68"/>
      <c r="AQ21" s="68">
        <v>0</v>
      </c>
      <c r="AR21" s="68">
        <v>0</v>
      </c>
      <c r="AS21" s="68" t="s">
        <v>307</v>
      </c>
      <c r="AT21" s="68"/>
      <c r="AU21" s="69" t="s">
        <v>277</v>
      </c>
      <c r="AV21" s="69" t="s">
        <v>277</v>
      </c>
      <c r="AW21" s="69" t="s">
        <v>277</v>
      </c>
      <c r="AX21" s="69"/>
      <c r="AY21" s="68">
        <v>0</v>
      </c>
      <c r="AZ21" s="68">
        <v>0</v>
      </c>
      <c r="BA21" s="68" t="s">
        <v>307</v>
      </c>
      <c r="BB21" s="68"/>
      <c r="BC21" s="69" t="s">
        <v>277</v>
      </c>
      <c r="BD21" s="69" t="s">
        <v>277</v>
      </c>
      <c r="BE21" s="56" t="s">
        <v>417</v>
      </c>
      <c r="BF21" s="56" t="s">
        <v>418</v>
      </c>
      <c r="BG21" s="56" t="s">
        <v>419</v>
      </c>
      <c r="BH21" s="56" t="s">
        <v>420</v>
      </c>
      <c r="BI21" s="69">
        <v>557585364436</v>
      </c>
      <c r="BJ21" s="69">
        <v>10497140177</v>
      </c>
      <c r="BK21" s="69">
        <v>31491420532</v>
      </c>
      <c r="BL21" s="69">
        <v>2624285045</v>
      </c>
      <c r="BM21" s="69">
        <v>2624285044</v>
      </c>
      <c r="BN21" s="69">
        <v>2624285044</v>
      </c>
      <c r="BO21" s="69">
        <v>2624285044</v>
      </c>
      <c r="BP21" s="69">
        <v>0</v>
      </c>
      <c r="BQ21" s="69"/>
      <c r="BR21" s="69" t="s">
        <v>156</v>
      </c>
      <c r="BS21" s="69" t="s">
        <v>317</v>
      </c>
      <c r="BT21" s="68">
        <v>0</v>
      </c>
      <c r="BU21" s="68">
        <v>0</v>
      </c>
      <c r="BV21" s="68"/>
      <c r="BW21" s="94">
        <v>0</v>
      </c>
      <c r="BX21" s="94">
        <v>0</v>
      </c>
      <c r="BY21" s="94">
        <v>0</v>
      </c>
      <c r="BZ21" s="94">
        <v>0</v>
      </c>
      <c r="CA21" s="94">
        <v>0</v>
      </c>
      <c r="CB21" s="109">
        <v>10497140177</v>
      </c>
      <c r="CC21" s="109">
        <v>0</v>
      </c>
      <c r="CD21" s="109">
        <v>0</v>
      </c>
      <c r="CE21" s="109">
        <v>0</v>
      </c>
      <c r="CF21" s="108">
        <f>SUM(BT21:CE21)</f>
        <v>10497140177</v>
      </c>
      <c r="CG21" s="108">
        <f>$CF21-$AF21</f>
        <v>-63474796141</v>
      </c>
      <c r="CH21" s="37" t="s">
        <v>421</v>
      </c>
      <c r="CI21" s="37" t="s">
        <v>291</v>
      </c>
      <c r="CJ21" s="37" t="s">
        <v>319</v>
      </c>
      <c r="CK21" s="37" t="s">
        <v>290</v>
      </c>
      <c r="CL21" s="37" t="s">
        <v>320</v>
      </c>
      <c r="CM21" s="37" t="s">
        <v>321</v>
      </c>
      <c r="CN21" s="37" t="s">
        <v>290</v>
      </c>
      <c r="CO21" s="37" t="s">
        <v>277</v>
      </c>
      <c r="CP21" s="41">
        <v>46023</v>
      </c>
      <c r="CQ21" s="41">
        <v>47453</v>
      </c>
      <c r="CR21" s="37" t="s">
        <v>293</v>
      </c>
      <c r="CS21" s="37" t="s">
        <v>322</v>
      </c>
      <c r="CT21" s="37" t="s">
        <v>295</v>
      </c>
      <c r="CU21" s="37" t="s">
        <v>296</v>
      </c>
      <c r="CV21" s="37" t="s">
        <v>323</v>
      </c>
      <c r="CW21" s="37">
        <v>0</v>
      </c>
      <c r="CX21" s="37">
        <v>0</v>
      </c>
      <c r="CY21" s="37">
        <v>0</v>
      </c>
      <c r="CZ21" s="123" t="s">
        <v>277</v>
      </c>
      <c r="DA21" s="123" t="s">
        <v>277</v>
      </c>
      <c r="DB21" s="37" t="s">
        <v>422</v>
      </c>
      <c r="DC21" s="37" t="s">
        <v>423</v>
      </c>
      <c r="DD21" s="68">
        <v>0</v>
      </c>
      <c r="DE21" s="68">
        <v>0</v>
      </c>
      <c r="DF21" s="68">
        <v>0</v>
      </c>
      <c r="DG21" s="68">
        <v>0</v>
      </c>
      <c r="DH21" s="68">
        <v>0</v>
      </c>
      <c r="DI21" s="68">
        <v>0</v>
      </c>
      <c r="DJ21" s="68">
        <f>89323405234-31046902242</f>
        <v>58276502992</v>
      </c>
      <c r="DK21" s="68">
        <v>15695433326</v>
      </c>
      <c r="DL21" s="68">
        <v>0</v>
      </c>
      <c r="DM21" s="68">
        <v>0</v>
      </c>
      <c r="DN21" s="68">
        <v>0</v>
      </c>
      <c r="DO21" s="68">
        <v>0</v>
      </c>
      <c r="DP21" s="68">
        <f>SUM(DD21:DO21)</f>
        <v>73971936318</v>
      </c>
      <c r="DQ21" s="68">
        <f>DP21-AB21</f>
        <v>0</v>
      </c>
      <c r="DR21" s="68">
        <f>$DD21</f>
        <v>0</v>
      </c>
      <c r="DS21" s="68">
        <f>DR21+DE21</f>
        <v>0</v>
      </c>
      <c r="DT21" s="68">
        <f>DS21+DF21</f>
        <v>0</v>
      </c>
      <c r="DU21" s="68">
        <f>DT21+DG21</f>
        <v>0</v>
      </c>
      <c r="DV21" s="68">
        <f>DU21+DH21</f>
        <v>0</v>
      </c>
      <c r="DW21" s="68">
        <f>DV21+DI21</f>
        <v>0</v>
      </c>
      <c r="DX21" s="68">
        <f>DW21+DJ21</f>
        <v>58276502992</v>
      </c>
      <c r="DY21" s="68">
        <f>DX21+DK21</f>
        <v>73971936318</v>
      </c>
      <c r="DZ21" s="68">
        <f>DY21+DL21</f>
        <v>73971936318</v>
      </c>
      <c r="EA21" s="68">
        <f>DZ21+DM21</f>
        <v>73971936318</v>
      </c>
      <c r="EB21" s="68">
        <f>EA21+DN21</f>
        <v>73971936318</v>
      </c>
      <c r="EC21" s="68">
        <f>EB21+DO21</f>
        <v>73971936318</v>
      </c>
      <c r="ED21" s="68">
        <f>$EC21-$AB21</f>
        <v>0</v>
      </c>
    </row>
    <row r="22" spans="1:134" ht="45">
      <c r="A22" s="74"/>
      <c r="B22" s="50">
        <v>78</v>
      </c>
      <c r="C22" s="50" t="s">
        <v>269</v>
      </c>
      <c r="D22" s="50" t="s">
        <v>297</v>
      </c>
      <c r="E22" s="50"/>
      <c r="F22" s="50" t="s">
        <v>272</v>
      </c>
      <c r="G22" s="50" t="s">
        <v>273</v>
      </c>
      <c r="H22" s="37" t="s">
        <v>151</v>
      </c>
      <c r="I22" s="37" t="s">
        <v>424</v>
      </c>
      <c r="J22" s="37" t="s">
        <v>425</v>
      </c>
      <c r="K22" s="50" t="s">
        <v>3</v>
      </c>
      <c r="L22" s="50" t="s">
        <v>14</v>
      </c>
      <c r="M22" s="50" t="s">
        <v>16</v>
      </c>
      <c r="N22" s="50" t="s">
        <v>276</v>
      </c>
      <c r="O22" s="37" t="s">
        <v>3</v>
      </c>
      <c r="P22" s="37" t="s">
        <v>14</v>
      </c>
      <c r="Q22" s="37" t="s">
        <v>16</v>
      </c>
      <c r="R22" s="37" t="s">
        <v>276</v>
      </c>
      <c r="S22" s="50" t="s">
        <v>426</v>
      </c>
      <c r="T22" s="50" t="s">
        <v>427</v>
      </c>
      <c r="U22" s="50" t="s">
        <v>428</v>
      </c>
      <c r="V22" s="56" t="s">
        <v>429</v>
      </c>
      <c r="W22" s="56" t="s">
        <v>429</v>
      </c>
      <c r="X22" s="38" t="s">
        <v>429</v>
      </c>
      <c r="Y22" s="60">
        <v>149162574782</v>
      </c>
      <c r="Z22" s="60">
        <v>29832514956</v>
      </c>
      <c r="AA22" s="60"/>
      <c r="AB22" s="60">
        <f>Z22+AA22</f>
        <v>29832514956</v>
      </c>
      <c r="AC22" s="61"/>
      <c r="AD22" s="61"/>
      <c r="AE22" s="109">
        <v>122000000000</v>
      </c>
      <c r="AF22" s="109">
        <v>65880000000</v>
      </c>
      <c r="AG22" s="108">
        <f>$AR22+$AZ22+$BQ22+$BT22+$BU22+$BV22</f>
        <v>0</v>
      </c>
      <c r="AH22" s="121">
        <f>AF22-AG22</f>
        <v>65880000000</v>
      </c>
      <c r="AI22" s="39" t="s">
        <v>430</v>
      </c>
      <c r="AJ22" s="198"/>
      <c r="AK22" s="198"/>
      <c r="AL22" s="42"/>
      <c r="AM22" s="68"/>
      <c r="AN22" s="68"/>
      <c r="AO22" s="68"/>
      <c r="AP22" s="68"/>
      <c r="AQ22" s="68">
        <v>0</v>
      </c>
      <c r="AR22" s="68">
        <v>0</v>
      </c>
      <c r="AS22" s="68" t="s">
        <v>307</v>
      </c>
      <c r="AT22" s="68"/>
      <c r="AU22" s="69" t="s">
        <v>277</v>
      </c>
      <c r="AV22" s="69" t="s">
        <v>277</v>
      </c>
      <c r="AW22" s="69" t="s">
        <v>277</v>
      </c>
      <c r="AX22" s="69"/>
      <c r="AY22" s="68">
        <v>0</v>
      </c>
      <c r="AZ22" s="68">
        <v>0</v>
      </c>
      <c r="BA22" s="68" t="s">
        <v>307</v>
      </c>
      <c r="BB22" s="68"/>
      <c r="BC22" s="69" t="s">
        <v>431</v>
      </c>
      <c r="BD22" s="69" t="s">
        <v>277</v>
      </c>
      <c r="BE22" s="56" t="s">
        <v>277</v>
      </c>
      <c r="BF22" s="56" t="s">
        <v>277</v>
      </c>
      <c r="BG22" s="56" t="s">
        <v>277</v>
      </c>
      <c r="BH22" s="56" t="s">
        <v>277</v>
      </c>
      <c r="BI22" s="69">
        <v>0</v>
      </c>
      <c r="BJ22" s="69">
        <v>0</v>
      </c>
      <c r="BK22" s="69">
        <v>0</v>
      </c>
      <c r="BL22" s="69">
        <v>0</v>
      </c>
      <c r="BM22" s="69">
        <v>0</v>
      </c>
      <c r="BN22" s="69">
        <v>0</v>
      </c>
      <c r="BO22" s="69">
        <v>0</v>
      </c>
      <c r="BP22" s="69">
        <v>0</v>
      </c>
      <c r="BQ22" s="69"/>
      <c r="BR22" s="69" t="s">
        <v>382</v>
      </c>
      <c r="BS22" s="69" t="s">
        <v>432</v>
      </c>
      <c r="BT22" s="68">
        <v>0</v>
      </c>
      <c r="BU22" s="68">
        <v>0</v>
      </c>
      <c r="BV22" s="68">
        <v>0</v>
      </c>
      <c r="BW22" s="94">
        <v>0</v>
      </c>
      <c r="BX22" s="94">
        <v>0</v>
      </c>
      <c r="BY22" s="94">
        <v>0</v>
      </c>
      <c r="BZ22" s="94">
        <v>0</v>
      </c>
      <c r="CA22" s="94">
        <v>0</v>
      </c>
      <c r="CB22" s="94">
        <v>0</v>
      </c>
      <c r="CC22" s="94">
        <v>0</v>
      </c>
      <c r="CD22" s="94">
        <v>0</v>
      </c>
      <c r="CE22" s="109">
        <v>65880000000</v>
      </c>
      <c r="CF22" s="108">
        <f>SUM(BT22:CE22)</f>
        <v>65880000000</v>
      </c>
      <c r="CG22" s="108">
        <f>$CF22-$AF22</f>
        <v>0</v>
      </c>
      <c r="CH22" s="37" t="s">
        <v>318</v>
      </c>
      <c r="CI22" s="37" t="s">
        <v>291</v>
      </c>
      <c r="CJ22" s="37" t="s">
        <v>319</v>
      </c>
      <c r="CK22" s="37" t="s">
        <v>290</v>
      </c>
      <c r="CL22" s="37" t="s">
        <v>277</v>
      </c>
      <c r="CM22" s="37" t="s">
        <v>277</v>
      </c>
      <c r="CN22" s="37" t="s">
        <v>290</v>
      </c>
      <c r="CO22" s="37" t="s">
        <v>433</v>
      </c>
      <c r="CP22" s="41">
        <v>45931</v>
      </c>
      <c r="CQ22" s="41">
        <v>46174</v>
      </c>
      <c r="CR22" s="37" t="s">
        <v>293</v>
      </c>
      <c r="CS22" s="37" t="s">
        <v>294</v>
      </c>
      <c r="CT22" s="37" t="s">
        <v>295</v>
      </c>
      <c r="CU22" s="37" t="s">
        <v>341</v>
      </c>
      <c r="CV22" s="37" t="s">
        <v>434</v>
      </c>
      <c r="CW22" s="37" t="s">
        <v>429</v>
      </c>
      <c r="CX22" s="127">
        <v>122000000000</v>
      </c>
      <c r="CY22" s="37">
        <v>0</v>
      </c>
      <c r="CZ22" s="123" t="s">
        <v>277</v>
      </c>
      <c r="DA22" s="123" t="s">
        <v>277</v>
      </c>
      <c r="DB22" s="37" t="s">
        <v>277</v>
      </c>
      <c r="DC22" s="37" t="s">
        <v>435</v>
      </c>
      <c r="DD22" s="68">
        <v>0</v>
      </c>
      <c r="DE22" s="68">
        <v>0</v>
      </c>
      <c r="DF22" s="68">
        <v>0</v>
      </c>
      <c r="DG22" s="68">
        <v>0</v>
      </c>
      <c r="DH22" s="68">
        <v>0</v>
      </c>
      <c r="DI22" s="68">
        <v>0</v>
      </c>
      <c r="DJ22" s="68">
        <v>0</v>
      </c>
      <c r="DK22" s="68">
        <v>29832514956</v>
      </c>
      <c r="DL22" s="68">
        <v>0</v>
      </c>
      <c r="DM22" s="68">
        <v>0</v>
      </c>
      <c r="DN22" s="68">
        <v>0</v>
      </c>
      <c r="DO22" s="68">
        <v>0</v>
      </c>
      <c r="DP22" s="68">
        <f>SUM(DD22:DO22)</f>
        <v>29832514956</v>
      </c>
      <c r="DQ22" s="68">
        <f>DP22-AB22</f>
        <v>0</v>
      </c>
      <c r="DR22" s="68">
        <f>$DD22</f>
        <v>0</v>
      </c>
      <c r="DS22" s="68">
        <f>DR22+DE22</f>
        <v>0</v>
      </c>
      <c r="DT22" s="68">
        <f>DS22+DF22</f>
        <v>0</v>
      </c>
      <c r="DU22" s="68">
        <f>DT22+DG22</f>
        <v>0</v>
      </c>
      <c r="DV22" s="68">
        <f>DU22+DH22</f>
        <v>0</v>
      </c>
      <c r="DW22" s="68">
        <f>DV22+DI22</f>
        <v>0</v>
      </c>
      <c r="DX22" s="68">
        <f>DW22+DJ22</f>
        <v>0</v>
      </c>
      <c r="DY22" s="68">
        <f>DX22+DK22</f>
        <v>29832514956</v>
      </c>
      <c r="DZ22" s="68">
        <f>DY22+DL22</f>
        <v>29832514956</v>
      </c>
      <c r="EA22" s="68">
        <f>DZ22+DM22</f>
        <v>29832514956</v>
      </c>
      <c r="EB22" s="68">
        <f>EA22+DN22</f>
        <v>29832514956</v>
      </c>
      <c r="EC22" s="68">
        <f>EB22+DO22</f>
        <v>29832514956</v>
      </c>
      <c r="ED22" s="68">
        <f>$EC22-$AB22</f>
        <v>0</v>
      </c>
    </row>
    <row r="23" spans="1:134" ht="60">
      <c r="A23" s="74"/>
      <c r="B23" s="50">
        <v>161</v>
      </c>
      <c r="C23" s="50" t="s">
        <v>269</v>
      </c>
      <c r="D23" s="50" t="s">
        <v>270</v>
      </c>
      <c r="E23" s="53" t="s">
        <v>436</v>
      </c>
      <c r="F23" s="50" t="s">
        <v>272</v>
      </c>
      <c r="G23" s="50" t="s">
        <v>273</v>
      </c>
      <c r="H23" s="37" t="s">
        <v>151</v>
      </c>
      <c r="I23" s="37" t="s">
        <v>274</v>
      </c>
      <c r="J23" s="37" t="s">
        <v>275</v>
      </c>
      <c r="K23" s="50" t="s">
        <v>3</v>
      </c>
      <c r="L23" s="50" t="s">
        <v>14</v>
      </c>
      <c r="M23" s="50" t="s">
        <v>16</v>
      </c>
      <c r="N23" s="50" t="s">
        <v>276</v>
      </c>
      <c r="O23" s="37" t="s">
        <v>3</v>
      </c>
      <c r="P23" s="37" t="s">
        <v>14</v>
      </c>
      <c r="Q23" s="37" t="s">
        <v>16</v>
      </c>
      <c r="R23" s="37" t="s">
        <v>276</v>
      </c>
      <c r="S23" s="50" t="s">
        <v>277</v>
      </c>
      <c r="T23" s="50">
        <v>156</v>
      </c>
      <c r="U23" s="50" t="s">
        <v>437</v>
      </c>
      <c r="V23" s="56" t="s">
        <v>277</v>
      </c>
      <c r="W23" s="56" t="s">
        <v>438</v>
      </c>
      <c r="X23" s="38" t="s">
        <v>438</v>
      </c>
      <c r="Y23" s="64">
        <v>68212869934</v>
      </c>
      <c r="Z23" s="60">
        <v>0</v>
      </c>
      <c r="AA23" s="60"/>
      <c r="AB23" s="60"/>
      <c r="AC23" s="61"/>
      <c r="AD23" s="61"/>
      <c r="AE23" s="109">
        <v>68212869934</v>
      </c>
      <c r="AF23" s="109">
        <v>51159652451</v>
      </c>
      <c r="AG23" s="108">
        <f>$AR23+$AZ23+$BQ23+$BT23+$BU23+$BV23</f>
        <v>0</v>
      </c>
      <c r="AH23" s="121">
        <f>AF23-AG23</f>
        <v>51159652451</v>
      </c>
      <c r="AI23" s="39" t="s">
        <v>439</v>
      </c>
      <c r="AJ23" s="198"/>
      <c r="AK23" s="198"/>
      <c r="AL23" s="42"/>
      <c r="AM23" s="68"/>
      <c r="AN23" s="68"/>
      <c r="AO23" s="68"/>
      <c r="AP23" s="68"/>
      <c r="AQ23" s="68"/>
      <c r="AR23" s="68"/>
      <c r="AS23" s="68"/>
      <c r="AT23" s="68"/>
      <c r="AU23" s="69"/>
      <c r="AV23" s="69"/>
      <c r="AW23" s="69"/>
      <c r="AX23" s="69"/>
      <c r="AY23" s="68"/>
      <c r="AZ23" s="68"/>
      <c r="BA23" s="68"/>
      <c r="BB23" s="68"/>
      <c r="BC23" s="69"/>
      <c r="BD23" s="69"/>
      <c r="BE23" s="56" t="s">
        <v>277</v>
      </c>
      <c r="BF23" s="56" t="s">
        <v>277</v>
      </c>
      <c r="BG23" s="56" t="s">
        <v>277</v>
      </c>
      <c r="BH23" s="56" t="s">
        <v>277</v>
      </c>
      <c r="BI23" s="69">
        <v>0</v>
      </c>
      <c r="BJ23" s="69">
        <v>0</v>
      </c>
      <c r="BK23" s="69">
        <v>0</v>
      </c>
      <c r="BL23" s="69">
        <v>0</v>
      </c>
      <c r="BM23" s="69">
        <v>0</v>
      </c>
      <c r="BN23" s="69">
        <v>0</v>
      </c>
      <c r="BO23" s="69">
        <v>0</v>
      </c>
      <c r="BP23" s="69">
        <v>0</v>
      </c>
      <c r="BQ23" s="69"/>
      <c r="BR23" s="69" t="s">
        <v>156</v>
      </c>
      <c r="BS23" s="69" t="s">
        <v>440</v>
      </c>
      <c r="BT23" s="68">
        <v>0</v>
      </c>
      <c r="BU23" s="68">
        <v>0</v>
      </c>
      <c r="BV23" s="68">
        <v>0</v>
      </c>
      <c r="BW23" s="94">
        <v>0</v>
      </c>
      <c r="BX23" s="94">
        <v>0</v>
      </c>
      <c r="BY23" s="94">
        <v>0</v>
      </c>
      <c r="BZ23" s="94">
        <v>0</v>
      </c>
      <c r="CA23" s="94">
        <v>0</v>
      </c>
      <c r="CB23" s="94">
        <v>0</v>
      </c>
      <c r="CC23" s="109">
        <v>51159652451</v>
      </c>
      <c r="CD23" s="94">
        <v>0</v>
      </c>
      <c r="CE23" s="94">
        <v>0</v>
      </c>
      <c r="CF23" s="108">
        <f>SUM(BT23:CE23)</f>
        <v>51159652451</v>
      </c>
      <c r="CG23" s="108">
        <f>$CF23-$AF23</f>
        <v>0</v>
      </c>
      <c r="CH23" s="37" t="s">
        <v>421</v>
      </c>
      <c r="CI23" s="37" t="s">
        <v>291</v>
      </c>
      <c r="CJ23" s="88" t="s">
        <v>319</v>
      </c>
      <c r="CK23" s="37" t="s">
        <v>291</v>
      </c>
      <c r="CL23" s="37" t="s">
        <v>441</v>
      </c>
      <c r="CM23" s="37" t="s">
        <v>442</v>
      </c>
      <c r="CN23" s="37" t="s">
        <v>290</v>
      </c>
      <c r="CO23" s="37" t="s">
        <v>277</v>
      </c>
      <c r="CP23" s="41">
        <v>46143</v>
      </c>
      <c r="CQ23" s="41">
        <v>47453</v>
      </c>
      <c r="CR23" s="37" t="s">
        <v>443</v>
      </c>
      <c r="CS23" s="37" t="s">
        <v>322</v>
      </c>
      <c r="CT23" s="37" t="s">
        <v>444</v>
      </c>
      <c r="CU23" s="37" t="s">
        <v>445</v>
      </c>
      <c r="CV23" s="37" t="s">
        <v>323</v>
      </c>
      <c r="CW23" s="37" t="s">
        <v>277</v>
      </c>
      <c r="CX23" s="37" t="s">
        <v>277</v>
      </c>
      <c r="CY23" s="37" t="s">
        <v>277</v>
      </c>
      <c r="CZ23" s="87" t="s">
        <v>277</v>
      </c>
      <c r="DA23" s="87" t="s">
        <v>277</v>
      </c>
      <c r="DB23" s="37" t="s">
        <v>277</v>
      </c>
      <c r="DC23" s="88" t="s">
        <v>446</v>
      </c>
      <c r="DD23" s="68"/>
      <c r="DE23" s="68"/>
      <c r="DF23" s="68"/>
      <c r="DG23" s="68"/>
      <c r="DH23" s="68"/>
      <c r="DI23" s="68"/>
      <c r="DJ23" s="68"/>
      <c r="DK23" s="68"/>
      <c r="DL23" s="68"/>
      <c r="DM23" s="68"/>
      <c r="DN23" s="68"/>
      <c r="DO23" s="68"/>
      <c r="DP23" s="68">
        <f>SUM(DD23:DO23)</f>
        <v>0</v>
      </c>
      <c r="DQ23" s="68">
        <f>DP23-AB23</f>
        <v>0</v>
      </c>
      <c r="DR23" s="68">
        <f>$DD23</f>
        <v>0</v>
      </c>
      <c r="DS23" s="68">
        <f>DR23+DE23</f>
        <v>0</v>
      </c>
      <c r="DT23" s="68">
        <f>DS23+DF23</f>
        <v>0</v>
      </c>
      <c r="DU23" s="68">
        <f>DT23+DG23</f>
        <v>0</v>
      </c>
      <c r="DV23" s="68">
        <f>DU23+DH23</f>
        <v>0</v>
      </c>
      <c r="DW23" s="68">
        <f>DV23+DI23</f>
        <v>0</v>
      </c>
      <c r="DX23" s="68">
        <f>DW23+DJ23</f>
        <v>0</v>
      </c>
      <c r="DY23" s="68">
        <f>DX23+DK23</f>
        <v>0</v>
      </c>
      <c r="DZ23" s="68">
        <f>DY23+DL23</f>
        <v>0</v>
      </c>
      <c r="EA23" s="68">
        <f>DZ23+DM23</f>
        <v>0</v>
      </c>
      <c r="EB23" s="68">
        <f>EA23+DN23</f>
        <v>0</v>
      </c>
      <c r="EC23" s="68">
        <f>EB23+DO23</f>
        <v>0</v>
      </c>
      <c r="ED23" s="68">
        <f>$EC23-$AB23</f>
        <v>0</v>
      </c>
    </row>
    <row r="24" spans="1:134" ht="30">
      <c r="A24" s="74"/>
      <c r="B24" s="50">
        <v>36</v>
      </c>
      <c r="C24" s="50" t="s">
        <v>269</v>
      </c>
      <c r="D24" s="50" t="s">
        <v>297</v>
      </c>
      <c r="E24" s="50"/>
      <c r="F24" s="50" t="s">
        <v>272</v>
      </c>
      <c r="G24" s="50" t="s">
        <v>273</v>
      </c>
      <c r="H24" s="37" t="s">
        <v>151</v>
      </c>
      <c r="I24" s="37" t="s">
        <v>326</v>
      </c>
      <c r="J24" s="37" t="s">
        <v>447</v>
      </c>
      <c r="K24" s="50" t="s">
        <v>3</v>
      </c>
      <c r="L24" s="50" t="s">
        <v>14</v>
      </c>
      <c r="M24" s="50" t="s">
        <v>16</v>
      </c>
      <c r="N24" s="50" t="s">
        <v>276</v>
      </c>
      <c r="O24" s="37" t="s">
        <v>3</v>
      </c>
      <c r="P24" s="37" t="s">
        <v>14</v>
      </c>
      <c r="Q24" s="37" t="s">
        <v>16</v>
      </c>
      <c r="R24" s="37" t="s">
        <v>276</v>
      </c>
      <c r="S24" s="50" t="s">
        <v>277</v>
      </c>
      <c r="T24" s="50" t="s">
        <v>448</v>
      </c>
      <c r="U24" s="50" t="s">
        <v>449</v>
      </c>
      <c r="V24" s="56" t="s">
        <v>450</v>
      </c>
      <c r="W24" s="56" t="s">
        <v>450</v>
      </c>
      <c r="X24" s="90" t="s">
        <v>451</v>
      </c>
      <c r="Y24" s="60">
        <v>80000000000</v>
      </c>
      <c r="Z24" s="60">
        <v>0</v>
      </c>
      <c r="AA24" s="60"/>
      <c r="AB24" s="60">
        <f>Z24+AA24</f>
        <v>0</v>
      </c>
      <c r="AC24" s="61"/>
      <c r="AD24" s="61"/>
      <c r="AE24" s="109">
        <v>94000000000</v>
      </c>
      <c r="AF24" s="109">
        <v>47131427599</v>
      </c>
      <c r="AG24" s="108">
        <f>$AR24+$AZ24+$BQ24+$BT24+$BU24+$BV24</f>
        <v>0</v>
      </c>
      <c r="AH24" s="121">
        <f>AF24-AG24</f>
        <v>47131427599</v>
      </c>
      <c r="AI24" s="39" t="s">
        <v>452</v>
      </c>
      <c r="AJ24" s="198"/>
      <c r="AK24" s="198"/>
      <c r="AL24" s="42"/>
      <c r="AM24" s="68"/>
      <c r="AN24" s="68"/>
      <c r="AO24" s="68"/>
      <c r="AP24" s="68"/>
      <c r="AQ24" s="68">
        <v>0</v>
      </c>
      <c r="AR24" s="68">
        <v>0</v>
      </c>
      <c r="AS24" s="68" t="s">
        <v>307</v>
      </c>
      <c r="AT24" s="68"/>
      <c r="AU24" s="69" t="s">
        <v>277</v>
      </c>
      <c r="AV24" s="69" t="s">
        <v>277</v>
      </c>
      <c r="AW24" s="69" t="s">
        <v>277</v>
      </c>
      <c r="AX24" s="69"/>
      <c r="AY24" s="68">
        <v>0</v>
      </c>
      <c r="AZ24" s="68">
        <v>0</v>
      </c>
      <c r="BA24" s="68" t="s">
        <v>307</v>
      </c>
      <c r="BB24" s="68"/>
      <c r="BC24" s="69" t="s">
        <v>277</v>
      </c>
      <c r="BD24" s="69" t="s">
        <v>277</v>
      </c>
      <c r="BE24" s="56" t="s">
        <v>277</v>
      </c>
      <c r="BF24" s="56" t="s">
        <v>277</v>
      </c>
      <c r="BG24" s="56" t="s">
        <v>277</v>
      </c>
      <c r="BH24" s="56" t="s">
        <v>277</v>
      </c>
      <c r="BI24" s="69">
        <v>0</v>
      </c>
      <c r="BJ24" s="69">
        <v>0</v>
      </c>
      <c r="BK24" s="69">
        <v>0</v>
      </c>
      <c r="BL24" s="69">
        <v>0</v>
      </c>
      <c r="BM24" s="69">
        <v>0</v>
      </c>
      <c r="BN24" s="69">
        <v>0</v>
      </c>
      <c r="BO24" s="69">
        <v>0</v>
      </c>
      <c r="BP24" s="69">
        <v>0</v>
      </c>
      <c r="BQ24" s="69"/>
      <c r="BR24" s="69" t="s">
        <v>156</v>
      </c>
      <c r="BS24" s="69" t="s">
        <v>453</v>
      </c>
      <c r="BT24" s="68">
        <v>0</v>
      </c>
      <c r="BU24" s="68">
        <v>0</v>
      </c>
      <c r="BV24" s="68">
        <v>0</v>
      </c>
      <c r="BW24" s="94">
        <v>0</v>
      </c>
      <c r="BX24" s="94">
        <v>0</v>
      </c>
      <c r="BY24" s="94">
        <v>0</v>
      </c>
      <c r="BZ24" s="94">
        <v>0</v>
      </c>
      <c r="CA24" s="94">
        <v>0</v>
      </c>
      <c r="CB24" s="94">
        <v>0</v>
      </c>
      <c r="CC24" s="109">
        <v>47131427599</v>
      </c>
      <c r="CD24" s="94">
        <v>0</v>
      </c>
      <c r="CE24" s="94">
        <v>0</v>
      </c>
      <c r="CF24" s="108">
        <f>SUM(BT24:CE24)</f>
        <v>47131427599</v>
      </c>
      <c r="CG24" s="108">
        <f>$CF24-$AF24</f>
        <v>0</v>
      </c>
      <c r="CH24" s="37" t="s">
        <v>289</v>
      </c>
      <c r="CI24" s="37" t="s">
        <v>290</v>
      </c>
      <c r="CJ24" s="37" t="s">
        <v>277</v>
      </c>
      <c r="CK24" s="37" t="s">
        <v>290</v>
      </c>
      <c r="CL24" s="37" t="s">
        <v>277</v>
      </c>
      <c r="CM24" s="37" t="s">
        <v>277</v>
      </c>
      <c r="CN24" s="37" t="s">
        <v>290</v>
      </c>
      <c r="CO24" s="37" t="s">
        <v>340</v>
      </c>
      <c r="CP24" s="41">
        <v>46204</v>
      </c>
      <c r="CQ24" s="41">
        <v>46722</v>
      </c>
      <c r="CR24" s="37" t="s">
        <v>293</v>
      </c>
      <c r="CS24" s="37" t="s">
        <v>454</v>
      </c>
      <c r="CT24" s="37" t="s">
        <v>295</v>
      </c>
      <c r="CU24" s="37" t="s">
        <v>296</v>
      </c>
      <c r="CV24" s="37" t="s">
        <v>323</v>
      </c>
      <c r="CW24" s="37" t="s">
        <v>277</v>
      </c>
      <c r="CX24" s="37" t="s">
        <v>277</v>
      </c>
      <c r="CY24" s="37">
        <v>0</v>
      </c>
      <c r="CZ24" s="123" t="s">
        <v>277</v>
      </c>
      <c r="DA24" s="123" t="s">
        <v>277</v>
      </c>
      <c r="DB24" s="37" t="s">
        <v>277</v>
      </c>
      <c r="DC24" s="37" t="s">
        <v>455</v>
      </c>
      <c r="DD24" s="68">
        <v>0</v>
      </c>
      <c r="DE24" s="68">
        <v>0</v>
      </c>
      <c r="DF24" s="68">
        <v>0</v>
      </c>
      <c r="DG24" s="68">
        <v>0</v>
      </c>
      <c r="DH24" s="68">
        <v>0</v>
      </c>
      <c r="DI24" s="68">
        <v>0</v>
      </c>
      <c r="DJ24" s="68">
        <v>0</v>
      </c>
      <c r="DK24" s="68">
        <v>0</v>
      </c>
      <c r="DL24" s="68">
        <v>0</v>
      </c>
      <c r="DM24" s="68">
        <v>0</v>
      </c>
      <c r="DN24" s="68">
        <v>0</v>
      </c>
      <c r="DO24" s="68">
        <v>0</v>
      </c>
      <c r="DP24" s="68">
        <f>SUM(DD24:DO24)</f>
        <v>0</v>
      </c>
      <c r="DQ24" s="68">
        <f>DP24-AB24</f>
        <v>0</v>
      </c>
      <c r="DR24" s="68">
        <f>$DD24</f>
        <v>0</v>
      </c>
      <c r="DS24" s="68">
        <f>DR24+DE24</f>
        <v>0</v>
      </c>
      <c r="DT24" s="68">
        <f>DS24+DF24</f>
        <v>0</v>
      </c>
      <c r="DU24" s="68">
        <f>DT24+DG24</f>
        <v>0</v>
      </c>
      <c r="DV24" s="68">
        <f>DU24+DH24</f>
        <v>0</v>
      </c>
      <c r="DW24" s="68">
        <f>DV24+DI24</f>
        <v>0</v>
      </c>
      <c r="DX24" s="68">
        <f>DW24+DJ24</f>
        <v>0</v>
      </c>
      <c r="DY24" s="68">
        <f>DX24+DK24</f>
        <v>0</v>
      </c>
      <c r="DZ24" s="68">
        <f>DY24+DL24</f>
        <v>0</v>
      </c>
      <c r="EA24" s="68">
        <f>DZ24+DM24</f>
        <v>0</v>
      </c>
      <c r="EB24" s="68">
        <f>EA24+DN24</f>
        <v>0</v>
      </c>
      <c r="EC24" s="68">
        <f>EB24+DO24</f>
        <v>0</v>
      </c>
      <c r="ED24" s="68">
        <f>$EC24-$AB24</f>
        <v>0</v>
      </c>
    </row>
    <row r="25" spans="1:134" ht="285">
      <c r="A25" s="74"/>
      <c r="B25" s="50">
        <v>133</v>
      </c>
      <c r="C25" s="50" t="s">
        <v>269</v>
      </c>
      <c r="D25" s="50" t="s">
        <v>297</v>
      </c>
      <c r="E25" s="50"/>
      <c r="F25" s="50" t="s">
        <v>272</v>
      </c>
      <c r="G25" s="50" t="s">
        <v>273</v>
      </c>
      <c r="H25" s="37" t="s">
        <v>151</v>
      </c>
      <c r="I25" s="37" t="s">
        <v>274</v>
      </c>
      <c r="J25" s="37" t="s">
        <v>275</v>
      </c>
      <c r="K25" s="50" t="s">
        <v>3</v>
      </c>
      <c r="L25" s="50" t="s">
        <v>25</v>
      </c>
      <c r="M25" s="50" t="s">
        <v>52</v>
      </c>
      <c r="N25" s="50" t="s">
        <v>276</v>
      </c>
      <c r="O25" s="37" t="s">
        <v>3</v>
      </c>
      <c r="P25" s="37" t="s">
        <v>14</v>
      </c>
      <c r="Q25" s="37" t="s">
        <v>16</v>
      </c>
      <c r="R25" s="37" t="s">
        <v>276</v>
      </c>
      <c r="S25" s="50" t="s">
        <v>456</v>
      </c>
      <c r="T25" s="50" t="s">
        <v>457</v>
      </c>
      <c r="U25" s="50" t="s">
        <v>458</v>
      </c>
      <c r="V25" s="56" t="s">
        <v>459</v>
      </c>
      <c r="W25" s="56" t="s">
        <v>459</v>
      </c>
      <c r="X25" s="38" t="s">
        <v>460</v>
      </c>
      <c r="Y25" s="60">
        <v>170625467772</v>
      </c>
      <c r="Z25" s="60">
        <v>54985398758</v>
      </c>
      <c r="AA25" s="60">
        <v>-14278276761</v>
      </c>
      <c r="AB25" s="67">
        <f>Z25+AA25</f>
        <v>40707121997</v>
      </c>
      <c r="AC25" s="61" t="s">
        <v>414</v>
      </c>
      <c r="AD25" s="61" t="s">
        <v>461</v>
      </c>
      <c r="AE25" s="112">
        <v>341250935544</v>
      </c>
      <c r="AF25" s="112">
        <v>40707121997</v>
      </c>
      <c r="AG25" s="110">
        <f>$AR25+$AZ25+$BQ25+$BT25+$BU25+$BV25</f>
        <v>0</v>
      </c>
      <c r="AH25" s="121">
        <f>AF25-AG25</f>
        <v>40707121997</v>
      </c>
      <c r="AI25" s="39" t="s">
        <v>462</v>
      </c>
      <c r="AJ25" s="198"/>
      <c r="AK25" s="198"/>
      <c r="AL25" s="42"/>
      <c r="AM25" s="68"/>
      <c r="AN25" s="68"/>
      <c r="AO25" s="68"/>
      <c r="AP25" s="68"/>
      <c r="AQ25" s="68">
        <v>0</v>
      </c>
      <c r="AR25" s="68">
        <v>0</v>
      </c>
      <c r="AS25" s="68" t="s">
        <v>307</v>
      </c>
      <c r="AT25" s="68"/>
      <c r="AU25" s="69" t="s">
        <v>277</v>
      </c>
      <c r="AV25" s="69" t="s">
        <v>277</v>
      </c>
      <c r="AW25" s="69" t="s">
        <v>277</v>
      </c>
      <c r="AX25" s="69"/>
      <c r="AY25" s="68">
        <v>0</v>
      </c>
      <c r="AZ25" s="68">
        <v>0</v>
      </c>
      <c r="BA25" s="68" t="s">
        <v>307</v>
      </c>
      <c r="BB25" s="68"/>
      <c r="BC25" s="69" t="s">
        <v>463</v>
      </c>
      <c r="BD25" s="69" t="s">
        <v>277</v>
      </c>
      <c r="BE25" s="56" t="s">
        <v>464</v>
      </c>
      <c r="BF25" s="56" t="s">
        <v>465</v>
      </c>
      <c r="BG25" s="56" t="s">
        <v>466</v>
      </c>
      <c r="BH25" s="56" t="s">
        <v>316</v>
      </c>
      <c r="BI25" s="69">
        <v>468595015713</v>
      </c>
      <c r="BJ25" s="69">
        <v>84122359120.450012</v>
      </c>
      <c r="BK25" s="69">
        <v>58153031424</v>
      </c>
      <c r="BL25" s="69">
        <v>5815303142.3999996</v>
      </c>
      <c r="BM25" s="69">
        <v>5815303142.3999996</v>
      </c>
      <c r="BN25" s="69">
        <v>5815303142.3999996</v>
      </c>
      <c r="BO25" s="69">
        <v>0</v>
      </c>
      <c r="BP25" s="69">
        <v>0</v>
      </c>
      <c r="BQ25" s="69"/>
      <c r="BR25" s="69" t="s">
        <v>156</v>
      </c>
      <c r="BS25" s="69" t="s">
        <v>317</v>
      </c>
      <c r="BT25" s="68">
        <v>0</v>
      </c>
      <c r="BU25" s="68">
        <v>0</v>
      </c>
      <c r="BV25" s="68">
        <v>0</v>
      </c>
      <c r="BW25" s="94">
        <v>0</v>
      </c>
      <c r="BX25" s="94">
        <v>0</v>
      </c>
      <c r="BY25" s="94">
        <v>0</v>
      </c>
      <c r="BZ25" s="94">
        <v>0</v>
      </c>
      <c r="CA25" s="94">
        <v>0</v>
      </c>
      <c r="CB25" s="109">
        <v>0</v>
      </c>
      <c r="CC25" s="109">
        <v>0</v>
      </c>
      <c r="CD25" s="109">
        <v>0</v>
      </c>
      <c r="CE25" s="109">
        <v>40707121997</v>
      </c>
      <c r="CF25" s="108">
        <f>SUM(BT25:CE25)</f>
        <v>40707121997</v>
      </c>
      <c r="CG25" s="108">
        <f>$CF25-$AF25</f>
        <v>0</v>
      </c>
      <c r="CH25" s="37" t="s">
        <v>318</v>
      </c>
      <c r="CI25" s="37" t="s">
        <v>291</v>
      </c>
      <c r="CJ25" s="37" t="s">
        <v>319</v>
      </c>
      <c r="CK25" s="37" t="s">
        <v>291</v>
      </c>
      <c r="CL25" s="37" t="s">
        <v>320</v>
      </c>
      <c r="CM25" s="37" t="s">
        <v>321</v>
      </c>
      <c r="CN25" s="37" t="s">
        <v>290</v>
      </c>
      <c r="CO25" s="37" t="s">
        <v>277</v>
      </c>
      <c r="CP25" s="41">
        <v>46023</v>
      </c>
      <c r="CQ25" s="41">
        <v>48183</v>
      </c>
      <c r="CR25" s="37" t="s">
        <v>293</v>
      </c>
      <c r="CS25" s="37" t="s">
        <v>322</v>
      </c>
      <c r="CT25" s="37" t="s">
        <v>295</v>
      </c>
      <c r="CU25" s="37" t="s">
        <v>296</v>
      </c>
      <c r="CV25" s="37" t="s">
        <v>323</v>
      </c>
      <c r="CW25" s="37">
        <v>0</v>
      </c>
      <c r="CX25" s="37">
        <v>0</v>
      </c>
      <c r="CY25" s="37">
        <v>0</v>
      </c>
      <c r="CZ25" s="123" t="s">
        <v>277</v>
      </c>
      <c r="DA25" s="123" t="s">
        <v>277</v>
      </c>
      <c r="DB25" s="37" t="s">
        <v>467</v>
      </c>
      <c r="DC25" s="37" t="s">
        <v>468</v>
      </c>
      <c r="DD25" s="68">
        <v>0</v>
      </c>
      <c r="DE25" s="68">
        <v>0</v>
      </c>
      <c r="DF25" s="68">
        <v>0</v>
      </c>
      <c r="DG25" s="68">
        <v>0</v>
      </c>
      <c r="DH25" s="68">
        <v>0</v>
      </c>
      <c r="DI25" s="68">
        <v>0</v>
      </c>
      <c r="DJ25" s="68">
        <v>0</v>
      </c>
      <c r="DK25" s="68">
        <v>2210898758</v>
      </c>
      <c r="DL25" s="68">
        <v>5277450000.0000095</v>
      </c>
      <c r="DM25" s="68">
        <v>5277449999.9999905</v>
      </c>
      <c r="DN25" s="68">
        <f>15832350000-14278276761</f>
        <v>1554073239</v>
      </c>
      <c r="DO25" s="68">
        <v>26387250000</v>
      </c>
      <c r="DP25" s="68">
        <f>SUM(DD25:DO25)</f>
        <v>40707121997</v>
      </c>
      <c r="DQ25" s="68">
        <f>DP25-AB25</f>
        <v>0</v>
      </c>
      <c r="DR25" s="68">
        <f>$DD25</f>
        <v>0</v>
      </c>
      <c r="DS25" s="68">
        <f>DR25+DE25</f>
        <v>0</v>
      </c>
      <c r="DT25" s="68">
        <f>DS25+DF25</f>
        <v>0</v>
      </c>
      <c r="DU25" s="68">
        <f>DT25+DG25</f>
        <v>0</v>
      </c>
      <c r="DV25" s="68">
        <f>DU25+DH25</f>
        <v>0</v>
      </c>
      <c r="DW25" s="68">
        <f>DV25+DI25</f>
        <v>0</v>
      </c>
      <c r="DX25" s="68">
        <f>DW25+DJ25</f>
        <v>0</v>
      </c>
      <c r="DY25" s="68">
        <f>DX25+DK25</f>
        <v>2210898758</v>
      </c>
      <c r="DZ25" s="68">
        <f>DY25+DL25</f>
        <v>7488348758.0000095</v>
      </c>
      <c r="EA25" s="68">
        <f>DZ25+DM25</f>
        <v>12765798758</v>
      </c>
      <c r="EB25" s="68">
        <f>EA25+DN25</f>
        <v>14319871997</v>
      </c>
      <c r="EC25" s="68">
        <f>EB25+DO25</f>
        <v>40707121997</v>
      </c>
      <c r="ED25" s="68">
        <f>$EC25-$AB25</f>
        <v>0</v>
      </c>
    </row>
    <row r="26" spans="1:134" ht="30">
      <c r="B26" s="54"/>
      <c r="C26" s="50" t="s">
        <v>269</v>
      </c>
      <c r="D26" s="50" t="s">
        <v>270</v>
      </c>
      <c r="E26" s="55" t="s">
        <v>469</v>
      </c>
      <c r="F26" s="50" t="s">
        <v>272</v>
      </c>
      <c r="G26" s="50" t="s">
        <v>273</v>
      </c>
      <c r="H26" s="37" t="s">
        <v>151</v>
      </c>
      <c r="I26" s="37" t="s">
        <v>326</v>
      </c>
      <c r="J26" s="37" t="s">
        <v>327</v>
      </c>
      <c r="K26" s="50" t="s">
        <v>3</v>
      </c>
      <c r="L26" s="50" t="s">
        <v>14</v>
      </c>
      <c r="M26" s="50" t="s">
        <v>16</v>
      </c>
      <c r="N26" s="50" t="s">
        <v>276</v>
      </c>
      <c r="O26" s="37" t="s">
        <v>3</v>
      </c>
      <c r="P26" s="37" t="s">
        <v>14</v>
      </c>
      <c r="Q26" s="37" t="s">
        <v>16</v>
      </c>
      <c r="R26" s="37" t="s">
        <v>276</v>
      </c>
      <c r="S26" s="50" t="s">
        <v>277</v>
      </c>
      <c r="T26" s="50">
        <v>165</v>
      </c>
      <c r="U26" s="50" t="s">
        <v>470</v>
      </c>
      <c r="V26" s="56" t="s">
        <v>277</v>
      </c>
      <c r="W26" s="57" t="s">
        <v>471</v>
      </c>
      <c r="X26" s="46" t="s">
        <v>472</v>
      </c>
      <c r="Y26" s="64">
        <v>42197076684</v>
      </c>
      <c r="Z26" s="65">
        <v>0</v>
      </c>
      <c r="AA26" s="65">
        <v>0</v>
      </c>
      <c r="AB26" s="65">
        <f>Z26+AA26</f>
        <v>0</v>
      </c>
      <c r="AC26" s="66"/>
      <c r="AD26" s="66"/>
      <c r="AE26" s="119">
        <v>43147687681</v>
      </c>
      <c r="AF26" s="119">
        <v>36675534529</v>
      </c>
      <c r="AG26" s="64">
        <f>$AR26+$AZ26+$BQ26+$BT26+$BU26+$BV26</f>
        <v>0</v>
      </c>
      <c r="AH26" s="121">
        <f>AF26-AG26</f>
        <v>36675534529</v>
      </c>
      <c r="AI26" s="47" t="s">
        <v>473</v>
      </c>
      <c r="AJ26" s="196"/>
      <c r="AK26" s="196"/>
      <c r="AL26" s="48"/>
      <c r="AM26" s="54"/>
      <c r="AN26" s="54"/>
      <c r="AO26" s="54"/>
      <c r="AP26" s="54"/>
      <c r="AQ26" s="72"/>
      <c r="AR26" s="72"/>
      <c r="AS26" s="54"/>
      <c r="AT26" s="54"/>
      <c r="AU26" s="54"/>
      <c r="AV26" s="54"/>
      <c r="AW26" s="54"/>
      <c r="AX26" s="54"/>
      <c r="AY26" s="72"/>
      <c r="AZ26" s="72"/>
      <c r="BA26" s="54"/>
      <c r="BB26" s="54"/>
      <c r="BC26" s="54"/>
      <c r="BD26" s="54"/>
      <c r="BE26" s="57" t="s">
        <v>277</v>
      </c>
      <c r="BF26" s="57" t="s">
        <v>277</v>
      </c>
      <c r="BG26" s="57" t="s">
        <v>277</v>
      </c>
      <c r="BH26" s="57" t="s">
        <v>277</v>
      </c>
      <c r="BI26" s="54">
        <v>0</v>
      </c>
      <c r="BJ26" s="54">
        <v>0</v>
      </c>
      <c r="BK26" s="54">
        <v>0</v>
      </c>
      <c r="BL26" s="54">
        <v>0</v>
      </c>
      <c r="BM26" s="54">
        <v>0</v>
      </c>
      <c r="BN26" s="54">
        <v>0</v>
      </c>
      <c r="BO26" s="54">
        <v>0</v>
      </c>
      <c r="BP26" s="54">
        <v>0</v>
      </c>
      <c r="BQ26" s="54"/>
      <c r="BR26" s="69" t="s">
        <v>156</v>
      </c>
      <c r="BS26" s="69"/>
      <c r="BT26" s="72"/>
      <c r="BU26" s="72"/>
      <c r="BV26" s="72"/>
      <c r="BW26" s="94">
        <v>0</v>
      </c>
      <c r="BX26" s="94">
        <v>0</v>
      </c>
      <c r="BY26" s="94">
        <v>12944306304</v>
      </c>
      <c r="BZ26" s="94">
        <v>0</v>
      </c>
      <c r="CA26" s="94">
        <v>0</v>
      </c>
      <c r="CB26" s="119">
        <v>0</v>
      </c>
      <c r="CC26" s="119">
        <v>0</v>
      </c>
      <c r="CD26" s="119">
        <v>0</v>
      </c>
      <c r="CE26" s="119">
        <v>23731228225</v>
      </c>
      <c r="CF26" s="64">
        <f>SUM(BT26:CE26)</f>
        <v>36675534529</v>
      </c>
      <c r="CG26" s="64">
        <f>$CF26-$AF26</f>
        <v>0</v>
      </c>
      <c r="CH26" s="91" t="s">
        <v>421</v>
      </c>
      <c r="CI26" s="91" t="s">
        <v>291</v>
      </c>
      <c r="CJ26" s="91" t="s">
        <v>319</v>
      </c>
      <c r="CK26" s="91" t="s">
        <v>290</v>
      </c>
      <c r="CL26" s="87" t="s">
        <v>277</v>
      </c>
      <c r="CM26" s="87" t="s">
        <v>277</v>
      </c>
      <c r="CN26" s="91" t="s">
        <v>474</v>
      </c>
      <c r="CO26" s="87" t="s">
        <v>277</v>
      </c>
      <c r="CP26" s="87" t="s">
        <v>277</v>
      </c>
      <c r="CQ26" s="87" t="s">
        <v>277</v>
      </c>
      <c r="CR26" s="87" t="s">
        <v>293</v>
      </c>
      <c r="CS26" s="91" t="s">
        <v>475</v>
      </c>
      <c r="CT26" s="91" t="s">
        <v>295</v>
      </c>
      <c r="CU26" s="91" t="s">
        <v>296</v>
      </c>
      <c r="CV26" s="91" t="s">
        <v>156</v>
      </c>
      <c r="CW26" s="87" t="s">
        <v>277</v>
      </c>
      <c r="CX26" s="87" t="s">
        <v>277</v>
      </c>
      <c r="CY26" s="87" t="s">
        <v>277</v>
      </c>
      <c r="CZ26" s="87" t="s">
        <v>277</v>
      </c>
      <c r="DA26" s="87" t="s">
        <v>277</v>
      </c>
      <c r="DB26" s="87" t="s">
        <v>277</v>
      </c>
      <c r="DC26" s="87" t="s">
        <v>277</v>
      </c>
      <c r="DD26" s="54"/>
      <c r="DE26" s="54"/>
      <c r="DF26" s="54"/>
      <c r="DG26" s="54"/>
      <c r="DH26" s="54"/>
      <c r="DI26" s="54"/>
      <c r="DJ26" s="54"/>
      <c r="DK26" s="54"/>
      <c r="DL26" s="54"/>
      <c r="DM26" s="54"/>
      <c r="DN26" s="54"/>
      <c r="DO26" s="54"/>
      <c r="DP26" s="54">
        <f>SUM(DD26:DO26)</f>
        <v>0</v>
      </c>
      <c r="DQ26" s="54">
        <f>DP26-AB26</f>
        <v>0</v>
      </c>
      <c r="DR26" s="54">
        <f>$DD26</f>
        <v>0</v>
      </c>
      <c r="DS26" s="54">
        <f>DR26+DE26</f>
        <v>0</v>
      </c>
      <c r="DT26" s="54">
        <f>DS26+DF26</f>
        <v>0</v>
      </c>
      <c r="DU26" s="54">
        <f>DT26+DG26</f>
        <v>0</v>
      </c>
      <c r="DV26" s="54">
        <f>DU26+DH26</f>
        <v>0</v>
      </c>
      <c r="DW26" s="54">
        <f>DV26+DI26</f>
        <v>0</v>
      </c>
      <c r="DX26" s="54">
        <f>DW26+DJ26</f>
        <v>0</v>
      </c>
      <c r="DY26" s="54">
        <f>DX26+DK26</f>
        <v>0</v>
      </c>
      <c r="DZ26" s="54">
        <f>DY26+DL26</f>
        <v>0</v>
      </c>
      <c r="EA26" s="54">
        <f>DZ26+DM26</f>
        <v>0</v>
      </c>
      <c r="EB26" s="54">
        <f>EA26+DN26</f>
        <v>0</v>
      </c>
      <c r="EC26" s="54">
        <f>EB26+DO26</f>
        <v>0</v>
      </c>
      <c r="ED26" s="54">
        <f>$EC26-$AB26</f>
        <v>0</v>
      </c>
    </row>
    <row r="27" spans="1:134" ht="90">
      <c r="A27" s="74"/>
      <c r="B27" s="50">
        <v>90</v>
      </c>
      <c r="C27" s="50" t="s">
        <v>269</v>
      </c>
      <c r="D27" s="50" t="s">
        <v>297</v>
      </c>
      <c r="E27" s="50"/>
      <c r="F27" s="50" t="s">
        <v>272</v>
      </c>
      <c r="G27" s="50" t="s">
        <v>273</v>
      </c>
      <c r="H27" s="37" t="s">
        <v>151</v>
      </c>
      <c r="I27" s="37" t="s">
        <v>274</v>
      </c>
      <c r="J27" s="37" t="s">
        <v>275</v>
      </c>
      <c r="K27" s="50" t="s">
        <v>3</v>
      </c>
      <c r="L27" s="50" t="s">
        <v>14</v>
      </c>
      <c r="M27" s="50" t="s">
        <v>16</v>
      </c>
      <c r="N27" s="50" t="s">
        <v>276</v>
      </c>
      <c r="O27" s="37" t="s">
        <v>3</v>
      </c>
      <c r="P27" s="37" t="s">
        <v>14</v>
      </c>
      <c r="Q27" s="37" t="s">
        <v>16</v>
      </c>
      <c r="R27" s="37" t="s">
        <v>276</v>
      </c>
      <c r="S27" s="50" t="s">
        <v>476</v>
      </c>
      <c r="T27" s="50" t="s">
        <v>477</v>
      </c>
      <c r="U27" s="50" t="s">
        <v>478</v>
      </c>
      <c r="V27" s="56" t="s">
        <v>479</v>
      </c>
      <c r="W27" s="56" t="s">
        <v>479</v>
      </c>
      <c r="X27" s="38" t="s">
        <v>479</v>
      </c>
      <c r="Y27" s="60">
        <v>354032000000</v>
      </c>
      <c r="Z27" s="60">
        <v>37763412000</v>
      </c>
      <c r="AA27" s="60"/>
      <c r="AB27" s="60">
        <f>Z27+AA27</f>
        <v>37763412000</v>
      </c>
      <c r="AC27" s="61"/>
      <c r="AD27" s="61"/>
      <c r="AE27" s="96">
        <v>354032000000</v>
      </c>
      <c r="AF27" s="109">
        <v>35403200000</v>
      </c>
      <c r="AG27" s="108">
        <f>$AR27+$AZ27+$BQ27+$BT27+$BU27+$BV27</f>
        <v>0</v>
      </c>
      <c r="AH27" s="121">
        <f>AF27-AG27</f>
        <v>35403200000</v>
      </c>
      <c r="AI27" s="39" t="s">
        <v>480</v>
      </c>
      <c r="AJ27" s="198"/>
      <c r="AK27" s="198"/>
      <c r="AL27" s="42"/>
      <c r="AM27" s="68"/>
      <c r="AN27" s="68"/>
      <c r="AO27" s="68"/>
      <c r="AP27" s="68"/>
      <c r="AQ27" s="68">
        <v>0</v>
      </c>
      <c r="AR27" s="68">
        <v>0</v>
      </c>
      <c r="AS27" s="68" t="s">
        <v>307</v>
      </c>
      <c r="AT27" s="68"/>
      <c r="AU27" s="69" t="s">
        <v>277</v>
      </c>
      <c r="AV27" s="69" t="s">
        <v>277</v>
      </c>
      <c r="AW27" s="69" t="s">
        <v>277</v>
      </c>
      <c r="AX27" s="69"/>
      <c r="AY27" s="68">
        <v>0</v>
      </c>
      <c r="AZ27" s="68">
        <v>0</v>
      </c>
      <c r="BA27" s="68" t="s">
        <v>307</v>
      </c>
      <c r="BB27" s="68"/>
      <c r="BC27" s="69" t="s">
        <v>481</v>
      </c>
      <c r="BD27" s="69" t="s">
        <v>277</v>
      </c>
      <c r="BE27" s="56" t="s">
        <v>277</v>
      </c>
      <c r="BF27" s="56" t="s">
        <v>277</v>
      </c>
      <c r="BG27" s="56" t="s">
        <v>277</v>
      </c>
      <c r="BH27" s="56" t="s">
        <v>277</v>
      </c>
      <c r="BI27" s="69">
        <v>0</v>
      </c>
      <c r="BJ27" s="69">
        <v>0</v>
      </c>
      <c r="BK27" s="69">
        <v>0</v>
      </c>
      <c r="BL27" s="69">
        <v>0</v>
      </c>
      <c r="BM27" s="69">
        <v>0</v>
      </c>
      <c r="BN27" s="69">
        <v>0</v>
      </c>
      <c r="BO27" s="69">
        <v>0</v>
      </c>
      <c r="BP27" s="69">
        <v>0</v>
      </c>
      <c r="BQ27" s="69"/>
      <c r="BR27" s="69" t="s">
        <v>382</v>
      </c>
      <c r="BS27" s="69" t="s">
        <v>482</v>
      </c>
      <c r="BT27" s="68">
        <v>0</v>
      </c>
      <c r="BU27" s="68">
        <v>0</v>
      </c>
      <c r="BV27" s="68">
        <v>0</v>
      </c>
      <c r="BW27" s="94">
        <v>0</v>
      </c>
      <c r="BX27" s="94">
        <v>0</v>
      </c>
      <c r="BY27" s="94">
        <v>0</v>
      </c>
      <c r="BZ27" s="94">
        <v>0</v>
      </c>
      <c r="CA27" s="94">
        <v>0</v>
      </c>
      <c r="CB27" s="109">
        <v>0</v>
      </c>
      <c r="CC27" s="109">
        <v>35403200000</v>
      </c>
      <c r="CD27" s="109">
        <v>0</v>
      </c>
      <c r="CE27" s="109">
        <v>0</v>
      </c>
      <c r="CF27" s="108">
        <f>SUM(BT27:CE27)</f>
        <v>35403200000</v>
      </c>
      <c r="CG27" s="108">
        <f>$CF27-$AF27</f>
        <v>0</v>
      </c>
      <c r="CH27" s="37" t="s">
        <v>289</v>
      </c>
      <c r="CI27" s="37" t="s">
        <v>290</v>
      </c>
      <c r="CJ27" s="37" t="s">
        <v>277</v>
      </c>
      <c r="CK27" s="37" t="s">
        <v>290</v>
      </c>
      <c r="CL27" s="37" t="s">
        <v>483</v>
      </c>
      <c r="CM27" s="37" t="s">
        <v>484</v>
      </c>
      <c r="CN27" s="37" t="s">
        <v>290</v>
      </c>
      <c r="CO27" s="37" t="s">
        <v>275</v>
      </c>
      <c r="CP27" s="41">
        <v>45292</v>
      </c>
      <c r="CQ27" s="41">
        <v>47088</v>
      </c>
      <c r="CR27" s="37" t="s">
        <v>293</v>
      </c>
      <c r="CS27" s="37" t="s">
        <v>454</v>
      </c>
      <c r="CT27" s="37" t="s">
        <v>295</v>
      </c>
      <c r="CU27" s="37" t="s">
        <v>341</v>
      </c>
      <c r="CV27" s="37" t="s">
        <v>382</v>
      </c>
      <c r="CW27" s="37">
        <v>4200004353</v>
      </c>
      <c r="CX27" s="37" t="s">
        <v>479</v>
      </c>
      <c r="CY27" s="37">
        <v>354032000000</v>
      </c>
      <c r="CZ27" s="123">
        <v>45566</v>
      </c>
      <c r="DA27" s="123">
        <v>46661</v>
      </c>
      <c r="DB27" s="37" t="s">
        <v>343</v>
      </c>
      <c r="DC27" s="37" t="s">
        <v>485</v>
      </c>
      <c r="DD27" s="68">
        <v>13248250000</v>
      </c>
      <c r="DE27" s="68">
        <v>2993000000</v>
      </c>
      <c r="DF27" s="68">
        <v>0</v>
      </c>
      <c r="DG27" s="68">
        <v>21522162000</v>
      </c>
      <c r="DH27" s="68">
        <v>0</v>
      </c>
      <c r="DI27" s="68">
        <v>0</v>
      </c>
      <c r="DJ27" s="68">
        <v>0</v>
      </c>
      <c r="DK27" s="68">
        <v>0</v>
      </c>
      <c r="DL27" s="68">
        <v>0</v>
      </c>
      <c r="DM27" s="68">
        <v>0</v>
      </c>
      <c r="DN27" s="68">
        <v>0</v>
      </c>
      <c r="DO27" s="68">
        <v>0</v>
      </c>
      <c r="DP27" s="68">
        <f>SUM(DD27:DO27)</f>
        <v>37763412000</v>
      </c>
      <c r="DQ27" s="68">
        <f>DP27-AB27</f>
        <v>0</v>
      </c>
      <c r="DR27" s="68">
        <f>$DD27</f>
        <v>13248250000</v>
      </c>
      <c r="DS27" s="68">
        <f>DR27+DE27</f>
        <v>16241250000</v>
      </c>
      <c r="DT27" s="68">
        <f>DS27+DF27</f>
        <v>16241250000</v>
      </c>
      <c r="DU27" s="68">
        <f>DT27+DG27</f>
        <v>37763412000</v>
      </c>
      <c r="DV27" s="68">
        <f>DU27+DH27</f>
        <v>37763412000</v>
      </c>
      <c r="DW27" s="68">
        <f>DV27+DI27</f>
        <v>37763412000</v>
      </c>
      <c r="DX27" s="68">
        <f>DW27+DJ27</f>
        <v>37763412000</v>
      </c>
      <c r="DY27" s="68">
        <f>DX27+DK27</f>
        <v>37763412000</v>
      </c>
      <c r="DZ27" s="68">
        <f>DY27+DL27</f>
        <v>37763412000</v>
      </c>
      <c r="EA27" s="68">
        <f>DZ27+DM27</f>
        <v>37763412000</v>
      </c>
      <c r="EB27" s="68">
        <f>EA27+DN27</f>
        <v>37763412000</v>
      </c>
      <c r="EC27" s="68">
        <f>EB27+DO27</f>
        <v>37763412000</v>
      </c>
      <c r="ED27" s="68">
        <f>$EC27-$AB27</f>
        <v>0</v>
      </c>
    </row>
    <row r="28" spans="1:134" ht="45">
      <c r="A28" s="74"/>
      <c r="B28" s="50">
        <v>79</v>
      </c>
      <c r="C28" s="50" t="s">
        <v>269</v>
      </c>
      <c r="D28" s="50" t="s">
        <v>297</v>
      </c>
      <c r="E28" s="50"/>
      <c r="F28" s="50" t="s">
        <v>272</v>
      </c>
      <c r="G28" s="50" t="s">
        <v>273</v>
      </c>
      <c r="H28" s="37" t="s">
        <v>151</v>
      </c>
      <c r="I28" s="37" t="s">
        <v>424</v>
      </c>
      <c r="J28" s="37" t="s">
        <v>425</v>
      </c>
      <c r="K28" s="50" t="s">
        <v>3</v>
      </c>
      <c r="L28" s="50" t="s">
        <v>14</v>
      </c>
      <c r="M28" s="50" t="s">
        <v>16</v>
      </c>
      <c r="N28" s="50" t="s">
        <v>276</v>
      </c>
      <c r="O28" s="37" t="s">
        <v>3</v>
      </c>
      <c r="P28" s="37" t="s">
        <v>14</v>
      </c>
      <c r="Q28" s="37" t="s">
        <v>16</v>
      </c>
      <c r="R28" s="37" t="s">
        <v>276</v>
      </c>
      <c r="S28" s="50" t="s">
        <v>426</v>
      </c>
      <c r="T28" s="50" t="s">
        <v>486</v>
      </c>
      <c r="U28" s="50" t="s">
        <v>487</v>
      </c>
      <c r="V28" s="56" t="s">
        <v>488</v>
      </c>
      <c r="W28" s="56" t="s">
        <v>488</v>
      </c>
      <c r="X28" s="38" t="s">
        <v>488</v>
      </c>
      <c r="Y28" s="60">
        <v>64768103047</v>
      </c>
      <c r="Z28" s="60">
        <v>12953620609</v>
      </c>
      <c r="AA28" s="60"/>
      <c r="AB28" s="60">
        <f>Z28+AA28</f>
        <v>12953620609</v>
      </c>
      <c r="AC28" s="61"/>
      <c r="AD28" s="61"/>
      <c r="AE28" s="109">
        <v>43500000000</v>
      </c>
      <c r="AF28" s="109">
        <v>34800000000</v>
      </c>
      <c r="AG28" s="108">
        <f>$AR28+$AZ28+$BQ28+$BT28+$BU28+$BV28</f>
        <v>321874998</v>
      </c>
      <c r="AH28" s="121">
        <f>AF28-AG28</f>
        <v>34478125002</v>
      </c>
      <c r="AI28" s="85" t="s">
        <v>489</v>
      </c>
      <c r="AJ28" s="199"/>
      <c r="AK28" s="199"/>
      <c r="AL28" s="86"/>
      <c r="AM28" s="68"/>
      <c r="AN28" s="68"/>
      <c r="AO28" s="68"/>
      <c r="AP28" s="68"/>
      <c r="AQ28" s="68">
        <v>0</v>
      </c>
      <c r="AR28" s="68">
        <v>0</v>
      </c>
      <c r="AS28" s="68" t="s">
        <v>307</v>
      </c>
      <c r="AT28" s="68"/>
      <c r="AU28" s="69" t="s">
        <v>277</v>
      </c>
      <c r="AV28" s="69" t="s">
        <v>277</v>
      </c>
      <c r="AW28" s="69" t="s">
        <v>277</v>
      </c>
      <c r="AX28" s="69"/>
      <c r="AY28" s="68">
        <v>0</v>
      </c>
      <c r="AZ28" s="68">
        <v>0</v>
      </c>
      <c r="BA28" s="68" t="s">
        <v>307</v>
      </c>
      <c r="BB28" s="68"/>
      <c r="BC28" s="69" t="s">
        <v>490</v>
      </c>
      <c r="BD28" s="69" t="s">
        <v>277</v>
      </c>
      <c r="BE28" s="56" t="s">
        <v>277</v>
      </c>
      <c r="BF28" s="56" t="s">
        <v>277</v>
      </c>
      <c r="BG28" s="56" t="s">
        <v>277</v>
      </c>
      <c r="BH28" s="56" t="s">
        <v>277</v>
      </c>
      <c r="BI28" s="69">
        <v>0</v>
      </c>
      <c r="BJ28" s="69">
        <v>0</v>
      </c>
      <c r="BK28" s="69">
        <v>0</v>
      </c>
      <c r="BL28" s="69">
        <v>0</v>
      </c>
      <c r="BM28" s="69">
        <v>0</v>
      </c>
      <c r="BN28" s="69">
        <v>0</v>
      </c>
      <c r="BO28" s="69">
        <v>0</v>
      </c>
      <c r="BP28" s="69">
        <v>0</v>
      </c>
      <c r="BQ28" s="69"/>
      <c r="BR28" s="69" t="s">
        <v>384</v>
      </c>
      <c r="BS28" s="69" t="s">
        <v>491</v>
      </c>
      <c r="BT28" s="68">
        <v>0</v>
      </c>
      <c r="BU28" s="68">
        <v>321874998</v>
      </c>
      <c r="BV28" s="68">
        <v>0</v>
      </c>
      <c r="BW28" s="94">
        <v>0</v>
      </c>
      <c r="BX28" s="94">
        <v>0</v>
      </c>
      <c r="BY28" s="94">
        <v>0</v>
      </c>
      <c r="BZ28" s="94">
        <v>0</v>
      </c>
      <c r="CA28" s="94">
        <v>0</v>
      </c>
      <c r="CB28" s="94">
        <v>0</v>
      </c>
      <c r="CC28" s="109">
        <v>34800000000</v>
      </c>
      <c r="CD28" s="94">
        <v>0</v>
      </c>
      <c r="CE28" s="94">
        <v>0</v>
      </c>
      <c r="CF28" s="108">
        <f>SUM(BT28:CE28)</f>
        <v>35121874998</v>
      </c>
      <c r="CG28" s="108">
        <f>$CF28-$AF28</f>
        <v>321874998</v>
      </c>
      <c r="CH28" s="37" t="s">
        <v>318</v>
      </c>
      <c r="CI28" s="37" t="s">
        <v>291</v>
      </c>
      <c r="CJ28" s="37" t="s">
        <v>319</v>
      </c>
      <c r="CK28" s="37" t="s">
        <v>290</v>
      </c>
      <c r="CL28" s="37" t="s">
        <v>277</v>
      </c>
      <c r="CM28" s="37" t="s">
        <v>277</v>
      </c>
      <c r="CN28" s="37" t="s">
        <v>290</v>
      </c>
      <c r="CO28" s="37" t="s">
        <v>433</v>
      </c>
      <c r="CP28" s="41">
        <v>45931</v>
      </c>
      <c r="CQ28" s="41">
        <v>46174</v>
      </c>
      <c r="CR28" s="37" t="s">
        <v>293</v>
      </c>
      <c r="CS28" s="37" t="s">
        <v>294</v>
      </c>
      <c r="CT28" s="37" t="s">
        <v>295</v>
      </c>
      <c r="CU28" s="37" t="s">
        <v>341</v>
      </c>
      <c r="CV28" s="37" t="s">
        <v>157</v>
      </c>
      <c r="CW28" s="37" t="s">
        <v>492</v>
      </c>
      <c r="CX28" s="37" t="s">
        <v>488</v>
      </c>
      <c r="CY28" s="127">
        <v>43500000000</v>
      </c>
      <c r="CZ28" s="123" t="s">
        <v>277</v>
      </c>
      <c r="DA28" s="123" t="s">
        <v>277</v>
      </c>
      <c r="DB28" s="37" t="s">
        <v>277</v>
      </c>
      <c r="DC28" s="37" t="s">
        <v>493</v>
      </c>
      <c r="DD28" s="68">
        <v>0</v>
      </c>
      <c r="DE28" s="68">
        <v>0</v>
      </c>
      <c r="DF28" s="68">
        <v>0</v>
      </c>
      <c r="DG28" s="68">
        <v>0</v>
      </c>
      <c r="DH28" s="68">
        <v>12324018793</v>
      </c>
      <c r="DI28" s="68">
        <v>629601816</v>
      </c>
      <c r="DJ28" s="68">
        <v>0</v>
      </c>
      <c r="DK28" s="68">
        <v>0</v>
      </c>
      <c r="DL28" s="68">
        <v>0</v>
      </c>
      <c r="DM28" s="68">
        <v>0</v>
      </c>
      <c r="DN28" s="68">
        <v>0</v>
      </c>
      <c r="DO28" s="68">
        <v>0</v>
      </c>
      <c r="DP28" s="68">
        <f>SUM(DD28:DO28)</f>
        <v>12953620609</v>
      </c>
      <c r="DQ28" s="68">
        <f>DP28-AB28</f>
        <v>0</v>
      </c>
      <c r="DR28" s="68">
        <f>$DD28</f>
        <v>0</v>
      </c>
      <c r="DS28" s="68">
        <f>DR28+DE28</f>
        <v>0</v>
      </c>
      <c r="DT28" s="68">
        <f>DS28+DF28</f>
        <v>0</v>
      </c>
      <c r="DU28" s="68">
        <f>DT28+DG28</f>
        <v>0</v>
      </c>
      <c r="DV28" s="68">
        <f>DU28+DH28</f>
        <v>12324018793</v>
      </c>
      <c r="DW28" s="68">
        <f>DV28+DI28</f>
        <v>12953620609</v>
      </c>
      <c r="DX28" s="68">
        <f>DW28+DJ28</f>
        <v>12953620609</v>
      </c>
      <c r="DY28" s="68">
        <f>DX28+DK28</f>
        <v>12953620609</v>
      </c>
      <c r="DZ28" s="68">
        <f>DY28+DL28</f>
        <v>12953620609</v>
      </c>
      <c r="EA28" s="68">
        <f>DZ28+DM28</f>
        <v>12953620609</v>
      </c>
      <c r="EB28" s="68">
        <f>EA28+DN28</f>
        <v>12953620609</v>
      </c>
      <c r="EC28" s="68">
        <f>EB28+DO28</f>
        <v>12953620609</v>
      </c>
      <c r="ED28" s="68">
        <f>$EC28-$AB28</f>
        <v>0</v>
      </c>
    </row>
    <row r="29" spans="1:134" ht="45">
      <c r="B29" s="159"/>
      <c r="C29" s="160" t="s">
        <v>269</v>
      </c>
      <c r="D29" s="160" t="s">
        <v>270</v>
      </c>
      <c r="E29" s="160"/>
      <c r="F29" s="160" t="s">
        <v>272</v>
      </c>
      <c r="G29" s="160" t="s">
        <v>273</v>
      </c>
      <c r="H29" s="160" t="s">
        <v>151</v>
      </c>
      <c r="I29" s="160" t="s">
        <v>326</v>
      </c>
      <c r="J29" s="160" t="s">
        <v>327</v>
      </c>
      <c r="K29" s="160" t="s">
        <v>277</v>
      </c>
      <c r="L29" s="160" t="s">
        <v>277</v>
      </c>
      <c r="M29" s="160" t="s">
        <v>277</v>
      </c>
      <c r="N29" s="160" t="s">
        <v>277</v>
      </c>
      <c r="O29" s="160" t="s">
        <v>3</v>
      </c>
      <c r="P29" s="160" t="s">
        <v>14</v>
      </c>
      <c r="Q29" s="160" t="s">
        <v>16</v>
      </c>
      <c r="R29" s="158" t="s">
        <v>276</v>
      </c>
      <c r="S29" s="159" t="s">
        <v>277</v>
      </c>
      <c r="T29" s="159" t="s">
        <v>277</v>
      </c>
      <c r="U29" s="160" t="s">
        <v>277</v>
      </c>
      <c r="V29" s="159" t="s">
        <v>277</v>
      </c>
      <c r="W29" s="159" t="s">
        <v>277</v>
      </c>
      <c r="X29" s="161" t="s">
        <v>494</v>
      </c>
      <c r="Y29" s="159"/>
      <c r="Z29" s="159"/>
      <c r="AA29" s="159"/>
      <c r="AB29" s="159"/>
      <c r="AC29" s="159"/>
      <c r="AD29" s="159"/>
      <c r="AE29" s="155">
        <v>40626401491</v>
      </c>
      <c r="AF29" s="155">
        <v>34532441267</v>
      </c>
      <c r="AG29" s="155"/>
      <c r="AH29" s="121">
        <f>AF29-AG29</f>
        <v>34532441267</v>
      </c>
      <c r="AI29" s="159" t="s">
        <v>495</v>
      </c>
      <c r="AJ29" s="206"/>
      <c r="AK29" s="206"/>
      <c r="AL29" s="161"/>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159"/>
      <c r="BS29" s="159"/>
      <c r="BT29" s="159"/>
      <c r="BU29" s="159"/>
      <c r="BV29" s="159"/>
      <c r="BW29" s="155">
        <v>0</v>
      </c>
      <c r="BX29" s="155">
        <v>0</v>
      </c>
      <c r="BY29" s="155">
        <v>0</v>
      </c>
      <c r="BZ29" s="155">
        <v>12187920447</v>
      </c>
      <c r="CA29" s="155">
        <v>0</v>
      </c>
      <c r="CB29" s="155">
        <v>0</v>
      </c>
      <c r="CC29" s="155">
        <v>16927500000</v>
      </c>
      <c r="CD29" s="155">
        <v>0</v>
      </c>
      <c r="CE29" s="155">
        <v>0</v>
      </c>
      <c r="CF29" s="156">
        <f>SUM(BT29:CE29)</f>
        <v>29115420447</v>
      </c>
      <c r="CG29" s="156">
        <f>$CF29-$AF29</f>
        <v>-5417020820</v>
      </c>
      <c r="CH29" s="160" t="s">
        <v>289</v>
      </c>
      <c r="CI29" s="160" t="s">
        <v>290</v>
      </c>
      <c r="CJ29" s="158" t="s">
        <v>277</v>
      </c>
      <c r="CK29" s="160" t="s">
        <v>290</v>
      </c>
      <c r="CL29" s="158" t="s">
        <v>277</v>
      </c>
      <c r="CM29" s="158" t="s">
        <v>277</v>
      </c>
      <c r="CN29" s="158" t="s">
        <v>290</v>
      </c>
      <c r="CO29" s="158" t="s">
        <v>277</v>
      </c>
      <c r="CP29" s="158" t="s">
        <v>277</v>
      </c>
      <c r="CQ29" s="158" t="s">
        <v>277</v>
      </c>
      <c r="CR29" s="158" t="s">
        <v>293</v>
      </c>
      <c r="CS29" s="158" t="s">
        <v>322</v>
      </c>
      <c r="CT29" s="158" t="s">
        <v>295</v>
      </c>
      <c r="CU29" s="158" t="s">
        <v>296</v>
      </c>
      <c r="CV29" s="158" t="s">
        <v>323</v>
      </c>
      <c r="CW29" s="158" t="s">
        <v>277</v>
      </c>
      <c r="CX29" s="158" t="s">
        <v>277</v>
      </c>
      <c r="CY29" s="158" t="s">
        <v>277</v>
      </c>
      <c r="CZ29" s="158" t="s">
        <v>277</v>
      </c>
      <c r="DA29" s="158" t="s">
        <v>277</v>
      </c>
      <c r="DB29" s="158" t="s">
        <v>277</v>
      </c>
      <c r="DC29" s="158" t="s">
        <v>277</v>
      </c>
      <c r="DD29" s="159"/>
      <c r="DE29" s="159"/>
      <c r="DF29" s="159"/>
      <c r="DG29" s="159"/>
      <c r="DH29" s="159"/>
      <c r="DI29" s="159"/>
      <c r="DJ29" s="159"/>
      <c r="DK29" s="159"/>
      <c r="DL29" s="159"/>
      <c r="DM29" s="159"/>
      <c r="DN29" s="159"/>
      <c r="DO29" s="159"/>
      <c r="DP29" s="159"/>
      <c r="DQ29" s="159"/>
      <c r="DR29" s="159"/>
      <c r="DS29" s="159"/>
      <c r="DT29" s="159"/>
      <c r="DU29" s="159"/>
      <c r="DV29" s="159"/>
      <c r="DW29" s="159"/>
      <c r="DX29" s="159"/>
      <c r="DY29" s="159"/>
      <c r="DZ29" s="159"/>
      <c r="EA29" s="159"/>
      <c r="EB29" s="159"/>
      <c r="EC29" s="159"/>
      <c r="ED29" s="159"/>
    </row>
    <row r="30" spans="1:134" ht="135">
      <c r="A30" s="74"/>
      <c r="B30" s="50">
        <v>114</v>
      </c>
      <c r="C30" s="50" t="s">
        <v>269</v>
      </c>
      <c r="D30" s="50" t="s">
        <v>297</v>
      </c>
      <c r="E30" s="50"/>
      <c r="F30" s="50" t="s">
        <v>272</v>
      </c>
      <c r="G30" s="50" t="s">
        <v>273</v>
      </c>
      <c r="H30" s="37" t="s">
        <v>151</v>
      </c>
      <c r="I30" s="37" t="s">
        <v>496</v>
      </c>
      <c r="J30" s="37" t="s">
        <v>497</v>
      </c>
      <c r="K30" s="50" t="s">
        <v>3</v>
      </c>
      <c r="L30" s="50" t="s">
        <v>14</v>
      </c>
      <c r="M30" s="50" t="s">
        <v>16</v>
      </c>
      <c r="N30" s="50" t="s">
        <v>276</v>
      </c>
      <c r="O30" s="37" t="s">
        <v>3</v>
      </c>
      <c r="P30" s="37" t="s">
        <v>14</v>
      </c>
      <c r="Q30" s="37" t="s">
        <v>16</v>
      </c>
      <c r="R30" s="37" t="s">
        <v>276</v>
      </c>
      <c r="S30" s="50" t="s">
        <v>498</v>
      </c>
      <c r="T30" s="50" t="s">
        <v>499</v>
      </c>
      <c r="U30" s="50" t="s">
        <v>500</v>
      </c>
      <c r="V30" s="56" t="s">
        <v>501</v>
      </c>
      <c r="W30" s="56" t="s">
        <v>501</v>
      </c>
      <c r="X30" s="38" t="s">
        <v>501</v>
      </c>
      <c r="Y30" s="60">
        <v>100598668632</v>
      </c>
      <c r="Z30" s="60">
        <v>90115109886</v>
      </c>
      <c r="AA30" s="60"/>
      <c r="AB30" s="60">
        <f>Z30+AA30</f>
        <v>90115109886</v>
      </c>
      <c r="AC30" s="61"/>
      <c r="AD30" s="61"/>
      <c r="AE30" s="109">
        <v>34299000000</v>
      </c>
      <c r="AF30" s="109">
        <v>33966000000</v>
      </c>
      <c r="AG30" s="108">
        <f>$AR30+$AZ30+$BQ30+$BT30+$BU30+$BV30</f>
        <v>90115109885</v>
      </c>
      <c r="AH30" s="121">
        <f>AF30-AG30</f>
        <v>-56149109885</v>
      </c>
      <c r="AI30" s="42" t="s">
        <v>502</v>
      </c>
      <c r="AJ30" s="198"/>
      <c r="AK30" s="198"/>
      <c r="AL30" s="42"/>
      <c r="AM30" s="68"/>
      <c r="AN30" s="68"/>
      <c r="AO30" s="68"/>
      <c r="AP30" s="68"/>
      <c r="AQ30" s="68">
        <v>0</v>
      </c>
      <c r="AR30" s="68">
        <v>0</v>
      </c>
      <c r="AS30" s="68" t="s">
        <v>307</v>
      </c>
      <c r="AT30" s="68"/>
      <c r="AU30" s="69" t="s">
        <v>503</v>
      </c>
      <c r="AV30" s="69" t="s">
        <v>504</v>
      </c>
      <c r="AW30" s="69" t="s">
        <v>505</v>
      </c>
      <c r="AX30" s="69"/>
      <c r="AY30" s="68">
        <v>90115109885</v>
      </c>
      <c r="AZ30" s="68">
        <v>90115109885</v>
      </c>
      <c r="BA30" s="68" t="s">
        <v>307</v>
      </c>
      <c r="BB30" s="68"/>
      <c r="BC30" s="69" t="s">
        <v>277</v>
      </c>
      <c r="BD30" s="69" t="s">
        <v>277</v>
      </c>
      <c r="BE30" s="56" t="s">
        <v>277</v>
      </c>
      <c r="BF30" s="56" t="s">
        <v>277</v>
      </c>
      <c r="BG30" s="56" t="s">
        <v>277</v>
      </c>
      <c r="BH30" s="56" t="s">
        <v>277</v>
      </c>
      <c r="BI30" s="69">
        <v>0</v>
      </c>
      <c r="BJ30" s="69">
        <v>0</v>
      </c>
      <c r="BK30" s="69">
        <v>0</v>
      </c>
      <c r="BL30" s="69">
        <v>0</v>
      </c>
      <c r="BM30" s="69">
        <v>0</v>
      </c>
      <c r="BN30" s="69">
        <v>0</v>
      </c>
      <c r="BO30" s="69">
        <v>0</v>
      </c>
      <c r="BP30" s="69">
        <v>0</v>
      </c>
      <c r="BQ30" s="69"/>
      <c r="BR30" s="69" t="s">
        <v>337</v>
      </c>
      <c r="BS30" s="186" t="s">
        <v>506</v>
      </c>
      <c r="BT30" s="68">
        <v>0</v>
      </c>
      <c r="BU30" s="68">
        <v>0</v>
      </c>
      <c r="BV30" s="68">
        <v>0</v>
      </c>
      <c r="BW30" s="94">
        <v>0</v>
      </c>
      <c r="BX30" s="94">
        <v>0</v>
      </c>
      <c r="BY30" s="94">
        <v>0</v>
      </c>
      <c r="BZ30" s="94">
        <v>0</v>
      </c>
      <c r="CA30" s="94">
        <v>10156500000</v>
      </c>
      <c r="CB30" s="109">
        <v>0</v>
      </c>
      <c r="CC30" s="109">
        <v>16927500000</v>
      </c>
      <c r="CD30" s="109">
        <v>6882000000</v>
      </c>
      <c r="CE30" s="109">
        <v>0</v>
      </c>
      <c r="CF30" s="108">
        <f>SUM(BT30:CE30)</f>
        <v>33966000000</v>
      </c>
      <c r="CG30" s="108">
        <f>$CF30-$AF30</f>
        <v>0</v>
      </c>
      <c r="CH30" s="37" t="s">
        <v>289</v>
      </c>
      <c r="CI30" s="37" t="s">
        <v>290</v>
      </c>
      <c r="CJ30" s="37" t="s">
        <v>277</v>
      </c>
      <c r="CK30" s="37" t="s">
        <v>290</v>
      </c>
      <c r="CL30" s="37" t="s">
        <v>277</v>
      </c>
      <c r="CM30" s="37" t="s">
        <v>277</v>
      </c>
      <c r="CN30" s="37" t="s">
        <v>290</v>
      </c>
      <c r="CO30" s="37" t="s">
        <v>277</v>
      </c>
      <c r="CP30" s="41">
        <v>46023</v>
      </c>
      <c r="CQ30" s="41">
        <v>48183</v>
      </c>
      <c r="CR30" s="37" t="s">
        <v>293</v>
      </c>
      <c r="CS30" s="37" t="s">
        <v>322</v>
      </c>
      <c r="CT30" s="37" t="s">
        <v>295</v>
      </c>
      <c r="CU30" s="37" t="s">
        <v>296</v>
      </c>
      <c r="CV30" s="37" t="s">
        <v>323</v>
      </c>
      <c r="CW30" s="88" t="s">
        <v>507</v>
      </c>
      <c r="CX30" s="88" t="s">
        <v>508</v>
      </c>
      <c r="CY30" s="37">
        <v>34299000000</v>
      </c>
      <c r="CZ30" s="123" t="s">
        <v>277</v>
      </c>
      <c r="DA30" s="123" t="s">
        <v>277</v>
      </c>
      <c r="DB30" s="37" t="s">
        <v>509</v>
      </c>
      <c r="DC30" s="37" t="s">
        <v>510</v>
      </c>
      <c r="DD30" s="68">
        <v>0</v>
      </c>
      <c r="DE30" s="68">
        <v>0</v>
      </c>
      <c r="DF30" s="68">
        <v>0</v>
      </c>
      <c r="DG30" s="68">
        <v>0</v>
      </c>
      <c r="DH30" s="68">
        <v>30000000000</v>
      </c>
      <c r="DI30" s="68">
        <v>10000000000</v>
      </c>
      <c r="DJ30" s="68">
        <v>0</v>
      </c>
      <c r="DK30" s="68">
        <v>0</v>
      </c>
      <c r="DL30" s="68">
        <v>0</v>
      </c>
      <c r="DM30" s="68">
        <v>0</v>
      </c>
      <c r="DN30" s="68">
        <v>50115109886</v>
      </c>
      <c r="DO30" s="68">
        <v>0</v>
      </c>
      <c r="DP30" s="68">
        <f>SUM(DD30:DO30)</f>
        <v>90115109886</v>
      </c>
      <c r="DQ30" s="68">
        <f>DP30-AB30</f>
        <v>0</v>
      </c>
      <c r="DR30" s="68">
        <f>$DD30</f>
        <v>0</v>
      </c>
      <c r="DS30" s="68">
        <f>DR30+DE30</f>
        <v>0</v>
      </c>
      <c r="DT30" s="68">
        <f>DS30+DF30</f>
        <v>0</v>
      </c>
      <c r="DU30" s="68">
        <f>DT30+DG30</f>
        <v>0</v>
      </c>
      <c r="DV30" s="68">
        <f>DU30+DH30</f>
        <v>30000000000</v>
      </c>
      <c r="DW30" s="68">
        <f>DV30+DI30</f>
        <v>40000000000</v>
      </c>
      <c r="DX30" s="68">
        <f>DW30+DJ30</f>
        <v>40000000000</v>
      </c>
      <c r="DY30" s="68">
        <f>DX30+DK30</f>
        <v>40000000000</v>
      </c>
      <c r="DZ30" s="68">
        <f>DY30+DL30</f>
        <v>40000000000</v>
      </c>
      <c r="EA30" s="68">
        <f>DZ30+DM30</f>
        <v>40000000000</v>
      </c>
      <c r="EB30" s="68">
        <f>EA30+DN30</f>
        <v>90115109886</v>
      </c>
      <c r="EC30" s="68">
        <f>EB30+DO30</f>
        <v>90115109886</v>
      </c>
      <c r="ED30" s="68">
        <f>$EC30-$AB30</f>
        <v>0</v>
      </c>
    </row>
    <row r="31" spans="1:134" ht="30">
      <c r="A31" s="74"/>
      <c r="B31" s="50">
        <v>148</v>
      </c>
      <c r="C31" s="50" t="s">
        <v>269</v>
      </c>
      <c r="D31" s="50" t="s">
        <v>297</v>
      </c>
      <c r="E31" s="50"/>
      <c r="F31" s="50" t="s">
        <v>272</v>
      </c>
      <c r="G31" s="50" t="s">
        <v>273</v>
      </c>
      <c r="H31" s="37" t="s">
        <v>151</v>
      </c>
      <c r="I31" s="37" t="s">
        <v>274</v>
      </c>
      <c r="J31" s="37" t="s">
        <v>511</v>
      </c>
      <c r="K31" s="50" t="s">
        <v>3</v>
      </c>
      <c r="L31" s="50" t="s">
        <v>25</v>
      </c>
      <c r="M31" s="50" t="s">
        <v>52</v>
      </c>
      <c r="N31" s="50" t="s">
        <v>276</v>
      </c>
      <c r="O31" s="37" t="s">
        <v>3</v>
      </c>
      <c r="P31" s="37" t="s">
        <v>25</v>
      </c>
      <c r="Q31" s="37" t="s">
        <v>52</v>
      </c>
      <c r="R31" s="87" t="s">
        <v>512</v>
      </c>
      <c r="S31" s="50" t="s">
        <v>513</v>
      </c>
      <c r="T31" s="50" t="s">
        <v>514</v>
      </c>
      <c r="U31" s="50" t="s">
        <v>515</v>
      </c>
      <c r="V31" s="56" t="s">
        <v>516</v>
      </c>
      <c r="W31" s="56" t="s">
        <v>516</v>
      </c>
      <c r="X31" s="38" t="s">
        <v>516</v>
      </c>
      <c r="Y31" s="60">
        <v>45966642743</v>
      </c>
      <c r="Z31" s="60">
        <v>14556103540</v>
      </c>
      <c r="AA31" s="60"/>
      <c r="AB31" s="60">
        <f>Z31+AA31</f>
        <v>14556103540</v>
      </c>
      <c r="AC31" s="61"/>
      <c r="AD31" s="61"/>
      <c r="AE31" s="109">
        <v>32650000000</v>
      </c>
      <c r="AF31" s="109">
        <v>32650000000</v>
      </c>
      <c r="AG31" s="108">
        <f>$AR31+$AZ31+$BQ31+$BT31+$BU31+$BV31</f>
        <v>14556103535.283337</v>
      </c>
      <c r="AH31" s="121">
        <f>AF31-AG31</f>
        <v>18093896464.716663</v>
      </c>
      <c r="AI31" s="39" t="s">
        <v>517</v>
      </c>
      <c r="AJ31" s="200"/>
      <c r="AK31" s="200"/>
      <c r="AL31" s="39"/>
      <c r="AM31" s="68"/>
      <c r="AN31" s="68"/>
      <c r="AO31" s="68"/>
      <c r="AP31" s="68"/>
      <c r="AQ31" s="68">
        <v>0</v>
      </c>
      <c r="AR31" s="68">
        <v>0</v>
      </c>
      <c r="AS31" s="68" t="s">
        <v>307</v>
      </c>
      <c r="AT31" s="68"/>
      <c r="AU31" s="69" t="s">
        <v>518</v>
      </c>
      <c r="AV31" s="69" t="s">
        <v>519</v>
      </c>
      <c r="AW31" s="69" t="s">
        <v>520</v>
      </c>
      <c r="AX31" s="69"/>
      <c r="AY31" s="68">
        <v>14556103535.283337</v>
      </c>
      <c r="AZ31" s="68">
        <v>14556103535.283337</v>
      </c>
      <c r="BA31" s="68" t="s">
        <v>307</v>
      </c>
      <c r="BB31" s="68"/>
      <c r="BC31" s="69" t="s">
        <v>277</v>
      </c>
      <c r="BD31" s="69" t="s">
        <v>277</v>
      </c>
      <c r="BE31" s="56" t="s">
        <v>277</v>
      </c>
      <c r="BF31" s="56" t="s">
        <v>277</v>
      </c>
      <c r="BG31" s="56" t="s">
        <v>277</v>
      </c>
      <c r="BH31" s="56" t="s">
        <v>277</v>
      </c>
      <c r="BI31" s="69">
        <v>0</v>
      </c>
      <c r="BJ31" s="69">
        <v>0</v>
      </c>
      <c r="BK31" s="69">
        <v>0</v>
      </c>
      <c r="BL31" s="69">
        <v>0</v>
      </c>
      <c r="BM31" s="69">
        <v>0</v>
      </c>
      <c r="BN31" s="69">
        <v>0</v>
      </c>
      <c r="BO31" s="69">
        <v>0</v>
      </c>
      <c r="BP31" s="69">
        <v>0</v>
      </c>
      <c r="BQ31" s="69"/>
      <c r="BR31" s="69" t="s">
        <v>382</v>
      </c>
      <c r="BS31" s="69" t="s">
        <v>521</v>
      </c>
      <c r="BT31" s="68">
        <v>0</v>
      </c>
      <c r="BU31" s="68">
        <v>0</v>
      </c>
      <c r="BV31" s="68">
        <v>0</v>
      </c>
      <c r="BW31" s="94">
        <v>0</v>
      </c>
      <c r="BX31" s="94">
        <v>0</v>
      </c>
      <c r="BY31" s="94">
        <v>0</v>
      </c>
      <c r="BZ31" s="94">
        <v>0</v>
      </c>
      <c r="CA31" s="94">
        <v>0</v>
      </c>
      <c r="CB31" s="94">
        <v>0</v>
      </c>
      <c r="CC31" s="94">
        <v>0</v>
      </c>
      <c r="CD31" s="94">
        <v>0</v>
      </c>
      <c r="CE31" s="109">
        <v>10506600000</v>
      </c>
      <c r="CF31" s="108">
        <f>SUM(BT31:CE31)</f>
        <v>10506600000</v>
      </c>
      <c r="CG31" s="108">
        <f>$CF31-$AF31</f>
        <v>-22143400000</v>
      </c>
      <c r="CH31" s="37" t="s">
        <v>289</v>
      </c>
      <c r="CI31" s="37" t="s">
        <v>290</v>
      </c>
      <c r="CJ31" s="37" t="s">
        <v>277</v>
      </c>
      <c r="CK31" s="37" t="s">
        <v>291</v>
      </c>
      <c r="CL31" s="37" t="s">
        <v>522</v>
      </c>
      <c r="CM31" s="37" t="s">
        <v>523</v>
      </c>
      <c r="CN31" s="37" t="s">
        <v>291</v>
      </c>
      <c r="CO31" s="37" t="s">
        <v>511</v>
      </c>
      <c r="CP31" s="41">
        <v>45931</v>
      </c>
      <c r="CQ31" s="41">
        <v>47027</v>
      </c>
      <c r="CR31" s="37" t="s">
        <v>293</v>
      </c>
      <c r="CS31" s="37" t="s">
        <v>322</v>
      </c>
      <c r="CT31" s="37" t="s">
        <v>524</v>
      </c>
      <c r="CU31" s="37" t="s">
        <v>341</v>
      </c>
      <c r="CV31" s="37" t="s">
        <v>384</v>
      </c>
      <c r="CW31" s="37" t="s">
        <v>525</v>
      </c>
      <c r="CX31" s="37" t="s">
        <v>526</v>
      </c>
      <c r="CY31" s="37">
        <v>32650000000</v>
      </c>
      <c r="CZ31" s="123">
        <v>45992</v>
      </c>
      <c r="DA31" s="123">
        <v>47088</v>
      </c>
      <c r="DB31" s="37" t="s">
        <v>277</v>
      </c>
      <c r="DC31" s="37" t="s">
        <v>527</v>
      </c>
      <c r="DD31" s="68">
        <v>0</v>
      </c>
      <c r="DE31" s="68">
        <v>0</v>
      </c>
      <c r="DF31" s="68">
        <v>0</v>
      </c>
      <c r="DG31" s="68">
        <v>0</v>
      </c>
      <c r="DH31" s="68">
        <v>0</v>
      </c>
      <c r="DI31" s="68">
        <v>5277450000</v>
      </c>
      <c r="DJ31" s="68">
        <v>9278653540</v>
      </c>
      <c r="DK31" s="68">
        <v>0</v>
      </c>
      <c r="DL31" s="68">
        <v>0</v>
      </c>
      <c r="DM31" s="68">
        <v>0</v>
      </c>
      <c r="DN31" s="68">
        <v>0</v>
      </c>
      <c r="DO31" s="68">
        <v>0</v>
      </c>
      <c r="DP31" s="68">
        <f>SUM(DD31:DO31)</f>
        <v>14556103540</v>
      </c>
      <c r="DQ31" s="68">
        <f>DP31-AB31</f>
        <v>0</v>
      </c>
      <c r="DR31" s="68">
        <f>$DD31</f>
        <v>0</v>
      </c>
      <c r="DS31" s="68">
        <f>DR31+DE31</f>
        <v>0</v>
      </c>
      <c r="DT31" s="68">
        <f>DS31+DF31</f>
        <v>0</v>
      </c>
      <c r="DU31" s="68">
        <f>DT31+DG31</f>
        <v>0</v>
      </c>
      <c r="DV31" s="68">
        <f>DU31+DH31</f>
        <v>0</v>
      </c>
      <c r="DW31" s="68">
        <f>DV31+DI31</f>
        <v>5277450000</v>
      </c>
      <c r="DX31" s="68">
        <f>DW31+DJ31</f>
        <v>14556103540</v>
      </c>
      <c r="DY31" s="68">
        <f>DX31+DK31</f>
        <v>14556103540</v>
      </c>
      <c r="DZ31" s="68">
        <f>DY31+DL31</f>
        <v>14556103540</v>
      </c>
      <c r="EA31" s="68">
        <f>DZ31+DM31</f>
        <v>14556103540</v>
      </c>
      <c r="EB31" s="68">
        <f>EA31+DN31</f>
        <v>14556103540</v>
      </c>
      <c r="EC31" s="68">
        <f>EB31+DO31</f>
        <v>14556103540</v>
      </c>
      <c r="ED31" s="68">
        <f>$EC31-$AB31</f>
        <v>0</v>
      </c>
    </row>
    <row r="32" spans="1:134" ht="45">
      <c r="A32" s="74"/>
      <c r="B32" s="50">
        <v>86</v>
      </c>
      <c r="C32" s="50" t="s">
        <v>269</v>
      </c>
      <c r="D32" s="50" t="s">
        <v>297</v>
      </c>
      <c r="E32" s="50"/>
      <c r="F32" s="50" t="s">
        <v>272</v>
      </c>
      <c r="G32" s="50" t="s">
        <v>273</v>
      </c>
      <c r="H32" s="37" t="s">
        <v>151</v>
      </c>
      <c r="I32" s="37" t="s">
        <v>326</v>
      </c>
      <c r="J32" s="37" t="s">
        <v>327</v>
      </c>
      <c r="K32" s="50" t="s">
        <v>528</v>
      </c>
      <c r="L32" s="50" t="s">
        <v>14</v>
      </c>
      <c r="M32" s="50" t="s">
        <v>16</v>
      </c>
      <c r="N32" s="50" t="s">
        <v>276</v>
      </c>
      <c r="O32" s="37" t="s">
        <v>3</v>
      </c>
      <c r="P32" s="37" t="s">
        <v>14</v>
      </c>
      <c r="Q32" s="37" t="s">
        <v>16</v>
      </c>
      <c r="R32" s="37" t="s">
        <v>276</v>
      </c>
      <c r="S32" s="50" t="s">
        <v>529</v>
      </c>
      <c r="T32" s="50" t="s">
        <v>530</v>
      </c>
      <c r="U32" s="50" t="s">
        <v>531</v>
      </c>
      <c r="V32" s="56" t="s">
        <v>532</v>
      </c>
      <c r="W32" s="56" t="s">
        <v>532</v>
      </c>
      <c r="X32" s="38" t="s">
        <v>533</v>
      </c>
      <c r="Y32" s="60">
        <v>34001108856</v>
      </c>
      <c r="Z32" s="60">
        <v>30600997971</v>
      </c>
      <c r="AA32" s="60"/>
      <c r="AB32" s="60">
        <f>Z32+AA32</f>
        <v>30600997971</v>
      </c>
      <c r="AC32" s="61"/>
      <c r="AD32" s="61"/>
      <c r="AE32" s="109">
        <v>34001108856</v>
      </c>
      <c r="AF32" s="109">
        <v>30600997971</v>
      </c>
      <c r="AG32" s="108">
        <f>$AR32+$AZ32+$BQ32+$BT32+$BU32+$BV32</f>
        <v>150000000</v>
      </c>
      <c r="AH32" s="121">
        <f>AF32-AG32</f>
        <v>30450997971</v>
      </c>
      <c r="AI32" s="39" t="s">
        <v>534</v>
      </c>
      <c r="AJ32" s="200"/>
      <c r="AK32" s="200"/>
      <c r="AL32" s="39"/>
      <c r="AM32" s="68"/>
      <c r="AN32" s="68"/>
      <c r="AO32" s="68"/>
      <c r="AP32" s="68"/>
      <c r="AQ32" s="68">
        <v>0</v>
      </c>
      <c r="AR32" s="68">
        <v>0</v>
      </c>
      <c r="AS32" s="68" t="s">
        <v>307</v>
      </c>
      <c r="AT32" s="68"/>
      <c r="AU32" s="69" t="s">
        <v>277</v>
      </c>
      <c r="AV32" s="69" t="s">
        <v>277</v>
      </c>
      <c r="AW32" s="69" t="s">
        <v>277</v>
      </c>
      <c r="AX32" s="69"/>
      <c r="AY32" s="68">
        <v>0</v>
      </c>
      <c r="AZ32" s="68">
        <v>0</v>
      </c>
      <c r="BA32" s="68" t="s">
        <v>307</v>
      </c>
      <c r="BB32" s="68"/>
      <c r="BC32" s="69" t="s">
        <v>535</v>
      </c>
      <c r="BD32" s="69" t="s">
        <v>277</v>
      </c>
      <c r="BE32" s="56" t="s">
        <v>277</v>
      </c>
      <c r="BF32" s="56" t="s">
        <v>277</v>
      </c>
      <c r="BG32" s="56" t="s">
        <v>277</v>
      </c>
      <c r="BH32" s="56" t="s">
        <v>277</v>
      </c>
      <c r="BI32" s="69">
        <v>0</v>
      </c>
      <c r="BJ32" s="69">
        <v>0</v>
      </c>
      <c r="BK32" s="69">
        <v>0</v>
      </c>
      <c r="BL32" s="69">
        <v>0</v>
      </c>
      <c r="BM32" s="69">
        <v>0</v>
      </c>
      <c r="BN32" s="69">
        <v>0</v>
      </c>
      <c r="BO32" s="69">
        <v>0</v>
      </c>
      <c r="BP32" s="69">
        <v>0</v>
      </c>
      <c r="BQ32" s="69"/>
      <c r="BR32" s="69" t="s">
        <v>384</v>
      </c>
      <c r="BS32" s="69" t="s">
        <v>536</v>
      </c>
      <c r="BT32" s="68">
        <v>0</v>
      </c>
      <c r="BU32" s="68">
        <v>0</v>
      </c>
      <c r="BV32" s="68">
        <v>150000000</v>
      </c>
      <c r="BW32" s="94">
        <v>0</v>
      </c>
      <c r="BX32" s="94">
        <v>0</v>
      </c>
      <c r="BY32" s="94">
        <v>30600997971</v>
      </c>
      <c r="BZ32" s="94">
        <v>0</v>
      </c>
      <c r="CA32" s="94">
        <v>0</v>
      </c>
      <c r="CB32" s="94">
        <v>0</v>
      </c>
      <c r="CC32" s="94">
        <v>0</v>
      </c>
      <c r="CD32" s="94">
        <v>0</v>
      </c>
      <c r="CE32" s="94">
        <v>0</v>
      </c>
      <c r="CF32" s="108">
        <f>SUM(BT32:CE32)</f>
        <v>30750997971</v>
      </c>
      <c r="CG32" s="108">
        <f>$CF32-$AF32</f>
        <v>150000000</v>
      </c>
      <c r="CH32" s="37" t="s">
        <v>289</v>
      </c>
      <c r="CI32" s="37" t="s">
        <v>290</v>
      </c>
      <c r="CJ32" s="37" t="s">
        <v>277</v>
      </c>
      <c r="CK32" s="37" t="s">
        <v>290</v>
      </c>
      <c r="CL32" s="37" t="s">
        <v>277</v>
      </c>
      <c r="CM32" s="37" t="s">
        <v>277</v>
      </c>
      <c r="CN32" s="37" t="s">
        <v>290</v>
      </c>
      <c r="CO32" s="37" t="s">
        <v>277</v>
      </c>
      <c r="CP32" s="41">
        <v>45839</v>
      </c>
      <c r="CQ32" s="41">
        <v>45962</v>
      </c>
      <c r="CR32" s="37" t="s">
        <v>293</v>
      </c>
      <c r="CS32" s="37" t="s">
        <v>322</v>
      </c>
      <c r="CT32" s="37" t="s">
        <v>524</v>
      </c>
      <c r="CU32" s="37" t="s">
        <v>341</v>
      </c>
      <c r="CV32" s="37" t="s">
        <v>384</v>
      </c>
      <c r="CW32" s="37" t="s">
        <v>277</v>
      </c>
      <c r="CX32" s="37" t="s">
        <v>277</v>
      </c>
      <c r="CY32" s="37">
        <v>0</v>
      </c>
      <c r="CZ32" s="123" t="s">
        <v>277</v>
      </c>
      <c r="DA32" s="123" t="s">
        <v>277</v>
      </c>
      <c r="DB32" s="37" t="s">
        <v>509</v>
      </c>
      <c r="DC32" s="37" t="s">
        <v>537</v>
      </c>
      <c r="DD32" s="68">
        <v>0</v>
      </c>
      <c r="DE32" s="68">
        <v>0</v>
      </c>
      <c r="DF32" s="68">
        <v>0</v>
      </c>
      <c r="DG32" s="68">
        <v>0</v>
      </c>
      <c r="DH32" s="68">
        <v>0</v>
      </c>
      <c r="DI32" s="68">
        <v>0</v>
      </c>
      <c r="DJ32" s="68">
        <v>0</v>
      </c>
      <c r="DK32" s="68">
        <v>0</v>
      </c>
      <c r="DL32" s="68">
        <v>0</v>
      </c>
      <c r="DM32" s="68">
        <v>30600997971</v>
      </c>
      <c r="DN32" s="68">
        <v>0</v>
      </c>
      <c r="DO32" s="68">
        <v>0</v>
      </c>
      <c r="DP32" s="68">
        <f>SUM(DD32:DO32)</f>
        <v>30600997971</v>
      </c>
      <c r="DQ32" s="68">
        <f>DP32-AB32</f>
        <v>0</v>
      </c>
      <c r="DR32" s="68">
        <f>$DD32</f>
        <v>0</v>
      </c>
      <c r="DS32" s="68">
        <f>DR32+DE32</f>
        <v>0</v>
      </c>
      <c r="DT32" s="68">
        <f>DS32+DF32</f>
        <v>0</v>
      </c>
      <c r="DU32" s="68">
        <f>DT32+DG32</f>
        <v>0</v>
      </c>
      <c r="DV32" s="68">
        <f>DU32+DH32</f>
        <v>0</v>
      </c>
      <c r="DW32" s="68">
        <f>DV32+DI32</f>
        <v>0</v>
      </c>
      <c r="DX32" s="68">
        <f>DW32+DJ32</f>
        <v>0</v>
      </c>
      <c r="DY32" s="68">
        <f>DX32+DK32</f>
        <v>0</v>
      </c>
      <c r="DZ32" s="68">
        <f>DY32+DL32</f>
        <v>0</v>
      </c>
      <c r="EA32" s="68">
        <f>DZ32+DM32</f>
        <v>30600997971</v>
      </c>
      <c r="EB32" s="68">
        <f>EA32+DN32</f>
        <v>30600997971</v>
      </c>
      <c r="EC32" s="68">
        <f>EB32+DO32</f>
        <v>30600997971</v>
      </c>
      <c r="ED32" s="68">
        <f>$EC32-$AB32</f>
        <v>0</v>
      </c>
    </row>
    <row r="33" spans="1:134" ht="30">
      <c r="A33" s="74"/>
      <c r="B33" s="50">
        <v>157</v>
      </c>
      <c r="C33" s="50" t="s">
        <v>269</v>
      </c>
      <c r="D33" s="50" t="s">
        <v>270</v>
      </c>
      <c r="E33" s="50" t="s">
        <v>538</v>
      </c>
      <c r="F33" s="50" t="s">
        <v>272</v>
      </c>
      <c r="G33" s="50" t="s">
        <v>273</v>
      </c>
      <c r="H33" s="37" t="s">
        <v>151</v>
      </c>
      <c r="I33" s="37" t="s">
        <v>326</v>
      </c>
      <c r="J33" s="37" t="s">
        <v>327</v>
      </c>
      <c r="K33" s="50" t="s">
        <v>3</v>
      </c>
      <c r="L33" s="50" t="s">
        <v>14</v>
      </c>
      <c r="M33" s="50" t="s">
        <v>16</v>
      </c>
      <c r="N33" s="50" t="s">
        <v>276</v>
      </c>
      <c r="O33" s="37" t="s">
        <v>3</v>
      </c>
      <c r="P33" s="37" t="s">
        <v>14</v>
      </c>
      <c r="Q33" s="37" t="s">
        <v>16</v>
      </c>
      <c r="R33" s="37" t="s">
        <v>276</v>
      </c>
      <c r="S33" s="50" t="s">
        <v>277</v>
      </c>
      <c r="T33" s="50">
        <v>143</v>
      </c>
      <c r="U33" s="50" t="s">
        <v>539</v>
      </c>
      <c r="V33" s="56" t="s">
        <v>277</v>
      </c>
      <c r="W33" s="56" t="s">
        <v>540</v>
      </c>
      <c r="X33" s="38" t="s">
        <v>541</v>
      </c>
      <c r="Y33" s="60"/>
      <c r="Z33" s="60"/>
      <c r="AA33" s="60"/>
      <c r="AB33" s="60"/>
      <c r="AC33" s="183"/>
      <c r="AD33" s="61"/>
      <c r="AE33" s="112">
        <v>35445989196</v>
      </c>
      <c r="AF33" s="112">
        <v>30129090817</v>
      </c>
      <c r="AG33" s="110">
        <f>$AR33+$AZ33+$BQ33+$BT33+$BU33+$BV33</f>
        <v>0</v>
      </c>
      <c r="AH33" s="121">
        <f>AF33-AG33</f>
        <v>30129090817</v>
      </c>
      <c r="AI33" s="39" t="s">
        <v>542</v>
      </c>
      <c r="AJ33" s="198"/>
      <c r="AK33" s="198"/>
      <c r="AL33" s="42"/>
      <c r="AM33" s="68"/>
      <c r="AN33" s="68"/>
      <c r="AO33" s="68"/>
      <c r="AP33" s="68"/>
      <c r="AQ33" s="68">
        <v>0</v>
      </c>
      <c r="AR33" s="68">
        <v>0</v>
      </c>
      <c r="AS33" s="68" t="s">
        <v>307</v>
      </c>
      <c r="AT33" s="68"/>
      <c r="AU33" s="69"/>
      <c r="AV33" s="69"/>
      <c r="AW33" s="69"/>
      <c r="AX33" s="69"/>
      <c r="AY33" s="68">
        <v>0</v>
      </c>
      <c r="AZ33" s="68">
        <v>0</v>
      </c>
      <c r="BA33" s="68" t="s">
        <v>307</v>
      </c>
      <c r="BB33" s="68"/>
      <c r="BC33" s="69"/>
      <c r="BD33" s="69"/>
      <c r="BE33" s="56" t="s">
        <v>277</v>
      </c>
      <c r="BF33" s="56" t="s">
        <v>277</v>
      </c>
      <c r="BG33" s="56" t="s">
        <v>277</v>
      </c>
      <c r="BH33" s="56" t="s">
        <v>277</v>
      </c>
      <c r="BI33" s="69">
        <v>0</v>
      </c>
      <c r="BJ33" s="69">
        <v>0</v>
      </c>
      <c r="BK33" s="69">
        <v>0</v>
      </c>
      <c r="BL33" s="69">
        <v>0</v>
      </c>
      <c r="BM33" s="69">
        <v>0</v>
      </c>
      <c r="BN33" s="69">
        <v>0</v>
      </c>
      <c r="BO33" s="69">
        <v>0</v>
      </c>
      <c r="BP33" s="69">
        <v>0</v>
      </c>
      <c r="BQ33" s="69"/>
      <c r="BR33" s="69" t="s">
        <v>156</v>
      </c>
      <c r="BS33" s="69" t="s">
        <v>543</v>
      </c>
      <c r="BT33" s="68">
        <v>0</v>
      </c>
      <c r="BU33" s="68">
        <v>0</v>
      </c>
      <c r="BV33" s="68">
        <v>0</v>
      </c>
      <c r="BW33" s="94">
        <v>0</v>
      </c>
      <c r="BX33" s="94">
        <v>0</v>
      </c>
      <c r="BY33" s="94">
        <v>10633796759</v>
      </c>
      <c r="BZ33" s="94">
        <v>0</v>
      </c>
      <c r="CA33" s="94">
        <v>0</v>
      </c>
      <c r="CB33" s="109">
        <v>0</v>
      </c>
      <c r="CC33" s="109">
        <v>0</v>
      </c>
      <c r="CD33" s="109">
        <v>0</v>
      </c>
      <c r="CE33" s="109">
        <v>19495294058</v>
      </c>
      <c r="CF33" s="108">
        <f>SUM(BT33:CE33)</f>
        <v>30129090817</v>
      </c>
      <c r="CG33" s="108">
        <f>$CF33-$AF33</f>
        <v>0</v>
      </c>
      <c r="CH33" s="37" t="s">
        <v>421</v>
      </c>
      <c r="CI33" s="37" t="s">
        <v>291</v>
      </c>
      <c r="CJ33" s="88" t="s">
        <v>319</v>
      </c>
      <c r="CK33" s="37" t="s">
        <v>290</v>
      </c>
      <c r="CL33" s="37" t="s">
        <v>277</v>
      </c>
      <c r="CM33" s="37" t="s">
        <v>277</v>
      </c>
      <c r="CN33" s="37" t="s">
        <v>290</v>
      </c>
      <c r="CO33" s="37" t="s">
        <v>277</v>
      </c>
      <c r="CP33" s="87" t="s">
        <v>277</v>
      </c>
      <c r="CQ33" s="87" t="s">
        <v>277</v>
      </c>
      <c r="CR33" s="87" t="s">
        <v>293</v>
      </c>
      <c r="CS33" s="37" t="s">
        <v>322</v>
      </c>
      <c r="CT33" s="91" t="s">
        <v>295</v>
      </c>
      <c r="CU33" s="91" t="s">
        <v>296</v>
      </c>
      <c r="CV33" s="91" t="s">
        <v>156</v>
      </c>
      <c r="CW33" s="37" t="s">
        <v>277</v>
      </c>
      <c r="CX33" s="37" t="s">
        <v>277</v>
      </c>
      <c r="CY33" s="37" t="s">
        <v>277</v>
      </c>
      <c r="CZ33" s="87" t="s">
        <v>277</v>
      </c>
      <c r="DA33" s="87" t="s">
        <v>277</v>
      </c>
      <c r="DB33" s="37" t="s">
        <v>277</v>
      </c>
      <c r="DC33" s="37" t="s">
        <v>277</v>
      </c>
      <c r="DD33" s="68"/>
      <c r="DE33" s="68"/>
      <c r="DF33" s="68"/>
      <c r="DG33" s="68"/>
      <c r="DH33" s="68"/>
      <c r="DI33" s="68"/>
      <c r="DJ33" s="68"/>
      <c r="DK33" s="68"/>
      <c r="DL33" s="68"/>
      <c r="DM33" s="68"/>
      <c r="DN33" s="68"/>
      <c r="DO33" s="68"/>
      <c r="DP33" s="68">
        <f>SUM(DD33:DO33)</f>
        <v>0</v>
      </c>
      <c r="DQ33" s="68">
        <f>DP33-AB33</f>
        <v>0</v>
      </c>
      <c r="DR33" s="68">
        <f>$DD33</f>
        <v>0</v>
      </c>
      <c r="DS33" s="68">
        <f>DR33+DE33</f>
        <v>0</v>
      </c>
      <c r="DT33" s="68">
        <f>DS33+DF33</f>
        <v>0</v>
      </c>
      <c r="DU33" s="68">
        <f>DT33+DG33</f>
        <v>0</v>
      </c>
      <c r="DV33" s="68">
        <f>DU33+DH33</f>
        <v>0</v>
      </c>
      <c r="DW33" s="68">
        <f>DV33+DI33</f>
        <v>0</v>
      </c>
      <c r="DX33" s="68">
        <f>DW33+DJ33</f>
        <v>0</v>
      </c>
      <c r="DY33" s="68">
        <f>DX33+DK33</f>
        <v>0</v>
      </c>
      <c r="DZ33" s="68">
        <f>DY33+DL33</f>
        <v>0</v>
      </c>
      <c r="EA33" s="68">
        <f>DZ33+DM33</f>
        <v>0</v>
      </c>
      <c r="EB33" s="68">
        <f>EA33+DN33</f>
        <v>0</v>
      </c>
      <c r="EC33" s="68">
        <f>EB33+DO33</f>
        <v>0</v>
      </c>
      <c r="ED33" s="68">
        <f>$EC33-$AB33</f>
        <v>0</v>
      </c>
    </row>
    <row r="34" spans="1:134" ht="45">
      <c r="B34" s="159"/>
      <c r="C34" s="160" t="s">
        <v>269</v>
      </c>
      <c r="D34" s="160" t="s">
        <v>270</v>
      </c>
      <c r="E34" s="160"/>
      <c r="F34" s="160" t="s">
        <v>272</v>
      </c>
      <c r="G34" s="160" t="s">
        <v>273</v>
      </c>
      <c r="H34" s="160" t="s">
        <v>151</v>
      </c>
      <c r="I34" s="158" t="s">
        <v>274</v>
      </c>
      <c r="J34" s="160" t="s">
        <v>275</v>
      </c>
      <c r="K34" s="158" t="s">
        <v>3</v>
      </c>
      <c r="L34" s="158" t="s">
        <v>25</v>
      </c>
      <c r="M34" s="158" t="s">
        <v>52</v>
      </c>
      <c r="N34" s="160"/>
      <c r="O34" s="158" t="s">
        <v>3</v>
      </c>
      <c r="P34" s="158" t="s">
        <v>25</v>
      </c>
      <c r="Q34" s="158" t="s">
        <v>52</v>
      </c>
      <c r="R34" s="158" t="s">
        <v>512</v>
      </c>
      <c r="S34" s="159" t="s">
        <v>277</v>
      </c>
      <c r="T34" s="159" t="s">
        <v>277</v>
      </c>
      <c r="U34" s="160" t="s">
        <v>277</v>
      </c>
      <c r="V34" s="159" t="s">
        <v>277</v>
      </c>
      <c r="W34" s="159" t="s">
        <v>277</v>
      </c>
      <c r="X34" s="161" t="s">
        <v>544</v>
      </c>
      <c r="Y34" s="162"/>
      <c r="Z34" s="159"/>
      <c r="AA34" s="159"/>
      <c r="AB34" s="159"/>
      <c r="AC34" s="159"/>
      <c r="AD34" s="159"/>
      <c r="AE34" s="155">
        <v>26730010309</v>
      </c>
      <c r="AF34" s="155">
        <v>26730010309</v>
      </c>
      <c r="AG34" s="155"/>
      <c r="AH34" s="121">
        <f>AF34-AG34</f>
        <v>26730010309</v>
      </c>
      <c r="AI34" s="159" t="s">
        <v>545</v>
      </c>
      <c r="AJ34" s="206"/>
      <c r="AK34" s="206"/>
      <c r="AL34" s="161"/>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159" t="s">
        <v>156</v>
      </c>
      <c r="BS34" s="159"/>
      <c r="BT34" s="159"/>
      <c r="BU34" s="159"/>
      <c r="BV34" s="159"/>
      <c r="BW34" s="155">
        <v>0</v>
      </c>
      <c r="BX34" s="155">
        <v>26730010309</v>
      </c>
      <c r="BY34" s="155">
        <v>0</v>
      </c>
      <c r="BZ34" s="155">
        <v>0</v>
      </c>
      <c r="CA34" s="155">
        <v>0</v>
      </c>
      <c r="CB34" s="155">
        <v>0</v>
      </c>
      <c r="CC34" s="155">
        <v>0</v>
      </c>
      <c r="CD34" s="155">
        <v>0</v>
      </c>
      <c r="CE34" s="155">
        <v>0</v>
      </c>
      <c r="CF34" s="156">
        <f>SUM(BT34:CE34)</f>
        <v>26730010309</v>
      </c>
      <c r="CG34" s="156">
        <f>$CF34-$AF34</f>
        <v>0</v>
      </c>
      <c r="CH34" s="158" t="s">
        <v>289</v>
      </c>
      <c r="CI34" s="158" t="s">
        <v>290</v>
      </c>
      <c r="CJ34" s="158" t="s">
        <v>277</v>
      </c>
      <c r="CK34" s="158" t="s">
        <v>290</v>
      </c>
      <c r="CL34" s="158" t="s">
        <v>277</v>
      </c>
      <c r="CM34" s="158" t="s">
        <v>277</v>
      </c>
      <c r="CN34" s="158" t="s">
        <v>290</v>
      </c>
      <c r="CO34" s="158" t="s">
        <v>277</v>
      </c>
      <c r="CP34" s="158" t="s">
        <v>277</v>
      </c>
      <c r="CQ34" s="158" t="s">
        <v>277</v>
      </c>
      <c r="CR34" s="158" t="s">
        <v>293</v>
      </c>
      <c r="CS34" s="158" t="s">
        <v>322</v>
      </c>
      <c r="CT34" s="160" t="s">
        <v>295</v>
      </c>
      <c r="CU34" s="160" t="s">
        <v>296</v>
      </c>
      <c r="CV34" s="160" t="s">
        <v>156</v>
      </c>
      <c r="CW34" s="160" t="s">
        <v>277</v>
      </c>
      <c r="CX34" s="160" t="s">
        <v>277</v>
      </c>
      <c r="CY34" s="160" t="s">
        <v>277</v>
      </c>
      <c r="CZ34" s="160" t="s">
        <v>277</v>
      </c>
      <c r="DA34" s="160" t="s">
        <v>277</v>
      </c>
      <c r="DB34" s="160" t="s">
        <v>277</v>
      </c>
      <c r="DC34" s="160" t="s">
        <v>277</v>
      </c>
      <c r="DD34" s="159"/>
      <c r="DE34" s="159"/>
      <c r="DF34" s="159"/>
      <c r="DG34" s="159"/>
      <c r="DH34" s="159"/>
      <c r="DI34" s="159"/>
      <c r="DJ34" s="159"/>
      <c r="DK34" s="159"/>
      <c r="DL34" s="159"/>
      <c r="DM34" s="159"/>
      <c r="DN34" s="159"/>
      <c r="DO34" s="159"/>
      <c r="DP34" s="159"/>
      <c r="DQ34" s="159"/>
      <c r="DR34" s="159"/>
      <c r="DS34" s="159"/>
      <c r="DT34" s="159"/>
      <c r="DU34" s="159"/>
      <c r="DV34" s="159"/>
      <c r="DW34" s="159"/>
      <c r="DX34" s="159"/>
      <c r="DY34" s="159"/>
      <c r="DZ34" s="159"/>
      <c r="EA34" s="159"/>
      <c r="EB34" s="159"/>
      <c r="EC34" s="159"/>
      <c r="ED34" s="159"/>
    </row>
    <row r="35" spans="1:134">
      <c r="A35" s="74"/>
      <c r="B35" s="50">
        <v>46</v>
      </c>
      <c r="C35" s="50" t="s">
        <v>269</v>
      </c>
      <c r="D35" s="50" t="s">
        <v>297</v>
      </c>
      <c r="E35" s="50"/>
      <c r="F35" s="50" t="s">
        <v>272</v>
      </c>
      <c r="G35" s="50" t="s">
        <v>273</v>
      </c>
      <c r="H35" s="37" t="s">
        <v>151</v>
      </c>
      <c r="I35" s="37" t="s">
        <v>546</v>
      </c>
      <c r="J35" s="37" t="s">
        <v>547</v>
      </c>
      <c r="K35" s="50" t="s">
        <v>3</v>
      </c>
      <c r="L35" s="50" t="s">
        <v>14</v>
      </c>
      <c r="M35" s="50" t="s">
        <v>11</v>
      </c>
      <c r="N35" s="50" t="s">
        <v>276</v>
      </c>
      <c r="O35" s="37" t="s">
        <v>3</v>
      </c>
      <c r="P35" s="37" t="s">
        <v>14</v>
      </c>
      <c r="Q35" s="37" t="s">
        <v>11</v>
      </c>
      <c r="R35" s="37" t="s">
        <v>276</v>
      </c>
      <c r="S35" s="50" t="s">
        <v>548</v>
      </c>
      <c r="T35" s="50" t="s">
        <v>549</v>
      </c>
      <c r="U35" s="50" t="s">
        <v>550</v>
      </c>
      <c r="V35" s="56" t="s">
        <v>551</v>
      </c>
      <c r="W35" s="56" t="s">
        <v>551</v>
      </c>
      <c r="X35" s="38" t="s">
        <v>551</v>
      </c>
      <c r="Y35" s="60">
        <v>1860000000000</v>
      </c>
      <c r="Z35" s="60">
        <v>22406939000</v>
      </c>
      <c r="AA35" s="60"/>
      <c r="AB35" s="60">
        <f>Z35+AA35</f>
        <v>22406939000</v>
      </c>
      <c r="AC35" s="61"/>
      <c r="AD35" s="61"/>
      <c r="AE35" s="109">
        <v>1860000000000</v>
      </c>
      <c r="AF35" s="109">
        <v>22406939000</v>
      </c>
      <c r="AG35" s="108">
        <f>$AR35+$AZ35+$BQ35+$BT35+$BU35+$BV35</f>
        <v>0</v>
      </c>
      <c r="AH35" s="121">
        <f>AF35-AG35</f>
        <v>22406939000</v>
      </c>
      <c r="AI35" s="39" t="s">
        <v>552</v>
      </c>
      <c r="AJ35" s="200"/>
      <c r="AK35" s="200"/>
      <c r="AL35" s="39"/>
      <c r="AM35" s="68"/>
      <c r="AN35" s="68"/>
      <c r="AO35" s="68"/>
      <c r="AP35" s="68"/>
      <c r="AQ35" s="68">
        <v>0</v>
      </c>
      <c r="AR35" s="68">
        <v>0</v>
      </c>
      <c r="AS35" s="68" t="s">
        <v>307</v>
      </c>
      <c r="AT35" s="68"/>
      <c r="AU35" s="69" t="s">
        <v>277</v>
      </c>
      <c r="AV35" s="69" t="s">
        <v>277</v>
      </c>
      <c r="AW35" s="69" t="s">
        <v>277</v>
      </c>
      <c r="AX35" s="69"/>
      <c r="AY35" s="68">
        <v>0</v>
      </c>
      <c r="AZ35" s="68">
        <v>0</v>
      </c>
      <c r="BA35" s="68" t="s">
        <v>307</v>
      </c>
      <c r="BB35" s="68"/>
      <c r="BC35" s="69" t="s">
        <v>553</v>
      </c>
      <c r="BD35" s="69" t="s">
        <v>277</v>
      </c>
      <c r="BE35" s="56" t="s">
        <v>277</v>
      </c>
      <c r="BF35" s="56" t="s">
        <v>277</v>
      </c>
      <c r="BG35" s="56" t="s">
        <v>277</v>
      </c>
      <c r="BH35" s="56" t="s">
        <v>277</v>
      </c>
      <c r="BI35" s="69">
        <v>0</v>
      </c>
      <c r="BJ35" s="69">
        <v>0</v>
      </c>
      <c r="BK35" s="69">
        <v>0</v>
      </c>
      <c r="BL35" s="69">
        <v>0</v>
      </c>
      <c r="BM35" s="69">
        <v>0</v>
      </c>
      <c r="BN35" s="69">
        <v>0</v>
      </c>
      <c r="BO35" s="69">
        <v>0</v>
      </c>
      <c r="BP35" s="69">
        <v>0</v>
      </c>
      <c r="BQ35" s="69"/>
      <c r="BR35" s="69" t="s">
        <v>382</v>
      </c>
      <c r="BS35" s="69" t="s">
        <v>554</v>
      </c>
      <c r="BT35" s="68">
        <v>0</v>
      </c>
      <c r="BU35" s="68">
        <v>0</v>
      </c>
      <c r="BV35" s="68">
        <v>0</v>
      </c>
      <c r="BW35" s="94">
        <v>4305940713</v>
      </c>
      <c r="BX35" s="96">
        <v>0</v>
      </c>
      <c r="BY35" s="94">
        <v>5601734750</v>
      </c>
      <c r="BZ35" s="96">
        <v>0</v>
      </c>
      <c r="CA35" s="94">
        <v>0</v>
      </c>
      <c r="CB35" s="109">
        <v>5601734750</v>
      </c>
      <c r="CC35" s="96">
        <v>0</v>
      </c>
      <c r="CD35" s="96">
        <v>0</v>
      </c>
      <c r="CE35" s="109">
        <v>6897528787</v>
      </c>
      <c r="CF35" s="108">
        <f>SUM(BT35:CE35)</f>
        <v>22406939000</v>
      </c>
      <c r="CG35" s="108">
        <f>$CF35-$AF35</f>
        <v>0</v>
      </c>
      <c r="CH35" s="37" t="s">
        <v>289</v>
      </c>
      <c r="CI35" s="37" t="s">
        <v>290</v>
      </c>
      <c r="CJ35" s="37" t="s">
        <v>277</v>
      </c>
      <c r="CK35" s="37" t="s">
        <v>290</v>
      </c>
      <c r="CL35" s="37" t="s">
        <v>277</v>
      </c>
      <c r="CM35" s="37" t="s">
        <v>277</v>
      </c>
      <c r="CN35" s="37" t="s">
        <v>290</v>
      </c>
      <c r="CO35" s="37" t="s">
        <v>547</v>
      </c>
      <c r="CP35" s="41">
        <v>41640</v>
      </c>
      <c r="CQ35" s="41">
        <v>48030</v>
      </c>
      <c r="CR35" s="37" t="s">
        <v>293</v>
      </c>
      <c r="CS35" s="37" t="s">
        <v>454</v>
      </c>
      <c r="CT35" s="37" t="s">
        <v>524</v>
      </c>
      <c r="CU35" s="37" t="s">
        <v>341</v>
      </c>
      <c r="CV35" s="37" t="s">
        <v>382</v>
      </c>
      <c r="CW35" s="37" t="s">
        <v>555</v>
      </c>
      <c r="CX35" s="37" t="s">
        <v>556</v>
      </c>
      <c r="CY35" s="37">
        <v>1860000000000</v>
      </c>
      <c r="CZ35" s="123">
        <v>46023</v>
      </c>
      <c r="DA35" s="123">
        <v>47849</v>
      </c>
      <c r="DB35" s="37" t="s">
        <v>277</v>
      </c>
      <c r="DC35" s="37" t="s">
        <v>557</v>
      </c>
      <c r="DD35" s="68">
        <v>0</v>
      </c>
      <c r="DE35" s="68">
        <v>0</v>
      </c>
      <c r="DF35" s="68">
        <v>0</v>
      </c>
      <c r="DG35" s="68">
        <v>4305940713</v>
      </c>
      <c r="DH35" s="68">
        <v>0</v>
      </c>
      <c r="DI35" s="68">
        <v>5601734750</v>
      </c>
      <c r="DJ35" s="68">
        <v>0</v>
      </c>
      <c r="DK35" s="68">
        <v>0</v>
      </c>
      <c r="DL35" s="68">
        <v>5601734750</v>
      </c>
      <c r="DM35" s="68">
        <v>0</v>
      </c>
      <c r="DN35" s="68">
        <v>0</v>
      </c>
      <c r="DO35" s="68">
        <v>6897528787</v>
      </c>
      <c r="DP35" s="68">
        <f>SUM(DD35:DO35)</f>
        <v>22406939000</v>
      </c>
      <c r="DQ35" s="68">
        <f>DP35-AB35</f>
        <v>0</v>
      </c>
      <c r="DR35" s="68">
        <f>$DD35</f>
        <v>0</v>
      </c>
      <c r="DS35" s="68">
        <f>DR35+DE35</f>
        <v>0</v>
      </c>
      <c r="DT35" s="68">
        <f>DS35+DF35</f>
        <v>0</v>
      </c>
      <c r="DU35" s="68">
        <f>DT35+DG35</f>
        <v>4305940713</v>
      </c>
      <c r="DV35" s="68">
        <f>DU35+DH35</f>
        <v>4305940713</v>
      </c>
      <c r="DW35" s="68">
        <f>DV35+DI35</f>
        <v>9907675463</v>
      </c>
      <c r="DX35" s="68">
        <f>DW35+DJ35</f>
        <v>9907675463</v>
      </c>
      <c r="DY35" s="68">
        <f>DX35+DK35</f>
        <v>9907675463</v>
      </c>
      <c r="DZ35" s="68">
        <f>DY35+DL35</f>
        <v>15509410213</v>
      </c>
      <c r="EA35" s="68">
        <f>DZ35+DM35</f>
        <v>15509410213</v>
      </c>
      <c r="EB35" s="68">
        <f>EA35+DN35</f>
        <v>15509410213</v>
      </c>
      <c r="EC35" s="68">
        <f>EB35+DO35</f>
        <v>22406939000</v>
      </c>
      <c r="ED35" s="68">
        <f>$EC35-$AB35</f>
        <v>0</v>
      </c>
    </row>
    <row r="36" spans="1:134" ht="30">
      <c r="B36" s="159"/>
      <c r="C36" s="160" t="s">
        <v>269</v>
      </c>
      <c r="D36" s="160" t="s">
        <v>270</v>
      </c>
      <c r="E36" s="160"/>
      <c r="F36" s="160" t="s">
        <v>272</v>
      </c>
      <c r="G36" s="160" t="s">
        <v>273</v>
      </c>
      <c r="H36" s="160" t="s">
        <v>151</v>
      </c>
      <c r="I36" s="160" t="s">
        <v>326</v>
      </c>
      <c r="J36" s="160" t="s">
        <v>327</v>
      </c>
      <c r="K36" s="160" t="s">
        <v>277</v>
      </c>
      <c r="L36" s="160" t="s">
        <v>277</v>
      </c>
      <c r="M36" s="160" t="s">
        <v>277</v>
      </c>
      <c r="N36" s="160" t="s">
        <v>277</v>
      </c>
      <c r="O36" s="160" t="s">
        <v>3</v>
      </c>
      <c r="P36" s="160" t="s">
        <v>14</v>
      </c>
      <c r="Q36" s="160" t="s">
        <v>16</v>
      </c>
      <c r="R36" s="158" t="s">
        <v>276</v>
      </c>
      <c r="S36" s="159" t="s">
        <v>277</v>
      </c>
      <c r="T36" s="159" t="s">
        <v>277</v>
      </c>
      <c r="U36" s="160" t="s">
        <v>277</v>
      </c>
      <c r="V36" s="159" t="s">
        <v>277</v>
      </c>
      <c r="W36" s="159" t="s">
        <v>277</v>
      </c>
      <c r="X36" s="161" t="s">
        <v>558</v>
      </c>
      <c r="Y36" s="159"/>
      <c r="Z36" s="159"/>
      <c r="AA36" s="159"/>
      <c r="AB36" s="159"/>
      <c r="AC36" s="159"/>
      <c r="AD36" s="159"/>
      <c r="AE36" s="155">
        <v>26102442709</v>
      </c>
      <c r="AF36" s="155">
        <v>22187076303</v>
      </c>
      <c r="AG36" s="155"/>
      <c r="AH36" s="121">
        <f>AF36-AG36</f>
        <v>22187076303</v>
      </c>
      <c r="AI36" s="159" t="s">
        <v>559</v>
      </c>
      <c r="AJ36" s="206"/>
      <c r="AK36" s="206"/>
      <c r="AL36" s="161"/>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159" t="s">
        <v>156</v>
      </c>
      <c r="BS36" s="159"/>
      <c r="BT36" s="159"/>
      <c r="BU36" s="159"/>
      <c r="BV36" s="159"/>
      <c r="BW36" s="155">
        <v>0</v>
      </c>
      <c r="BX36" s="155">
        <v>0</v>
      </c>
      <c r="BY36" s="155">
        <v>0</v>
      </c>
      <c r="BZ36" s="155">
        <v>0</v>
      </c>
      <c r="CA36" s="155">
        <v>0</v>
      </c>
      <c r="CB36" s="155">
        <v>0</v>
      </c>
      <c r="CC36" s="155">
        <v>0</v>
      </c>
      <c r="CD36" s="155">
        <v>7830732813</v>
      </c>
      <c r="CE36" s="155">
        <v>14356343490</v>
      </c>
      <c r="CF36" s="156">
        <f>SUM(BT36:CE36)</f>
        <v>22187076303</v>
      </c>
      <c r="CG36" s="156">
        <f>$CF36-$AF36</f>
        <v>0</v>
      </c>
      <c r="CH36" s="160" t="s">
        <v>289</v>
      </c>
      <c r="CI36" s="160" t="s">
        <v>290</v>
      </c>
      <c r="CJ36" s="158" t="s">
        <v>277</v>
      </c>
      <c r="CK36" s="160" t="s">
        <v>290</v>
      </c>
      <c r="CL36" s="158" t="s">
        <v>277</v>
      </c>
      <c r="CM36" s="158" t="s">
        <v>277</v>
      </c>
      <c r="CN36" s="158" t="s">
        <v>290</v>
      </c>
      <c r="CO36" s="158" t="s">
        <v>277</v>
      </c>
      <c r="CP36" s="158" t="s">
        <v>277</v>
      </c>
      <c r="CQ36" s="158" t="s">
        <v>277</v>
      </c>
      <c r="CR36" s="158" t="s">
        <v>293</v>
      </c>
      <c r="CS36" s="158" t="s">
        <v>322</v>
      </c>
      <c r="CT36" s="158" t="s">
        <v>295</v>
      </c>
      <c r="CU36" s="158" t="s">
        <v>296</v>
      </c>
      <c r="CV36" s="158" t="s">
        <v>323</v>
      </c>
      <c r="CW36" s="158" t="s">
        <v>277</v>
      </c>
      <c r="CX36" s="158" t="s">
        <v>277</v>
      </c>
      <c r="CY36" s="158" t="s">
        <v>277</v>
      </c>
      <c r="CZ36" s="158" t="s">
        <v>277</v>
      </c>
      <c r="DA36" s="158" t="s">
        <v>277</v>
      </c>
      <c r="DB36" s="158" t="s">
        <v>277</v>
      </c>
      <c r="DC36" s="158" t="s">
        <v>277</v>
      </c>
      <c r="DD36" s="159"/>
      <c r="DE36" s="159"/>
      <c r="DF36" s="159"/>
      <c r="DG36" s="159"/>
      <c r="DH36" s="159"/>
      <c r="DI36" s="159"/>
      <c r="DJ36" s="159"/>
      <c r="DK36" s="159"/>
      <c r="DL36" s="159"/>
      <c r="DM36" s="159"/>
      <c r="DN36" s="159"/>
      <c r="DO36" s="159"/>
      <c r="DP36" s="159"/>
      <c r="DQ36" s="159"/>
      <c r="DR36" s="159"/>
      <c r="DS36" s="159"/>
      <c r="DT36" s="159"/>
      <c r="DU36" s="159"/>
      <c r="DV36" s="159"/>
      <c r="DW36" s="159"/>
      <c r="DX36" s="159"/>
      <c r="DY36" s="159"/>
      <c r="DZ36" s="159"/>
      <c r="EA36" s="159"/>
      <c r="EB36" s="159"/>
      <c r="EC36" s="159"/>
      <c r="ED36" s="159"/>
    </row>
    <row r="37" spans="1:134" ht="30">
      <c r="A37" s="74"/>
      <c r="B37" s="50">
        <v>9</v>
      </c>
      <c r="C37" s="50" t="s">
        <v>269</v>
      </c>
      <c r="D37" s="50" t="s">
        <v>297</v>
      </c>
      <c r="E37" s="50"/>
      <c r="F37" s="50" t="s">
        <v>272</v>
      </c>
      <c r="G37" s="50" t="s">
        <v>273</v>
      </c>
      <c r="H37" s="37" t="s">
        <v>151</v>
      </c>
      <c r="I37" s="37" t="s">
        <v>424</v>
      </c>
      <c r="J37" s="37" t="s">
        <v>560</v>
      </c>
      <c r="K37" s="50" t="s">
        <v>3</v>
      </c>
      <c r="L37" s="50" t="s">
        <v>14</v>
      </c>
      <c r="M37" s="50" t="s">
        <v>16</v>
      </c>
      <c r="N37" s="50" t="s">
        <v>276</v>
      </c>
      <c r="O37" s="37" t="s">
        <v>3</v>
      </c>
      <c r="P37" s="37" t="s">
        <v>14</v>
      </c>
      <c r="Q37" s="37" t="s">
        <v>16</v>
      </c>
      <c r="R37" s="37" t="s">
        <v>276</v>
      </c>
      <c r="S37" s="50" t="s">
        <v>561</v>
      </c>
      <c r="T37" s="50" t="s">
        <v>562</v>
      </c>
      <c r="U37" s="50" t="s">
        <v>563</v>
      </c>
      <c r="V37" s="56" t="s">
        <v>564</v>
      </c>
      <c r="W37" s="56" t="s">
        <v>564</v>
      </c>
      <c r="X37" s="38" t="s">
        <v>564</v>
      </c>
      <c r="Y37" s="60">
        <v>123300000000</v>
      </c>
      <c r="Z37" s="60">
        <v>19865120000</v>
      </c>
      <c r="AA37" s="60"/>
      <c r="AB37" s="60">
        <f>Z37+AA37</f>
        <v>19865120000</v>
      </c>
      <c r="AC37" s="61"/>
      <c r="AD37" s="61"/>
      <c r="AE37" s="109">
        <v>123300000000</v>
      </c>
      <c r="AF37" s="109">
        <v>19865120000</v>
      </c>
      <c r="AG37" s="108">
        <f>$AR37+$AZ37+$BQ37+$BT37+$BU37+$BV37</f>
        <v>0</v>
      </c>
      <c r="AH37" s="121">
        <f>AF37-AG37</f>
        <v>19865120000</v>
      </c>
      <c r="AI37" s="39" t="s">
        <v>565</v>
      </c>
      <c r="AJ37" s="200"/>
      <c r="AK37" s="200"/>
      <c r="AL37" s="39"/>
      <c r="AM37" s="68"/>
      <c r="AN37" s="68"/>
      <c r="AO37" s="68"/>
      <c r="AP37" s="68"/>
      <c r="AQ37" s="68">
        <v>0</v>
      </c>
      <c r="AR37" s="68">
        <v>0</v>
      </c>
      <c r="AS37" s="68" t="s">
        <v>307</v>
      </c>
      <c r="AT37" s="68"/>
      <c r="AU37" s="69" t="s">
        <v>277</v>
      </c>
      <c r="AV37" s="69" t="s">
        <v>277</v>
      </c>
      <c r="AW37" s="69" t="s">
        <v>277</v>
      </c>
      <c r="AX37" s="69"/>
      <c r="AY37" s="68">
        <v>0</v>
      </c>
      <c r="AZ37" s="68">
        <v>0</v>
      </c>
      <c r="BA37" s="68" t="s">
        <v>307</v>
      </c>
      <c r="BB37" s="68"/>
      <c r="BC37" s="69" t="s">
        <v>566</v>
      </c>
      <c r="BD37" s="69" t="s">
        <v>277</v>
      </c>
      <c r="BE37" s="56" t="s">
        <v>277</v>
      </c>
      <c r="BF37" s="56" t="s">
        <v>277</v>
      </c>
      <c r="BG37" s="56" t="s">
        <v>277</v>
      </c>
      <c r="BH37" s="56" t="s">
        <v>277</v>
      </c>
      <c r="BI37" s="69">
        <v>0</v>
      </c>
      <c r="BJ37" s="69">
        <v>0</v>
      </c>
      <c r="BK37" s="69">
        <v>0</v>
      </c>
      <c r="BL37" s="69">
        <v>0</v>
      </c>
      <c r="BM37" s="69">
        <v>0</v>
      </c>
      <c r="BN37" s="69">
        <v>0</v>
      </c>
      <c r="BO37" s="69">
        <v>0</v>
      </c>
      <c r="BP37" s="69">
        <v>0</v>
      </c>
      <c r="BQ37" s="69">
        <f>$BJ37</f>
        <v>0</v>
      </c>
      <c r="BR37" s="69" t="s">
        <v>382</v>
      </c>
      <c r="BS37" s="69" t="s">
        <v>567</v>
      </c>
      <c r="BT37" s="68">
        <v>0</v>
      </c>
      <c r="BU37" s="68">
        <v>0</v>
      </c>
      <c r="BV37" s="68">
        <v>0</v>
      </c>
      <c r="BW37" s="40">
        <v>0</v>
      </c>
      <c r="BX37" s="40">
        <v>0</v>
      </c>
      <c r="BY37" s="40">
        <v>0</v>
      </c>
      <c r="BZ37" s="40">
        <v>0</v>
      </c>
      <c r="CA37" s="40">
        <v>0</v>
      </c>
      <c r="CB37" s="40">
        <v>0</v>
      </c>
      <c r="CC37" s="40">
        <v>0</v>
      </c>
      <c r="CD37" s="40">
        <v>0</v>
      </c>
      <c r="CE37" s="109">
        <v>19865120000</v>
      </c>
      <c r="CF37" s="108">
        <f>SUM(BT37:CE37)</f>
        <v>19865120000</v>
      </c>
      <c r="CG37" s="108">
        <f>$CF37-$AF37</f>
        <v>0</v>
      </c>
      <c r="CH37" s="37" t="s">
        <v>289</v>
      </c>
      <c r="CI37" s="37" t="s">
        <v>290</v>
      </c>
      <c r="CJ37" s="37" t="s">
        <v>277</v>
      </c>
      <c r="CK37" s="37" t="s">
        <v>290</v>
      </c>
      <c r="CL37" s="37" t="s">
        <v>277</v>
      </c>
      <c r="CM37" s="37" t="s">
        <v>277</v>
      </c>
      <c r="CN37" s="37" t="s">
        <v>290</v>
      </c>
      <c r="CO37" s="37" t="s">
        <v>568</v>
      </c>
      <c r="CP37" s="41">
        <v>45017</v>
      </c>
      <c r="CQ37" s="41">
        <v>47453</v>
      </c>
      <c r="CR37" s="37" t="s">
        <v>293</v>
      </c>
      <c r="CS37" s="37" t="s">
        <v>322</v>
      </c>
      <c r="CT37" s="37" t="s">
        <v>295</v>
      </c>
      <c r="CU37" s="37" t="s">
        <v>341</v>
      </c>
      <c r="CV37" s="37" t="s">
        <v>337</v>
      </c>
      <c r="CW37" s="37">
        <v>4200003870</v>
      </c>
      <c r="CX37" s="37" t="s">
        <v>569</v>
      </c>
      <c r="CY37" s="124">
        <v>123300000000</v>
      </c>
      <c r="CZ37" s="123">
        <v>45413</v>
      </c>
      <c r="DA37" s="123">
        <v>46508</v>
      </c>
      <c r="DB37" s="37" t="s">
        <v>277</v>
      </c>
      <c r="DC37" s="37" t="s">
        <v>388</v>
      </c>
      <c r="DD37" s="68">
        <v>0</v>
      </c>
      <c r="DE37" s="68">
        <v>15000000000</v>
      </c>
      <c r="DF37" s="68">
        <v>0</v>
      </c>
      <c r="DG37" s="68">
        <v>0</v>
      </c>
      <c r="DH37" s="68">
        <v>0</v>
      </c>
      <c r="DI37" s="68">
        <v>0</v>
      </c>
      <c r="DJ37" s="68">
        <v>0</v>
      </c>
      <c r="DK37" s="68">
        <v>4865120000</v>
      </c>
      <c r="DL37" s="68">
        <v>0</v>
      </c>
      <c r="DM37" s="68">
        <v>0</v>
      </c>
      <c r="DN37" s="68">
        <v>0</v>
      </c>
      <c r="DO37" s="68">
        <v>0</v>
      </c>
      <c r="DP37" s="68">
        <f>SUM(DD37:DO37)</f>
        <v>19865120000</v>
      </c>
      <c r="DQ37" s="68">
        <f>DP37-AB37</f>
        <v>0</v>
      </c>
      <c r="DR37" s="68">
        <f>$DD37</f>
        <v>0</v>
      </c>
      <c r="DS37" s="68">
        <f>DR37+DE37</f>
        <v>15000000000</v>
      </c>
      <c r="DT37" s="68">
        <f>DS37+DF37</f>
        <v>15000000000</v>
      </c>
      <c r="DU37" s="68">
        <f>DT37+DG37</f>
        <v>15000000000</v>
      </c>
      <c r="DV37" s="68">
        <f>DU37+DH37</f>
        <v>15000000000</v>
      </c>
      <c r="DW37" s="68">
        <f>DV37+DI37</f>
        <v>15000000000</v>
      </c>
      <c r="DX37" s="68">
        <f>DW37+DJ37</f>
        <v>15000000000</v>
      </c>
      <c r="DY37" s="68">
        <f>DX37+DK37</f>
        <v>19865120000</v>
      </c>
      <c r="DZ37" s="68">
        <f>DY37+DL37</f>
        <v>19865120000</v>
      </c>
      <c r="EA37" s="68">
        <f>DZ37+DM37</f>
        <v>19865120000</v>
      </c>
      <c r="EB37" s="68">
        <f>EA37+DN37</f>
        <v>19865120000</v>
      </c>
      <c r="EC37" s="68">
        <f>EB37+DO37</f>
        <v>19865120000</v>
      </c>
      <c r="ED37" s="68">
        <f>$EC37-$AB37</f>
        <v>0</v>
      </c>
    </row>
    <row r="38" spans="1:134" ht="45">
      <c r="A38" s="74"/>
      <c r="B38" s="50">
        <v>85</v>
      </c>
      <c r="C38" s="50" t="s">
        <v>269</v>
      </c>
      <c r="D38" s="50" t="s">
        <v>297</v>
      </c>
      <c r="E38" s="50"/>
      <c r="F38" s="50" t="s">
        <v>272</v>
      </c>
      <c r="G38" s="50" t="s">
        <v>273</v>
      </c>
      <c r="H38" s="37" t="s">
        <v>151</v>
      </c>
      <c r="I38" s="37" t="s">
        <v>326</v>
      </c>
      <c r="J38" s="37" t="s">
        <v>447</v>
      </c>
      <c r="K38" s="50" t="s">
        <v>3</v>
      </c>
      <c r="L38" s="50" t="s">
        <v>14</v>
      </c>
      <c r="M38" s="50" t="s">
        <v>16</v>
      </c>
      <c r="N38" s="50" t="s">
        <v>276</v>
      </c>
      <c r="O38" s="37" t="s">
        <v>3</v>
      </c>
      <c r="P38" s="37" t="s">
        <v>14</v>
      </c>
      <c r="Q38" s="37" t="s">
        <v>16</v>
      </c>
      <c r="R38" s="37" t="s">
        <v>276</v>
      </c>
      <c r="S38" s="50" t="s">
        <v>570</v>
      </c>
      <c r="T38" s="50" t="s">
        <v>571</v>
      </c>
      <c r="U38" s="50" t="s">
        <v>572</v>
      </c>
      <c r="V38" s="56" t="s">
        <v>573</v>
      </c>
      <c r="W38" s="56" t="s">
        <v>573</v>
      </c>
      <c r="X38" s="38" t="s">
        <v>573</v>
      </c>
      <c r="Y38" s="60">
        <v>59500000000</v>
      </c>
      <c r="Z38" s="60">
        <v>19833333334</v>
      </c>
      <c r="AA38" s="60">
        <v>-11703969391</v>
      </c>
      <c r="AB38" s="60">
        <f>Z38+AA38</f>
        <v>8129363943</v>
      </c>
      <c r="AC38" s="61" t="s">
        <v>414</v>
      </c>
      <c r="AD38" s="61" t="s">
        <v>574</v>
      </c>
      <c r="AE38" s="112">
        <v>59500000000</v>
      </c>
      <c r="AF38" s="112">
        <v>19833333334</v>
      </c>
      <c r="AG38" s="110">
        <f>$AR38+$AZ38+$BQ38+$BT38+$BU38+$BV38</f>
        <v>0</v>
      </c>
      <c r="AH38" s="121">
        <f>AF38-AG38</f>
        <v>19833333334</v>
      </c>
      <c r="AI38" s="176" t="s">
        <v>575</v>
      </c>
      <c r="AJ38" s="203"/>
      <c r="AK38" s="203"/>
      <c r="AL38" s="167"/>
      <c r="AM38" s="68"/>
      <c r="AN38" s="68"/>
      <c r="AO38" s="68"/>
      <c r="AP38" s="68"/>
      <c r="AQ38" s="68">
        <v>0</v>
      </c>
      <c r="AR38" s="68">
        <v>0</v>
      </c>
      <c r="AS38" s="68" t="s">
        <v>307</v>
      </c>
      <c r="AT38" s="68"/>
      <c r="AU38" s="69" t="s">
        <v>277</v>
      </c>
      <c r="AV38" s="69" t="s">
        <v>277</v>
      </c>
      <c r="AW38" s="69" t="s">
        <v>277</v>
      </c>
      <c r="AX38" s="69"/>
      <c r="AY38" s="68">
        <v>0</v>
      </c>
      <c r="AZ38" s="68">
        <v>0</v>
      </c>
      <c r="BA38" s="68" t="s">
        <v>307</v>
      </c>
      <c r="BB38" s="68"/>
      <c r="BC38" s="69" t="s">
        <v>535</v>
      </c>
      <c r="BD38" s="69" t="s">
        <v>277</v>
      </c>
      <c r="BE38" s="56" t="s">
        <v>277</v>
      </c>
      <c r="BF38" s="56" t="s">
        <v>277</v>
      </c>
      <c r="BG38" s="56" t="s">
        <v>277</v>
      </c>
      <c r="BH38" s="56" t="s">
        <v>277</v>
      </c>
      <c r="BI38" s="69">
        <v>0</v>
      </c>
      <c r="BJ38" s="69">
        <v>0</v>
      </c>
      <c r="BK38" s="69">
        <v>0</v>
      </c>
      <c r="BL38" s="69">
        <v>0</v>
      </c>
      <c r="BM38" s="69">
        <v>0</v>
      </c>
      <c r="BN38" s="69">
        <v>0</v>
      </c>
      <c r="BO38" s="69">
        <v>0</v>
      </c>
      <c r="BP38" s="69">
        <v>0</v>
      </c>
      <c r="BQ38" s="69"/>
      <c r="BR38" s="69" t="s">
        <v>337</v>
      </c>
      <c r="BS38" s="69" t="s">
        <v>576</v>
      </c>
      <c r="BT38" s="68">
        <v>0</v>
      </c>
      <c r="BU38" s="68">
        <v>0</v>
      </c>
      <c r="BV38" s="68"/>
      <c r="BW38" s="94">
        <v>0</v>
      </c>
      <c r="BX38" s="94">
        <v>0</v>
      </c>
      <c r="BY38" s="94">
        <v>0</v>
      </c>
      <c r="BZ38" s="111">
        <v>8129363943</v>
      </c>
      <c r="CA38" s="94">
        <v>0</v>
      </c>
      <c r="CB38" s="94">
        <v>0</v>
      </c>
      <c r="CC38" s="94">
        <v>0</v>
      </c>
      <c r="CD38" s="94">
        <v>0</v>
      </c>
      <c r="CE38" s="111">
        <v>0</v>
      </c>
      <c r="CF38" s="108">
        <f>SUM(BT38:CE38)</f>
        <v>8129363943</v>
      </c>
      <c r="CG38" s="108">
        <f>$CF38-$AF38</f>
        <v>-11703969391</v>
      </c>
      <c r="CH38" s="37" t="s">
        <v>289</v>
      </c>
      <c r="CI38" s="37" t="s">
        <v>290</v>
      </c>
      <c r="CJ38" s="37" t="s">
        <v>277</v>
      </c>
      <c r="CK38" s="37" t="s">
        <v>290</v>
      </c>
      <c r="CL38" s="37" t="s">
        <v>277</v>
      </c>
      <c r="CM38" s="37" t="s">
        <v>277</v>
      </c>
      <c r="CN38" s="37" t="s">
        <v>290</v>
      </c>
      <c r="CO38" s="37" t="s">
        <v>277</v>
      </c>
      <c r="CP38" s="41">
        <v>45901</v>
      </c>
      <c r="CQ38" s="41">
        <v>46997</v>
      </c>
      <c r="CR38" s="37" t="s">
        <v>577</v>
      </c>
      <c r="CS38" s="37" t="s">
        <v>294</v>
      </c>
      <c r="CT38" s="37" t="s">
        <v>295</v>
      </c>
      <c r="CU38" s="37" t="s">
        <v>341</v>
      </c>
      <c r="CV38" s="37" t="s">
        <v>337</v>
      </c>
      <c r="CW38" s="37">
        <v>4200005414</v>
      </c>
      <c r="CX38" s="37" t="s">
        <v>573</v>
      </c>
      <c r="CY38" s="37">
        <v>59950000000</v>
      </c>
      <c r="CZ38" s="123">
        <v>45992</v>
      </c>
      <c r="DA38" s="123">
        <v>47088</v>
      </c>
      <c r="DB38" s="37" t="s">
        <v>509</v>
      </c>
      <c r="DC38" s="37" t="s">
        <v>537</v>
      </c>
      <c r="DD38" s="68">
        <v>0</v>
      </c>
      <c r="DE38" s="68">
        <f>5000000000-5000000000</f>
        <v>0</v>
      </c>
      <c r="DF38" s="68">
        <v>0</v>
      </c>
      <c r="DG38" s="68">
        <v>0</v>
      </c>
      <c r="DH38" s="68">
        <f>5000000000-5000000000</f>
        <v>0</v>
      </c>
      <c r="DI38" s="68">
        <v>0</v>
      </c>
      <c r="DJ38" s="68">
        <v>0</v>
      </c>
      <c r="DK38" s="68">
        <v>0</v>
      </c>
      <c r="DL38" s="68">
        <f>5000000000-1703969391</f>
        <v>3296030609</v>
      </c>
      <c r="DM38" s="68">
        <v>0</v>
      </c>
      <c r="DN38" s="68">
        <v>0</v>
      </c>
      <c r="DO38" s="68">
        <v>4833333334</v>
      </c>
      <c r="DP38" s="68">
        <f>SUM(DD38:DO38)</f>
        <v>8129363943</v>
      </c>
      <c r="DQ38" s="68">
        <f>DP38-AB38</f>
        <v>0</v>
      </c>
      <c r="DR38" s="68">
        <f>$DD38</f>
        <v>0</v>
      </c>
      <c r="DS38" s="68">
        <f>DR38+DE38</f>
        <v>0</v>
      </c>
      <c r="DT38" s="68">
        <f>DS38+DF38</f>
        <v>0</v>
      </c>
      <c r="DU38" s="68">
        <f>DT38+DG38</f>
        <v>0</v>
      </c>
      <c r="DV38" s="68">
        <f>DU38+DH38</f>
        <v>0</v>
      </c>
      <c r="DW38" s="68">
        <f>DV38+DI38</f>
        <v>0</v>
      </c>
      <c r="DX38" s="68">
        <f>DW38+DJ38</f>
        <v>0</v>
      </c>
      <c r="DY38" s="68">
        <f>DX38+DK38</f>
        <v>0</v>
      </c>
      <c r="DZ38" s="68">
        <f>DY38+DL38</f>
        <v>3296030609</v>
      </c>
      <c r="EA38" s="68">
        <f>DZ38+DM38</f>
        <v>3296030609</v>
      </c>
      <c r="EB38" s="68">
        <f>EA38+DN38</f>
        <v>3296030609</v>
      </c>
      <c r="EC38" s="68">
        <f>EB38+DO38</f>
        <v>8129363943</v>
      </c>
      <c r="ED38" s="68">
        <f>$EC38-$AB38</f>
        <v>0</v>
      </c>
    </row>
    <row r="39" spans="1:134" ht="60">
      <c r="A39" s="74"/>
      <c r="B39" s="50"/>
      <c r="C39" s="50" t="s">
        <v>269</v>
      </c>
      <c r="D39" s="50" t="s">
        <v>270</v>
      </c>
      <c r="E39" s="50" t="s">
        <v>578</v>
      </c>
      <c r="F39" s="50" t="s">
        <v>272</v>
      </c>
      <c r="G39" s="50" t="s">
        <v>273</v>
      </c>
      <c r="H39" s="37" t="s">
        <v>151</v>
      </c>
      <c r="I39" s="37" t="s">
        <v>274</v>
      </c>
      <c r="J39" s="37" t="s">
        <v>579</v>
      </c>
      <c r="K39" s="50" t="s">
        <v>3</v>
      </c>
      <c r="L39" s="50" t="s">
        <v>25</v>
      </c>
      <c r="M39" s="50" t="s">
        <v>52</v>
      </c>
      <c r="N39" s="50" t="s">
        <v>276</v>
      </c>
      <c r="O39" s="37" t="s">
        <v>3</v>
      </c>
      <c r="P39" s="37" t="s">
        <v>25</v>
      </c>
      <c r="Q39" s="37" t="s">
        <v>52</v>
      </c>
      <c r="R39" s="37" t="s">
        <v>512</v>
      </c>
      <c r="S39" s="50" t="s">
        <v>277</v>
      </c>
      <c r="T39" s="50"/>
      <c r="U39" s="50" t="s">
        <v>580</v>
      </c>
      <c r="V39" s="56" t="s">
        <v>277</v>
      </c>
      <c r="W39" s="56" t="s">
        <v>581</v>
      </c>
      <c r="X39" s="38" t="s">
        <v>581</v>
      </c>
      <c r="Y39" s="60">
        <v>17124594064</v>
      </c>
      <c r="Z39" s="60">
        <v>0</v>
      </c>
      <c r="AA39" s="60">
        <f>0+17124594064</f>
        <v>17124594064</v>
      </c>
      <c r="AB39" s="60">
        <f>Z39+AA39</f>
        <v>17124594064</v>
      </c>
      <c r="AC39" s="61" t="s">
        <v>582</v>
      </c>
      <c r="AD39" s="61" t="s">
        <v>583</v>
      </c>
      <c r="AE39" s="112">
        <v>17124594064</v>
      </c>
      <c r="AF39" s="112">
        <v>17124594064</v>
      </c>
      <c r="AG39" s="110">
        <f>$AR39+$AZ39+$BQ39+$BT39+$BU39+$BV39</f>
        <v>0</v>
      </c>
      <c r="AH39" s="121">
        <f>AF39-AG39</f>
        <v>17124594064</v>
      </c>
      <c r="AI39" s="39" t="s">
        <v>584</v>
      </c>
      <c r="AJ39" s="198"/>
      <c r="AK39" s="198"/>
      <c r="AL39" s="42"/>
      <c r="AM39" s="68"/>
      <c r="AN39" s="68"/>
      <c r="AO39" s="68"/>
      <c r="AP39" s="68"/>
      <c r="AQ39" s="68"/>
      <c r="AR39" s="68"/>
      <c r="AS39" s="68"/>
      <c r="AT39" s="68"/>
      <c r="AU39" s="69"/>
      <c r="AV39" s="69"/>
      <c r="AW39" s="69"/>
      <c r="AX39" s="69"/>
      <c r="AY39" s="68"/>
      <c r="AZ39" s="68"/>
      <c r="BA39" s="68"/>
      <c r="BB39" s="68"/>
      <c r="BC39" s="69"/>
      <c r="BD39" s="69"/>
      <c r="BE39" s="56" t="s">
        <v>585</v>
      </c>
      <c r="BF39" s="56" t="s">
        <v>586</v>
      </c>
      <c r="BG39" s="56" t="s">
        <v>587</v>
      </c>
      <c r="BH39" s="56" t="s">
        <v>296</v>
      </c>
      <c r="BI39" s="69">
        <v>17124594064</v>
      </c>
      <c r="BJ39" s="69">
        <v>17124594064</v>
      </c>
      <c r="BK39" s="69">
        <v>0</v>
      </c>
      <c r="BL39" s="69">
        <v>0</v>
      </c>
      <c r="BM39" s="69">
        <v>0</v>
      </c>
      <c r="BN39" s="69">
        <v>0</v>
      </c>
      <c r="BO39" s="69">
        <v>0</v>
      </c>
      <c r="BP39" s="69">
        <v>0</v>
      </c>
      <c r="BQ39" s="69"/>
      <c r="BR39" s="69" t="s">
        <v>156</v>
      </c>
      <c r="BS39" s="69"/>
      <c r="BT39" s="68">
        <v>0</v>
      </c>
      <c r="BU39" s="68">
        <v>0</v>
      </c>
      <c r="BV39" s="68">
        <v>0</v>
      </c>
      <c r="BW39" s="94">
        <v>0</v>
      </c>
      <c r="BX39" s="94">
        <v>0</v>
      </c>
      <c r="BY39" s="94">
        <v>0</v>
      </c>
      <c r="BZ39" s="94">
        <v>0</v>
      </c>
      <c r="CA39" s="94">
        <v>0</v>
      </c>
      <c r="CB39" s="94">
        <v>0</v>
      </c>
      <c r="CC39" s="94">
        <v>0</v>
      </c>
      <c r="CD39" s="94">
        <v>0</v>
      </c>
      <c r="CE39" s="109">
        <v>0</v>
      </c>
      <c r="CF39" s="108">
        <f>SUM(BT39:CE39)</f>
        <v>0</v>
      </c>
      <c r="CG39" s="108">
        <f>$CF39-$AF39</f>
        <v>-17124594064</v>
      </c>
      <c r="CH39" s="37" t="s">
        <v>289</v>
      </c>
      <c r="CI39" s="37" t="s">
        <v>290</v>
      </c>
      <c r="CJ39" s="37" t="s">
        <v>277</v>
      </c>
      <c r="CK39" s="37" t="s">
        <v>291</v>
      </c>
      <c r="CL39" s="37" t="s">
        <v>522</v>
      </c>
      <c r="CM39" s="37" t="s">
        <v>151</v>
      </c>
      <c r="CN39" s="37" t="s">
        <v>290</v>
      </c>
      <c r="CO39" s="37" t="s">
        <v>277</v>
      </c>
      <c r="CP39" s="41">
        <v>46143</v>
      </c>
      <c r="CQ39" s="41" t="s">
        <v>588</v>
      </c>
      <c r="CR39" s="37" t="s">
        <v>443</v>
      </c>
      <c r="CS39" s="37" t="s">
        <v>294</v>
      </c>
      <c r="CT39" s="37" t="s">
        <v>295</v>
      </c>
      <c r="CU39" s="37" t="s">
        <v>296</v>
      </c>
      <c r="CV39" s="37" t="s">
        <v>323</v>
      </c>
      <c r="CW39" s="37" t="s">
        <v>277</v>
      </c>
      <c r="CX39" s="37" t="s">
        <v>277</v>
      </c>
      <c r="CY39" s="37" t="s">
        <v>277</v>
      </c>
      <c r="CZ39" s="87" t="s">
        <v>277</v>
      </c>
      <c r="DA39" s="87" t="s">
        <v>277</v>
      </c>
      <c r="DB39" s="37" t="s">
        <v>589</v>
      </c>
      <c r="DC39" s="37" t="s">
        <v>277</v>
      </c>
      <c r="DD39" s="68">
        <v>0</v>
      </c>
      <c r="DE39" s="68">
        <v>0</v>
      </c>
      <c r="DF39" s="68">
        <v>0</v>
      </c>
      <c r="DG39" s="68">
        <v>0</v>
      </c>
      <c r="DH39" s="68">
        <v>0</v>
      </c>
      <c r="DI39" s="68">
        <v>0</v>
      </c>
      <c r="DJ39" s="68">
        <f>0+17124594064</f>
        <v>17124594064</v>
      </c>
      <c r="DK39" s="68">
        <v>0</v>
      </c>
      <c r="DL39" s="68">
        <v>0</v>
      </c>
      <c r="DM39" s="68">
        <v>0</v>
      </c>
      <c r="DN39" s="68">
        <v>0</v>
      </c>
      <c r="DO39" s="68">
        <v>0</v>
      </c>
      <c r="DP39" s="68">
        <f>SUM(DD39:DO39)</f>
        <v>17124594064</v>
      </c>
      <c r="DQ39" s="68">
        <f>DP39-AB39</f>
        <v>0</v>
      </c>
      <c r="DR39" s="68">
        <f>$DD39</f>
        <v>0</v>
      </c>
      <c r="DS39" s="68">
        <f>DR39+DE39</f>
        <v>0</v>
      </c>
      <c r="DT39" s="68">
        <f>DS39+DF39</f>
        <v>0</v>
      </c>
      <c r="DU39" s="68">
        <f>DT39+DG39</f>
        <v>0</v>
      </c>
      <c r="DV39" s="68">
        <f>DU39+DH39</f>
        <v>0</v>
      </c>
      <c r="DW39" s="68">
        <f>DV39+DI39</f>
        <v>0</v>
      </c>
      <c r="DX39" s="68">
        <f>DW39+DJ39</f>
        <v>17124594064</v>
      </c>
      <c r="DY39" s="68">
        <f>DX39+DK39</f>
        <v>17124594064</v>
      </c>
      <c r="DZ39" s="68">
        <f>DY39+DL39</f>
        <v>17124594064</v>
      </c>
      <c r="EA39" s="68">
        <f>DZ39+DM39</f>
        <v>17124594064</v>
      </c>
      <c r="EB39" s="68">
        <f>EA39+DN39</f>
        <v>17124594064</v>
      </c>
      <c r="EC39" s="68">
        <f>EB39+DO39</f>
        <v>17124594064</v>
      </c>
      <c r="ED39" s="68">
        <f>$EC39-$AB39</f>
        <v>0</v>
      </c>
    </row>
    <row r="40" spans="1:134" ht="30">
      <c r="B40" s="54"/>
      <c r="C40" s="50" t="s">
        <v>269</v>
      </c>
      <c r="D40" s="50" t="s">
        <v>270</v>
      </c>
      <c r="E40" s="55" t="s">
        <v>590</v>
      </c>
      <c r="F40" s="50" t="s">
        <v>272</v>
      </c>
      <c r="G40" s="50" t="s">
        <v>273</v>
      </c>
      <c r="H40" s="37" t="s">
        <v>151</v>
      </c>
      <c r="I40" s="37" t="s">
        <v>274</v>
      </c>
      <c r="J40" s="37" t="s">
        <v>579</v>
      </c>
      <c r="K40" s="50" t="s">
        <v>3</v>
      </c>
      <c r="L40" s="50" t="s">
        <v>14</v>
      </c>
      <c r="M40" s="50" t="s">
        <v>16</v>
      </c>
      <c r="N40" s="50" t="s">
        <v>276</v>
      </c>
      <c r="O40" s="37" t="s">
        <v>3</v>
      </c>
      <c r="P40" s="37" t="s">
        <v>14</v>
      </c>
      <c r="Q40" s="37" t="s">
        <v>16</v>
      </c>
      <c r="R40" s="37" t="s">
        <v>276</v>
      </c>
      <c r="S40" s="50" t="s">
        <v>277</v>
      </c>
      <c r="T40" s="50">
        <v>166</v>
      </c>
      <c r="U40" s="50" t="s">
        <v>591</v>
      </c>
      <c r="V40" s="56" t="s">
        <v>277</v>
      </c>
      <c r="W40" s="57" t="s">
        <v>592</v>
      </c>
      <c r="X40" s="46" t="s">
        <v>592</v>
      </c>
      <c r="Y40" s="64">
        <v>15957306998</v>
      </c>
      <c r="Z40" s="65">
        <v>0</v>
      </c>
      <c r="AA40" s="65">
        <v>0</v>
      </c>
      <c r="AB40" s="65">
        <f>Z40+AA40</f>
        <v>0</v>
      </c>
      <c r="AC40" s="66"/>
      <c r="AD40" s="66"/>
      <c r="AE40" s="119">
        <v>16200000000</v>
      </c>
      <c r="AF40" s="119">
        <v>13800000000</v>
      </c>
      <c r="AG40" s="64">
        <f>$AR40+$AZ40+$BQ40+$BT40+$BU40+$BV40</f>
        <v>0</v>
      </c>
      <c r="AH40" s="121">
        <f>AF40-AG40</f>
        <v>13800000000</v>
      </c>
      <c r="AI40" s="47" t="s">
        <v>593</v>
      </c>
      <c r="AJ40" s="196"/>
      <c r="AK40" s="196"/>
      <c r="AL40" s="48"/>
      <c r="AM40" s="54"/>
      <c r="AN40" s="54"/>
      <c r="AO40" s="54"/>
      <c r="AP40" s="54"/>
      <c r="AQ40" s="72"/>
      <c r="AR40" s="72"/>
      <c r="AS40" s="54"/>
      <c r="AT40" s="54"/>
      <c r="AU40" s="54"/>
      <c r="AV40" s="54"/>
      <c r="AW40" s="54"/>
      <c r="AX40" s="54"/>
      <c r="AY40" s="72"/>
      <c r="AZ40" s="72"/>
      <c r="BA40" s="54"/>
      <c r="BB40" s="54"/>
      <c r="BC40" s="54"/>
      <c r="BD40" s="54"/>
      <c r="BE40" s="57" t="s">
        <v>277</v>
      </c>
      <c r="BF40" s="57" t="s">
        <v>277</v>
      </c>
      <c r="BG40" s="57" t="s">
        <v>277</v>
      </c>
      <c r="BH40" s="57" t="s">
        <v>277</v>
      </c>
      <c r="BI40" s="54">
        <v>0</v>
      </c>
      <c r="BJ40" s="54">
        <v>0</v>
      </c>
      <c r="BK40" s="54">
        <v>0</v>
      </c>
      <c r="BL40" s="54">
        <v>0</v>
      </c>
      <c r="BM40" s="54">
        <v>0</v>
      </c>
      <c r="BN40" s="54">
        <v>0</v>
      </c>
      <c r="BO40" s="54">
        <v>0</v>
      </c>
      <c r="BP40" s="54">
        <v>0</v>
      </c>
      <c r="BQ40" s="54"/>
      <c r="BR40" s="69" t="s">
        <v>156</v>
      </c>
      <c r="BS40" s="69"/>
      <c r="BT40" s="72"/>
      <c r="BU40" s="72"/>
      <c r="BV40" s="72"/>
      <c r="BW40" s="94">
        <v>0</v>
      </c>
      <c r="BX40" s="94">
        <v>0</v>
      </c>
      <c r="BY40" s="94">
        <v>0</v>
      </c>
      <c r="BZ40" s="94">
        <v>0</v>
      </c>
      <c r="CA40" s="94">
        <v>0</v>
      </c>
      <c r="CB40" s="119">
        <v>0</v>
      </c>
      <c r="CC40" s="119">
        <v>0</v>
      </c>
      <c r="CD40" s="119">
        <v>13800000000</v>
      </c>
      <c r="CE40" s="119">
        <v>0</v>
      </c>
      <c r="CF40" s="64">
        <f>SUM(BT40:CE40)</f>
        <v>13800000000</v>
      </c>
      <c r="CG40" s="64">
        <f>$CF40-$AF40</f>
        <v>0</v>
      </c>
      <c r="CH40" s="87" t="s">
        <v>289</v>
      </c>
      <c r="CI40" s="87" t="s">
        <v>290</v>
      </c>
      <c r="CJ40" s="87" t="s">
        <v>277</v>
      </c>
      <c r="CK40" s="91" t="s">
        <v>291</v>
      </c>
      <c r="CL40" s="91" t="s">
        <v>292</v>
      </c>
      <c r="CM40" s="91" t="s">
        <v>277</v>
      </c>
      <c r="CN40" s="91" t="s">
        <v>474</v>
      </c>
      <c r="CO40" s="91" t="s">
        <v>277</v>
      </c>
      <c r="CP40" s="91" t="s">
        <v>277</v>
      </c>
      <c r="CQ40" s="91" t="s">
        <v>277</v>
      </c>
      <c r="CR40" s="87" t="s">
        <v>293</v>
      </c>
      <c r="CS40" s="91" t="s">
        <v>322</v>
      </c>
      <c r="CT40" s="87" t="s">
        <v>295</v>
      </c>
      <c r="CU40" s="91" t="s">
        <v>296</v>
      </c>
      <c r="CV40" s="91" t="s">
        <v>156</v>
      </c>
      <c r="CW40" s="87" t="s">
        <v>277</v>
      </c>
      <c r="CX40" s="87" t="s">
        <v>277</v>
      </c>
      <c r="CY40" s="87" t="s">
        <v>277</v>
      </c>
      <c r="CZ40" s="45" t="s">
        <v>277</v>
      </c>
      <c r="DA40" s="45" t="s">
        <v>277</v>
      </c>
      <c r="DB40" s="45" t="s">
        <v>277</v>
      </c>
      <c r="DC40" s="45" t="s">
        <v>277</v>
      </c>
      <c r="DD40" s="54"/>
      <c r="DE40" s="54"/>
      <c r="DF40" s="54"/>
      <c r="DG40" s="54"/>
      <c r="DH40" s="54"/>
      <c r="DI40" s="54"/>
      <c r="DJ40" s="54"/>
      <c r="DK40" s="54"/>
      <c r="DL40" s="54"/>
      <c r="DM40" s="54"/>
      <c r="DN40" s="54"/>
      <c r="DO40" s="54"/>
      <c r="DP40" s="54">
        <f>SUM(DD40:DO40)</f>
        <v>0</v>
      </c>
      <c r="DQ40" s="54">
        <f>DP40-AB40</f>
        <v>0</v>
      </c>
      <c r="DR40" s="54">
        <f>$DD40</f>
        <v>0</v>
      </c>
      <c r="DS40" s="54">
        <f>DR40+DE40</f>
        <v>0</v>
      </c>
      <c r="DT40" s="54">
        <f>DS40+DF40</f>
        <v>0</v>
      </c>
      <c r="DU40" s="54">
        <f>DT40+DG40</f>
        <v>0</v>
      </c>
      <c r="DV40" s="54">
        <f>DU40+DH40</f>
        <v>0</v>
      </c>
      <c r="DW40" s="54">
        <f>DV40+DI40</f>
        <v>0</v>
      </c>
      <c r="DX40" s="54">
        <f>DW40+DJ40</f>
        <v>0</v>
      </c>
      <c r="DY40" s="54">
        <f>DX40+DK40</f>
        <v>0</v>
      </c>
      <c r="DZ40" s="54">
        <f>DY40+DL40</f>
        <v>0</v>
      </c>
      <c r="EA40" s="54">
        <f>DZ40+DM40</f>
        <v>0</v>
      </c>
      <c r="EB40" s="54">
        <f>EA40+DN40</f>
        <v>0</v>
      </c>
      <c r="EC40" s="54">
        <f>EB40+DO40</f>
        <v>0</v>
      </c>
      <c r="ED40" s="54">
        <f>$EC40-$AB40</f>
        <v>0</v>
      </c>
    </row>
    <row r="41" spans="1:134" ht="30">
      <c r="A41" s="74"/>
      <c r="B41" s="50">
        <v>160</v>
      </c>
      <c r="C41" s="50" t="s">
        <v>269</v>
      </c>
      <c r="D41" s="50" t="s">
        <v>270</v>
      </c>
      <c r="E41" s="50" t="s">
        <v>594</v>
      </c>
      <c r="F41" s="50" t="s">
        <v>272</v>
      </c>
      <c r="G41" s="50" t="s">
        <v>273</v>
      </c>
      <c r="H41" s="37" t="s">
        <v>151</v>
      </c>
      <c r="I41" s="37" t="s">
        <v>326</v>
      </c>
      <c r="J41" s="37" t="s">
        <v>327</v>
      </c>
      <c r="K41" s="50" t="s">
        <v>3</v>
      </c>
      <c r="L41" s="50" t="s">
        <v>14</v>
      </c>
      <c r="M41" s="50" t="s">
        <v>16</v>
      </c>
      <c r="N41" s="50" t="s">
        <v>276</v>
      </c>
      <c r="O41" s="37" t="s">
        <v>3</v>
      </c>
      <c r="P41" s="37" t="s">
        <v>14</v>
      </c>
      <c r="Q41" s="37" t="s">
        <v>16</v>
      </c>
      <c r="R41" s="37" t="s">
        <v>276</v>
      </c>
      <c r="S41" s="50" t="s">
        <v>277</v>
      </c>
      <c r="T41" s="50">
        <v>146</v>
      </c>
      <c r="U41" s="50" t="s">
        <v>595</v>
      </c>
      <c r="V41" s="56" t="s">
        <v>277</v>
      </c>
      <c r="W41" s="56" t="s">
        <v>596</v>
      </c>
      <c r="X41" s="38" t="s">
        <v>597</v>
      </c>
      <c r="Y41" s="60"/>
      <c r="Z41" s="60"/>
      <c r="AA41" s="60"/>
      <c r="AB41" s="60"/>
      <c r="AC41" s="183"/>
      <c r="AD41" s="61"/>
      <c r="AE41" s="112">
        <v>16192769688</v>
      </c>
      <c r="AF41" s="112">
        <v>13763854235</v>
      </c>
      <c r="AG41" s="110">
        <f>$AR41+$AZ41+$BQ41+$BT41+$BU41+$BV41</f>
        <v>2700000</v>
      </c>
      <c r="AH41" s="121">
        <f>AF41-AG41</f>
        <v>13761154235</v>
      </c>
      <c r="AI41" s="39" t="s">
        <v>598</v>
      </c>
      <c r="AJ41" s="198"/>
      <c r="AK41" s="198"/>
      <c r="AL41" s="42"/>
      <c r="AM41" s="68"/>
      <c r="AN41" s="68"/>
      <c r="AO41" s="68"/>
      <c r="AP41" s="68"/>
      <c r="AQ41" s="68">
        <v>0</v>
      </c>
      <c r="AR41" s="68">
        <v>0</v>
      </c>
      <c r="AS41" s="68" t="s">
        <v>307</v>
      </c>
      <c r="AT41" s="68"/>
      <c r="AU41" s="69"/>
      <c r="AV41" s="69"/>
      <c r="AW41" s="69"/>
      <c r="AX41" s="69"/>
      <c r="AY41" s="68">
        <v>0</v>
      </c>
      <c r="AZ41" s="68">
        <v>0</v>
      </c>
      <c r="BA41" s="68" t="s">
        <v>307</v>
      </c>
      <c r="BB41" s="68"/>
      <c r="BC41" s="69"/>
      <c r="BD41" s="69"/>
      <c r="BE41" s="56" t="s">
        <v>277</v>
      </c>
      <c r="BF41" s="56" t="s">
        <v>277</v>
      </c>
      <c r="BG41" s="56" t="s">
        <v>277</v>
      </c>
      <c r="BH41" s="56" t="s">
        <v>277</v>
      </c>
      <c r="BI41" s="69">
        <v>0</v>
      </c>
      <c r="BJ41" s="69">
        <v>0</v>
      </c>
      <c r="BK41" s="69">
        <v>0</v>
      </c>
      <c r="BL41" s="69">
        <v>0</v>
      </c>
      <c r="BM41" s="69">
        <v>0</v>
      </c>
      <c r="BN41" s="69">
        <v>0</v>
      </c>
      <c r="BO41" s="69">
        <v>0</v>
      </c>
      <c r="BP41" s="69">
        <v>0</v>
      </c>
      <c r="BQ41" s="69"/>
      <c r="BR41" s="69" t="s">
        <v>156</v>
      </c>
      <c r="BS41" s="69" t="s">
        <v>599</v>
      </c>
      <c r="BT41" s="68">
        <v>2700000</v>
      </c>
      <c r="BU41" s="68">
        <v>0</v>
      </c>
      <c r="BV41" s="68">
        <v>0</v>
      </c>
      <c r="BW41" s="94">
        <v>0</v>
      </c>
      <c r="BX41" s="94">
        <v>0</v>
      </c>
      <c r="BY41" s="94">
        <v>4857830906</v>
      </c>
      <c r="BZ41" s="94">
        <v>0</v>
      </c>
      <c r="CA41" s="94">
        <v>0</v>
      </c>
      <c r="CB41" s="109">
        <v>0</v>
      </c>
      <c r="CC41" s="109">
        <v>0</v>
      </c>
      <c r="CD41" s="109">
        <v>0</v>
      </c>
      <c r="CE41" s="109">
        <v>8906023328</v>
      </c>
      <c r="CF41" s="108">
        <f>SUM(BT41:CE41)</f>
        <v>13766554234</v>
      </c>
      <c r="CG41" s="108">
        <f>$CF41-$AF41</f>
        <v>2699999</v>
      </c>
      <c r="CH41" s="37" t="s">
        <v>421</v>
      </c>
      <c r="CI41" s="37" t="s">
        <v>291</v>
      </c>
      <c r="CJ41" s="37" t="s">
        <v>319</v>
      </c>
      <c r="CK41" s="37" t="s">
        <v>290</v>
      </c>
      <c r="CL41" s="37" t="s">
        <v>277</v>
      </c>
      <c r="CM41" s="37" t="s">
        <v>277</v>
      </c>
      <c r="CN41" s="37" t="s">
        <v>600</v>
      </c>
      <c r="CO41" s="37" t="s">
        <v>277</v>
      </c>
      <c r="CP41" s="87" t="s">
        <v>277</v>
      </c>
      <c r="CQ41" s="87" t="s">
        <v>277</v>
      </c>
      <c r="CR41" s="87" t="s">
        <v>293</v>
      </c>
      <c r="CS41" s="37" t="s">
        <v>601</v>
      </c>
      <c r="CT41" s="91" t="s">
        <v>295</v>
      </c>
      <c r="CU41" s="91" t="s">
        <v>296</v>
      </c>
      <c r="CV41" s="91" t="s">
        <v>156</v>
      </c>
      <c r="CW41" s="37" t="s">
        <v>277</v>
      </c>
      <c r="CX41" s="37" t="s">
        <v>277</v>
      </c>
      <c r="CY41" s="37" t="s">
        <v>277</v>
      </c>
      <c r="CZ41" s="87" t="s">
        <v>277</v>
      </c>
      <c r="DA41" s="87" t="s">
        <v>277</v>
      </c>
      <c r="DB41" s="37" t="s">
        <v>277</v>
      </c>
      <c r="DC41" s="37" t="s">
        <v>277</v>
      </c>
      <c r="DD41" s="68"/>
      <c r="DE41" s="68"/>
      <c r="DF41" s="68"/>
      <c r="DG41" s="68"/>
      <c r="DH41" s="68"/>
      <c r="DI41" s="68"/>
      <c r="DJ41" s="68"/>
      <c r="DK41" s="68"/>
      <c r="DL41" s="68"/>
      <c r="DM41" s="68"/>
      <c r="DN41" s="68"/>
      <c r="DO41" s="68"/>
      <c r="DP41" s="68">
        <f>SUM(DD41:DO41)</f>
        <v>0</v>
      </c>
      <c r="DQ41" s="68">
        <f>DP41-AB41</f>
        <v>0</v>
      </c>
      <c r="DR41" s="68">
        <f>$DD41</f>
        <v>0</v>
      </c>
      <c r="DS41" s="68">
        <f>DR41+DE41</f>
        <v>0</v>
      </c>
      <c r="DT41" s="68">
        <f>DS41+DF41</f>
        <v>0</v>
      </c>
      <c r="DU41" s="68">
        <f>DT41+DG41</f>
        <v>0</v>
      </c>
      <c r="DV41" s="68">
        <f>DU41+DH41</f>
        <v>0</v>
      </c>
      <c r="DW41" s="68">
        <f>DV41+DI41</f>
        <v>0</v>
      </c>
      <c r="DX41" s="68">
        <f>DW41+DJ41</f>
        <v>0</v>
      </c>
      <c r="DY41" s="68">
        <f>DX41+DK41</f>
        <v>0</v>
      </c>
      <c r="DZ41" s="68">
        <f>DY41+DL41</f>
        <v>0</v>
      </c>
      <c r="EA41" s="68">
        <f>DZ41+DM41</f>
        <v>0</v>
      </c>
      <c r="EB41" s="68">
        <f>EA41+DN41</f>
        <v>0</v>
      </c>
      <c r="EC41" s="68">
        <f>EB41+DO41</f>
        <v>0</v>
      </c>
      <c r="ED41" s="68">
        <f>$EC41-$AB41</f>
        <v>0</v>
      </c>
    </row>
    <row r="42" spans="1:134" ht="30">
      <c r="B42" s="159"/>
      <c r="C42" s="160" t="s">
        <v>269</v>
      </c>
      <c r="D42" s="160" t="s">
        <v>270</v>
      </c>
      <c r="E42" s="160"/>
      <c r="F42" s="160" t="s">
        <v>272</v>
      </c>
      <c r="G42" s="160" t="s">
        <v>273</v>
      </c>
      <c r="H42" s="160" t="s">
        <v>151</v>
      </c>
      <c r="I42" s="160" t="s">
        <v>326</v>
      </c>
      <c r="J42" s="160" t="s">
        <v>447</v>
      </c>
      <c r="K42" s="160" t="s">
        <v>277</v>
      </c>
      <c r="L42" s="160" t="s">
        <v>277</v>
      </c>
      <c r="M42" s="160" t="s">
        <v>277</v>
      </c>
      <c r="N42" s="160" t="s">
        <v>277</v>
      </c>
      <c r="O42" s="160" t="s">
        <v>3</v>
      </c>
      <c r="P42" s="160" t="s">
        <v>14</v>
      </c>
      <c r="Q42" s="160" t="s">
        <v>16</v>
      </c>
      <c r="R42" s="158" t="s">
        <v>276</v>
      </c>
      <c r="S42" s="159" t="s">
        <v>277</v>
      </c>
      <c r="T42" s="159" t="s">
        <v>277</v>
      </c>
      <c r="U42" s="160" t="s">
        <v>277</v>
      </c>
      <c r="V42" s="159" t="s">
        <v>277</v>
      </c>
      <c r="W42" s="159" t="s">
        <v>277</v>
      </c>
      <c r="X42" s="161" t="s">
        <v>602</v>
      </c>
      <c r="Y42" s="159"/>
      <c r="Z42" s="159"/>
      <c r="AA42" s="159"/>
      <c r="AB42" s="159"/>
      <c r="AC42" s="159"/>
      <c r="AD42" s="159"/>
      <c r="AE42" s="155">
        <v>26515170440</v>
      </c>
      <c r="AF42" s="155">
        <v>13298808879</v>
      </c>
      <c r="AG42" s="155"/>
      <c r="AH42" s="121">
        <f>AF42-AG42</f>
        <v>13298808879</v>
      </c>
      <c r="AI42" s="159" t="s">
        <v>603</v>
      </c>
      <c r="AJ42" s="206"/>
      <c r="AK42" s="206"/>
      <c r="AL42" s="161"/>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159" t="s">
        <v>156</v>
      </c>
      <c r="BS42" s="159"/>
      <c r="BT42" s="159"/>
      <c r="BU42" s="159"/>
      <c r="BV42" s="159"/>
      <c r="BW42" s="156">
        <v>0</v>
      </c>
      <c r="BX42" s="156">
        <v>0</v>
      </c>
      <c r="BY42" s="156">
        <v>0</v>
      </c>
      <c r="BZ42" s="156">
        <v>0</v>
      </c>
      <c r="CA42" s="156">
        <v>0</v>
      </c>
      <c r="CB42" s="155">
        <v>13298808879</v>
      </c>
      <c r="CC42" s="156">
        <v>0</v>
      </c>
      <c r="CD42" s="156">
        <v>0</v>
      </c>
      <c r="CE42" s="156">
        <v>0</v>
      </c>
      <c r="CF42" s="156">
        <f>SUM(BT42:CE42)</f>
        <v>13298808879</v>
      </c>
      <c r="CG42" s="156">
        <f>$CF42-$AF42</f>
        <v>0</v>
      </c>
      <c r="CH42" s="160" t="s">
        <v>289</v>
      </c>
      <c r="CI42" s="160" t="s">
        <v>290</v>
      </c>
      <c r="CJ42" s="158" t="s">
        <v>277</v>
      </c>
      <c r="CK42" s="160" t="s">
        <v>290</v>
      </c>
      <c r="CL42" s="158" t="s">
        <v>277</v>
      </c>
      <c r="CM42" s="158" t="s">
        <v>277</v>
      </c>
      <c r="CN42" s="160" t="s">
        <v>290</v>
      </c>
      <c r="CO42" s="158" t="s">
        <v>277</v>
      </c>
      <c r="CP42" s="158" t="s">
        <v>277</v>
      </c>
      <c r="CQ42" s="158" t="s">
        <v>277</v>
      </c>
      <c r="CR42" s="158" t="s">
        <v>293</v>
      </c>
      <c r="CS42" s="158" t="s">
        <v>322</v>
      </c>
      <c r="CT42" s="158" t="s">
        <v>295</v>
      </c>
      <c r="CU42" s="158" t="s">
        <v>296</v>
      </c>
      <c r="CV42" s="158" t="s">
        <v>323</v>
      </c>
      <c r="CW42" s="158" t="s">
        <v>277</v>
      </c>
      <c r="CX42" s="158" t="s">
        <v>277</v>
      </c>
      <c r="CY42" s="158" t="s">
        <v>277</v>
      </c>
      <c r="CZ42" s="158" t="s">
        <v>277</v>
      </c>
      <c r="DA42" s="158" t="s">
        <v>277</v>
      </c>
      <c r="DB42" s="158" t="s">
        <v>277</v>
      </c>
      <c r="DC42" s="158" t="s">
        <v>277</v>
      </c>
      <c r="DD42" s="159"/>
      <c r="DE42" s="159"/>
      <c r="DF42" s="159"/>
      <c r="DG42" s="159"/>
      <c r="DH42" s="159"/>
      <c r="DI42" s="159"/>
      <c r="DJ42" s="159"/>
      <c r="DK42" s="159"/>
      <c r="DL42" s="159"/>
      <c r="DM42" s="159"/>
      <c r="DN42" s="159"/>
      <c r="DO42" s="159"/>
      <c r="DP42" s="159"/>
      <c r="DQ42" s="159"/>
      <c r="DR42" s="159"/>
      <c r="DS42" s="159"/>
      <c r="DT42" s="159"/>
      <c r="DU42" s="159"/>
      <c r="DV42" s="159"/>
      <c r="DW42" s="159"/>
      <c r="DX42" s="159"/>
      <c r="DY42" s="159"/>
      <c r="DZ42" s="159"/>
      <c r="EA42" s="159"/>
      <c r="EB42" s="159"/>
      <c r="EC42" s="159"/>
      <c r="ED42" s="159"/>
    </row>
    <row r="43" spans="1:134">
      <c r="B43" s="159"/>
      <c r="C43" s="160" t="s">
        <v>269</v>
      </c>
      <c r="D43" s="160" t="s">
        <v>270</v>
      </c>
      <c r="E43" s="160"/>
      <c r="F43" s="160" t="s">
        <v>272</v>
      </c>
      <c r="G43" s="160" t="s">
        <v>273</v>
      </c>
      <c r="H43" s="160" t="s">
        <v>151</v>
      </c>
      <c r="I43" s="160" t="s">
        <v>604</v>
      </c>
      <c r="J43" s="160" t="s">
        <v>605</v>
      </c>
      <c r="K43" s="160" t="s">
        <v>3</v>
      </c>
      <c r="L43" s="160" t="s">
        <v>14</v>
      </c>
      <c r="M43" s="160" t="s">
        <v>16</v>
      </c>
      <c r="N43" s="160"/>
      <c r="O43" s="160" t="s">
        <v>3</v>
      </c>
      <c r="P43" s="160" t="s">
        <v>14</v>
      </c>
      <c r="Q43" s="160" t="s">
        <v>16</v>
      </c>
      <c r="R43" s="158" t="s">
        <v>512</v>
      </c>
      <c r="S43" s="159" t="s">
        <v>277</v>
      </c>
      <c r="T43" s="159" t="s">
        <v>277</v>
      </c>
      <c r="U43" s="160" t="s">
        <v>277</v>
      </c>
      <c r="V43" s="159" t="s">
        <v>277</v>
      </c>
      <c r="W43" s="159" t="s">
        <v>277</v>
      </c>
      <c r="X43" s="159" t="s">
        <v>606</v>
      </c>
      <c r="Y43" s="159"/>
      <c r="Z43" s="159"/>
      <c r="AA43" s="159"/>
      <c r="AB43" s="159"/>
      <c r="AC43" s="159"/>
      <c r="AD43" s="159"/>
      <c r="AE43" s="155">
        <v>48799300000</v>
      </c>
      <c r="AF43" s="155">
        <v>12199825000</v>
      </c>
      <c r="AG43" s="155"/>
      <c r="AH43" s="121">
        <f>AF43-AG43</f>
        <v>12199825000</v>
      </c>
      <c r="AI43" s="159" t="s">
        <v>607</v>
      </c>
      <c r="AJ43" s="155"/>
      <c r="AK43" s="155"/>
      <c r="AL43" s="159"/>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159" t="s">
        <v>156</v>
      </c>
      <c r="BS43" s="159"/>
      <c r="BT43" s="159"/>
      <c r="BU43" s="159"/>
      <c r="BV43" s="159"/>
      <c r="BW43" s="155">
        <v>0</v>
      </c>
      <c r="BX43" s="155">
        <v>0</v>
      </c>
      <c r="BY43" s="155">
        <v>0</v>
      </c>
      <c r="BZ43" s="155">
        <v>0</v>
      </c>
      <c r="CA43" s="155">
        <v>0</v>
      </c>
      <c r="CB43" s="155">
        <v>0</v>
      </c>
      <c r="CC43" s="155">
        <v>0</v>
      </c>
      <c r="CD43" s="155">
        <v>12199825000</v>
      </c>
      <c r="CE43" s="155">
        <v>0</v>
      </c>
      <c r="CF43" s="156">
        <f>SUM(BT43:CE43)</f>
        <v>12199825000</v>
      </c>
      <c r="CG43" s="156">
        <f>$CF43-$AF43</f>
        <v>0</v>
      </c>
      <c r="CH43" s="158" t="s">
        <v>289</v>
      </c>
      <c r="CI43" s="158" t="s">
        <v>290</v>
      </c>
      <c r="CJ43" s="158" t="s">
        <v>277</v>
      </c>
      <c r="CK43" s="160" t="s">
        <v>291</v>
      </c>
      <c r="CL43" s="160" t="s">
        <v>608</v>
      </c>
      <c r="CM43" s="160" t="s">
        <v>608</v>
      </c>
      <c r="CN43" s="160" t="s">
        <v>290</v>
      </c>
      <c r="CO43" s="160" t="s">
        <v>277</v>
      </c>
      <c r="CP43" s="160" t="s">
        <v>277</v>
      </c>
      <c r="CQ43" s="160" t="s">
        <v>277</v>
      </c>
      <c r="CR43" s="158" t="s">
        <v>293</v>
      </c>
      <c r="CS43" s="160" t="s">
        <v>294</v>
      </c>
      <c r="CT43" s="163" t="s">
        <v>524</v>
      </c>
      <c r="CU43" s="160" t="s">
        <v>609</v>
      </c>
      <c r="CV43" s="160" t="s">
        <v>156</v>
      </c>
      <c r="CW43" s="160" t="s">
        <v>277</v>
      </c>
      <c r="CX43" s="160" t="s">
        <v>277</v>
      </c>
      <c r="CY43" s="160" t="s">
        <v>277</v>
      </c>
      <c r="CZ43" s="160" t="s">
        <v>277</v>
      </c>
      <c r="DA43" s="160" t="s">
        <v>277</v>
      </c>
      <c r="DB43" s="160" t="s">
        <v>277</v>
      </c>
      <c r="DC43" s="160" t="s">
        <v>277</v>
      </c>
      <c r="DD43" s="159"/>
      <c r="DE43" s="159"/>
      <c r="DF43" s="159"/>
      <c r="DG43" s="159"/>
      <c r="DH43" s="159"/>
      <c r="DI43" s="159"/>
      <c r="DJ43" s="159"/>
      <c r="DK43" s="159"/>
      <c r="DL43" s="159"/>
      <c r="DM43" s="159"/>
      <c r="DN43" s="159"/>
      <c r="DO43" s="159"/>
      <c r="DP43" s="159"/>
      <c r="DQ43" s="159"/>
      <c r="DR43" s="159"/>
      <c r="DS43" s="159"/>
      <c r="DT43" s="159"/>
      <c r="DU43" s="159"/>
      <c r="DV43" s="159"/>
      <c r="DW43" s="159"/>
      <c r="DX43" s="159"/>
      <c r="DY43" s="159"/>
      <c r="DZ43" s="159"/>
      <c r="EA43" s="159"/>
      <c r="EB43" s="159"/>
      <c r="EC43" s="159"/>
      <c r="ED43" s="159"/>
    </row>
    <row r="44" spans="1:134" ht="409.5">
      <c r="A44" s="74"/>
      <c r="B44" s="50">
        <v>80</v>
      </c>
      <c r="C44" s="50" t="s">
        <v>269</v>
      </c>
      <c r="D44" s="50" t="s">
        <v>297</v>
      </c>
      <c r="E44" s="50"/>
      <c r="F44" s="50" t="s">
        <v>272</v>
      </c>
      <c r="G44" s="50" t="s">
        <v>273</v>
      </c>
      <c r="H44" s="37" t="s">
        <v>151</v>
      </c>
      <c r="I44" s="37" t="s">
        <v>424</v>
      </c>
      <c r="J44" s="37" t="s">
        <v>425</v>
      </c>
      <c r="K44" s="50" t="s">
        <v>3</v>
      </c>
      <c r="L44" s="50" t="s">
        <v>14</v>
      </c>
      <c r="M44" s="50" t="s">
        <v>16</v>
      </c>
      <c r="N44" s="50" t="s">
        <v>276</v>
      </c>
      <c r="O44" s="37" t="s">
        <v>3</v>
      </c>
      <c r="P44" s="37" t="s">
        <v>14</v>
      </c>
      <c r="Q44" s="37" t="s">
        <v>16</v>
      </c>
      <c r="R44" s="37" t="s">
        <v>276</v>
      </c>
      <c r="S44" s="50" t="s">
        <v>426</v>
      </c>
      <c r="T44" s="50" t="s">
        <v>610</v>
      </c>
      <c r="U44" s="50" t="s">
        <v>611</v>
      </c>
      <c r="V44" s="56" t="s">
        <v>612</v>
      </c>
      <c r="W44" s="56" t="s">
        <v>612</v>
      </c>
      <c r="X44" s="38" t="s">
        <v>612</v>
      </c>
      <c r="Y44" s="60">
        <v>37293579054</v>
      </c>
      <c r="Z44" s="60">
        <v>11188073716</v>
      </c>
      <c r="AA44" s="60">
        <f>5602752788+809173496</f>
        <v>6411926284</v>
      </c>
      <c r="AB44" s="60">
        <f>Z44+AA44</f>
        <v>17600000000</v>
      </c>
      <c r="AC44" s="61" t="s">
        <v>613</v>
      </c>
      <c r="AD44" s="61" t="s">
        <v>614</v>
      </c>
      <c r="AE44" s="112">
        <v>22000000000</v>
      </c>
      <c r="AF44" s="112">
        <v>11188073716</v>
      </c>
      <c r="AG44" s="110">
        <f>$AR44+$AZ44+$BQ44+$BT44+$BU44+$BV44</f>
        <v>0</v>
      </c>
      <c r="AH44" s="121">
        <f>AF44-AG44</f>
        <v>11188073716</v>
      </c>
      <c r="AI44" s="39" t="s">
        <v>615</v>
      </c>
      <c r="AJ44" s="198"/>
      <c r="AK44" s="198"/>
      <c r="AL44" s="42"/>
      <c r="AM44" s="68"/>
      <c r="AN44" s="68"/>
      <c r="AO44" s="68"/>
      <c r="AP44" s="68"/>
      <c r="AQ44" s="68">
        <v>0</v>
      </c>
      <c r="AR44" s="68">
        <v>0</v>
      </c>
      <c r="AS44" s="68" t="s">
        <v>307</v>
      </c>
      <c r="AT44" s="68"/>
      <c r="AU44" s="69" t="s">
        <v>277</v>
      </c>
      <c r="AV44" s="69" t="s">
        <v>277</v>
      </c>
      <c r="AW44" s="69" t="s">
        <v>277</v>
      </c>
      <c r="AX44" s="69"/>
      <c r="AY44" s="68">
        <v>0</v>
      </c>
      <c r="AZ44" s="68">
        <v>0</v>
      </c>
      <c r="BA44" s="68" t="s">
        <v>307</v>
      </c>
      <c r="BB44" s="68"/>
      <c r="BC44" s="56" t="s">
        <v>616</v>
      </c>
      <c r="BD44" s="69" t="s">
        <v>277</v>
      </c>
      <c r="BE44" s="56" t="s">
        <v>617</v>
      </c>
      <c r="BF44" s="56" t="s">
        <v>618</v>
      </c>
      <c r="BG44" s="56" t="s">
        <v>619</v>
      </c>
      <c r="BH44" s="56" t="s">
        <v>296</v>
      </c>
      <c r="BI44" s="69">
        <v>22000000000</v>
      </c>
      <c r="BJ44" s="69">
        <v>17600000000</v>
      </c>
      <c r="BK44" s="69">
        <v>1925000000</v>
      </c>
      <c r="BL44" s="69">
        <v>1100000000</v>
      </c>
      <c r="BM44" s="69">
        <v>1100000000</v>
      </c>
      <c r="BN44" s="69">
        <v>275000000</v>
      </c>
      <c r="BO44" s="69">
        <v>0</v>
      </c>
      <c r="BP44" s="69">
        <v>0</v>
      </c>
      <c r="BQ44" s="69"/>
      <c r="BR44" s="69" t="s">
        <v>384</v>
      </c>
      <c r="BS44" s="69" t="s">
        <v>620</v>
      </c>
      <c r="BT44" s="68">
        <v>0</v>
      </c>
      <c r="BU44" s="68">
        <v>0</v>
      </c>
      <c r="BV44" s="68">
        <v>0</v>
      </c>
      <c r="BW44" s="94">
        <v>0</v>
      </c>
      <c r="BX44" s="94">
        <v>0</v>
      </c>
      <c r="BY44" s="94">
        <v>0</v>
      </c>
      <c r="BZ44" s="94">
        <v>0</v>
      </c>
      <c r="CA44" s="94">
        <v>0</v>
      </c>
      <c r="CB44" s="94">
        <v>0</v>
      </c>
      <c r="CC44" s="109">
        <v>11188073716</v>
      </c>
      <c r="CD44" s="94">
        <v>0</v>
      </c>
      <c r="CE44" s="94">
        <v>0</v>
      </c>
      <c r="CF44" s="108">
        <f>SUM(BT44:CE44)</f>
        <v>11188073716</v>
      </c>
      <c r="CG44" s="108">
        <f>$CF44-$AF44</f>
        <v>0</v>
      </c>
      <c r="CH44" s="37" t="s">
        <v>318</v>
      </c>
      <c r="CI44" s="37" t="s">
        <v>291</v>
      </c>
      <c r="CJ44" s="37" t="s">
        <v>319</v>
      </c>
      <c r="CK44" s="37" t="s">
        <v>290</v>
      </c>
      <c r="CL44" s="37" t="s">
        <v>277</v>
      </c>
      <c r="CM44" s="37" t="s">
        <v>277</v>
      </c>
      <c r="CN44" s="37" t="s">
        <v>290</v>
      </c>
      <c r="CO44" s="37" t="s">
        <v>568</v>
      </c>
      <c r="CP44" s="41">
        <v>46113</v>
      </c>
      <c r="CQ44" s="41">
        <v>47270</v>
      </c>
      <c r="CR44" s="37" t="s">
        <v>293</v>
      </c>
      <c r="CS44" s="37" t="s">
        <v>294</v>
      </c>
      <c r="CT44" s="37" t="s">
        <v>295</v>
      </c>
      <c r="CU44" s="37" t="s">
        <v>341</v>
      </c>
      <c r="CV44" s="37" t="s">
        <v>157</v>
      </c>
      <c r="CW44" s="37" t="s">
        <v>277</v>
      </c>
      <c r="CX44" s="37" t="s">
        <v>277</v>
      </c>
      <c r="CY44" s="37">
        <v>0</v>
      </c>
      <c r="CZ44" s="123" t="s">
        <v>277</v>
      </c>
      <c r="DA44" s="123" t="s">
        <v>277</v>
      </c>
      <c r="DB44" s="37" t="s">
        <v>277</v>
      </c>
      <c r="DC44" s="37" t="s">
        <v>455</v>
      </c>
      <c r="DD44" s="68">
        <v>0</v>
      </c>
      <c r="DE44" s="68">
        <v>0</v>
      </c>
      <c r="DF44" s="68">
        <v>0</v>
      </c>
      <c r="DG44" s="68">
        <v>0</v>
      </c>
      <c r="DH44" s="68">
        <v>0</v>
      </c>
      <c r="DI44" s="68">
        <v>0</v>
      </c>
      <c r="DJ44" s="68">
        <v>0</v>
      </c>
      <c r="DK44" s="68">
        <v>933204685</v>
      </c>
      <c r="DL44" s="68">
        <v>4827650537</v>
      </c>
      <c r="DM44" s="68">
        <f>5427218494+5602752788</f>
        <v>11029971282</v>
      </c>
      <c r="DN44" s="68">
        <f>0+809173496</f>
        <v>809173496</v>
      </c>
      <c r="DO44" s="68">
        <v>0</v>
      </c>
      <c r="DP44" s="68">
        <f>SUM(DD44:DO44)</f>
        <v>17600000000</v>
      </c>
      <c r="DQ44" s="68">
        <f>DP44-AB44</f>
        <v>0</v>
      </c>
      <c r="DR44" s="68">
        <f>$DD44</f>
        <v>0</v>
      </c>
      <c r="DS44" s="68">
        <f>DR44+DE44</f>
        <v>0</v>
      </c>
      <c r="DT44" s="68">
        <f>DS44+DF44</f>
        <v>0</v>
      </c>
      <c r="DU44" s="68">
        <f>DT44+DG44</f>
        <v>0</v>
      </c>
      <c r="DV44" s="68">
        <f>DU44+DH44</f>
        <v>0</v>
      </c>
      <c r="DW44" s="68">
        <f>DV44+DI44</f>
        <v>0</v>
      </c>
      <c r="DX44" s="68">
        <f>DW44+DJ44</f>
        <v>0</v>
      </c>
      <c r="DY44" s="68">
        <f>DX44+DK44</f>
        <v>933204685</v>
      </c>
      <c r="DZ44" s="68">
        <f>DY44+DL44</f>
        <v>5760855222</v>
      </c>
      <c r="EA44" s="68">
        <f>DZ44+DM44</f>
        <v>16790826504</v>
      </c>
      <c r="EB44" s="68">
        <f>EA44+DN44</f>
        <v>17600000000</v>
      </c>
      <c r="EC44" s="68">
        <f>EB44+DO44</f>
        <v>17600000000</v>
      </c>
      <c r="ED44" s="68">
        <f>$EC44-$AB44</f>
        <v>0</v>
      </c>
    </row>
    <row r="45" spans="1:134" ht="30">
      <c r="A45" s="74"/>
      <c r="B45" s="50">
        <v>23</v>
      </c>
      <c r="C45" s="50" t="s">
        <v>269</v>
      </c>
      <c r="D45" s="50" t="s">
        <v>297</v>
      </c>
      <c r="E45" s="50"/>
      <c r="F45" s="50" t="s">
        <v>272</v>
      </c>
      <c r="G45" s="50" t="s">
        <v>273</v>
      </c>
      <c r="H45" s="37" t="s">
        <v>151</v>
      </c>
      <c r="I45" s="37" t="s">
        <v>546</v>
      </c>
      <c r="J45" s="37" t="s">
        <v>621</v>
      </c>
      <c r="K45" s="50" t="s">
        <v>3</v>
      </c>
      <c r="L45" s="50" t="s">
        <v>14</v>
      </c>
      <c r="M45" s="50" t="s">
        <v>27</v>
      </c>
      <c r="N45" s="50" t="s">
        <v>276</v>
      </c>
      <c r="O45" s="37" t="s">
        <v>3</v>
      </c>
      <c r="P45" s="37" t="s">
        <v>14</v>
      </c>
      <c r="Q45" s="37" t="s">
        <v>27</v>
      </c>
      <c r="R45" s="37" t="s">
        <v>276</v>
      </c>
      <c r="S45" s="50" t="s">
        <v>277</v>
      </c>
      <c r="T45" s="50" t="s">
        <v>622</v>
      </c>
      <c r="U45" s="50" t="s">
        <v>623</v>
      </c>
      <c r="V45" s="56" t="s">
        <v>624</v>
      </c>
      <c r="W45" s="56" t="s">
        <v>625</v>
      </c>
      <c r="X45" s="38" t="s">
        <v>625</v>
      </c>
      <c r="Y45" s="60">
        <v>5866627500</v>
      </c>
      <c r="Z45" s="60">
        <v>4458636900</v>
      </c>
      <c r="AA45" s="60">
        <f>0+6351521010</f>
        <v>6351521010</v>
      </c>
      <c r="AB45" s="60">
        <f>Z45+AA45</f>
        <v>10810157910</v>
      </c>
      <c r="AC45" s="61" t="s">
        <v>626</v>
      </c>
      <c r="AD45" s="61" t="s">
        <v>627</v>
      </c>
      <c r="AE45" s="112">
        <v>12658090350</v>
      </c>
      <c r="AF45" s="112">
        <v>10810157910</v>
      </c>
      <c r="AG45" s="110">
        <f>$AR45+$AZ45+$BQ45+$BT45+$BU45+$BV45</f>
        <v>172648577</v>
      </c>
      <c r="AH45" s="121">
        <f>AF45-AG45</f>
        <v>10637509333</v>
      </c>
      <c r="AI45" s="39" t="s">
        <v>628</v>
      </c>
      <c r="AJ45" s="198"/>
      <c r="AK45" s="198"/>
      <c r="AL45" s="42"/>
      <c r="AM45" s="68"/>
      <c r="AN45" s="68"/>
      <c r="AO45" s="68"/>
      <c r="AP45" s="68"/>
      <c r="AQ45" s="68">
        <v>0</v>
      </c>
      <c r="AR45" s="68">
        <v>0</v>
      </c>
      <c r="AS45" s="68" t="s">
        <v>307</v>
      </c>
      <c r="AT45" s="68"/>
      <c r="AU45" s="69" t="s">
        <v>277</v>
      </c>
      <c r="AV45" s="69" t="s">
        <v>277</v>
      </c>
      <c r="AW45" s="69" t="s">
        <v>277</v>
      </c>
      <c r="AX45" s="69"/>
      <c r="AY45" s="68">
        <v>0</v>
      </c>
      <c r="AZ45" s="68">
        <v>0</v>
      </c>
      <c r="BA45" s="68" t="s">
        <v>307</v>
      </c>
      <c r="BB45" s="68"/>
      <c r="BC45" s="69" t="s">
        <v>629</v>
      </c>
      <c r="BD45" s="69" t="s">
        <v>277</v>
      </c>
      <c r="BE45" s="56" t="s">
        <v>630</v>
      </c>
      <c r="BF45" s="56" t="s">
        <v>631</v>
      </c>
      <c r="BG45" s="56" t="s">
        <v>310</v>
      </c>
      <c r="BH45" s="56" t="s">
        <v>296</v>
      </c>
      <c r="BI45" s="69">
        <v>12658090350</v>
      </c>
      <c r="BJ45" s="69">
        <v>10810157910</v>
      </c>
      <c r="BK45" s="69">
        <v>189297180</v>
      </c>
      <c r="BL45" s="69">
        <v>189297180</v>
      </c>
      <c r="BM45" s="69">
        <v>1469338080</v>
      </c>
      <c r="BN45" s="69">
        <v>0</v>
      </c>
      <c r="BO45" s="69">
        <v>0</v>
      </c>
      <c r="BP45" s="69">
        <v>0</v>
      </c>
      <c r="BQ45" s="69"/>
      <c r="BR45" s="69" t="s">
        <v>384</v>
      </c>
      <c r="BS45" s="69" t="s">
        <v>632</v>
      </c>
      <c r="BT45" s="68">
        <v>172648577</v>
      </c>
      <c r="BU45" s="68">
        <v>0</v>
      </c>
      <c r="BV45" s="68">
        <v>0</v>
      </c>
      <c r="BW45" s="94">
        <v>10810157910</v>
      </c>
      <c r="BX45" s="94">
        <v>0</v>
      </c>
      <c r="BY45" s="94">
        <v>0</v>
      </c>
      <c r="BZ45" s="94">
        <v>0</v>
      </c>
      <c r="CA45" s="94">
        <v>0</v>
      </c>
      <c r="CB45" s="94">
        <v>0</v>
      </c>
      <c r="CC45" s="94">
        <v>0</v>
      </c>
      <c r="CD45" s="94">
        <v>0</v>
      </c>
      <c r="CE45" s="94">
        <v>0</v>
      </c>
      <c r="CF45" s="108">
        <f>SUM(BT45:CE45)</f>
        <v>10982806487</v>
      </c>
      <c r="CG45" s="108">
        <f>$CF45-$AF45</f>
        <v>172648577</v>
      </c>
      <c r="CH45" s="37" t="s">
        <v>289</v>
      </c>
      <c r="CI45" s="37" t="s">
        <v>290</v>
      </c>
      <c r="CJ45" s="37" t="s">
        <v>277</v>
      </c>
      <c r="CK45" s="37" t="s">
        <v>290</v>
      </c>
      <c r="CL45" s="37" t="s">
        <v>277</v>
      </c>
      <c r="CM45" s="37" t="s">
        <v>277</v>
      </c>
      <c r="CN45" s="37" t="s">
        <v>290</v>
      </c>
      <c r="CO45" s="37" t="s">
        <v>621</v>
      </c>
      <c r="CP45" s="41">
        <v>46023</v>
      </c>
      <c r="CQ45" s="41">
        <v>46387</v>
      </c>
      <c r="CR45" s="37" t="s">
        <v>577</v>
      </c>
      <c r="CS45" s="37" t="s">
        <v>454</v>
      </c>
      <c r="CT45" s="37" t="s">
        <v>295</v>
      </c>
      <c r="CU45" s="37" t="s">
        <v>296</v>
      </c>
      <c r="CV45" s="37" t="s">
        <v>323</v>
      </c>
      <c r="CW45" s="37" t="s">
        <v>277</v>
      </c>
      <c r="CX45" s="37" t="s">
        <v>277</v>
      </c>
      <c r="CY45" s="37">
        <v>0</v>
      </c>
      <c r="CZ45" s="123" t="s">
        <v>277</v>
      </c>
      <c r="DA45" s="123" t="s">
        <v>277</v>
      </c>
      <c r="DB45" s="37" t="s">
        <v>277</v>
      </c>
      <c r="DC45" s="37" t="s">
        <v>455</v>
      </c>
      <c r="DD45" s="68">
        <v>0</v>
      </c>
      <c r="DE45" s="68">
        <v>0</v>
      </c>
      <c r="DF45" s="68">
        <v>0</v>
      </c>
      <c r="DG45" s="68">
        <v>0</v>
      </c>
      <c r="DH45" s="68">
        <v>0</v>
      </c>
      <c r="DI45" s="68">
        <v>0</v>
      </c>
      <c r="DJ45" s="68">
        <v>0</v>
      </c>
      <c r="DK45" s="68">
        <v>0</v>
      </c>
      <c r="DL45" s="68">
        <v>0</v>
      </c>
      <c r="DM45" s="68">
        <v>0</v>
      </c>
      <c r="DN45" s="68">
        <v>0</v>
      </c>
      <c r="DO45" s="68">
        <f>4458636900+6351521010</f>
        <v>10810157910</v>
      </c>
      <c r="DP45" s="68">
        <f>SUM(DD45:DO45)</f>
        <v>10810157910</v>
      </c>
      <c r="DQ45" s="68">
        <f>DP45-AB45</f>
        <v>0</v>
      </c>
      <c r="DR45" s="68">
        <f>$DD45</f>
        <v>0</v>
      </c>
      <c r="DS45" s="68">
        <f>DR45+DE45</f>
        <v>0</v>
      </c>
      <c r="DT45" s="68">
        <f>DS45+DF45</f>
        <v>0</v>
      </c>
      <c r="DU45" s="68">
        <f>DT45+DG45</f>
        <v>0</v>
      </c>
      <c r="DV45" s="68">
        <f>DU45+DH45</f>
        <v>0</v>
      </c>
      <c r="DW45" s="68">
        <f>DV45+DI45</f>
        <v>0</v>
      </c>
      <c r="DX45" s="68">
        <f>DW45+DJ45</f>
        <v>0</v>
      </c>
      <c r="DY45" s="68">
        <f>DX45+DK45</f>
        <v>0</v>
      </c>
      <c r="DZ45" s="68">
        <f>DY45+DL45</f>
        <v>0</v>
      </c>
      <c r="EA45" s="68">
        <f>DZ45+DM45</f>
        <v>0</v>
      </c>
      <c r="EB45" s="68">
        <f>EA45+DN45</f>
        <v>0</v>
      </c>
      <c r="EC45" s="68">
        <f>EB45+DO45</f>
        <v>10810157910</v>
      </c>
      <c r="ED45" s="68">
        <f>$EC45-$AB45</f>
        <v>0</v>
      </c>
    </row>
    <row r="46" spans="1:134" ht="30">
      <c r="A46" s="74"/>
      <c r="B46" s="50">
        <v>152</v>
      </c>
      <c r="C46" s="50" t="s">
        <v>269</v>
      </c>
      <c r="D46" s="50" t="s">
        <v>297</v>
      </c>
      <c r="E46" s="50"/>
      <c r="F46" s="50" t="s">
        <v>272</v>
      </c>
      <c r="G46" s="50" t="s">
        <v>273</v>
      </c>
      <c r="H46" s="37" t="s">
        <v>151</v>
      </c>
      <c r="I46" s="37" t="s">
        <v>274</v>
      </c>
      <c r="J46" s="37" t="s">
        <v>275</v>
      </c>
      <c r="K46" s="50" t="s">
        <v>3</v>
      </c>
      <c r="L46" s="50" t="s">
        <v>25</v>
      </c>
      <c r="M46" s="50" t="s">
        <v>52</v>
      </c>
      <c r="N46" s="50" t="s">
        <v>276</v>
      </c>
      <c r="O46" s="37" t="s">
        <v>3</v>
      </c>
      <c r="P46" s="37" t="s">
        <v>25</v>
      </c>
      <c r="Q46" s="37" t="s">
        <v>52</v>
      </c>
      <c r="R46" s="37" t="s">
        <v>512</v>
      </c>
      <c r="S46" s="50" t="s">
        <v>633</v>
      </c>
      <c r="T46" s="50" t="s">
        <v>345</v>
      </c>
      <c r="U46" s="50" t="s">
        <v>634</v>
      </c>
      <c r="V46" s="56" t="s">
        <v>277</v>
      </c>
      <c r="W46" s="56" t="s">
        <v>635</v>
      </c>
      <c r="X46" s="38" t="s">
        <v>636</v>
      </c>
      <c r="Y46" s="60">
        <v>103401673087</v>
      </c>
      <c r="Z46" s="60">
        <v>0</v>
      </c>
      <c r="AA46" s="60">
        <f>0+45000000000+45000000000+10299622894-44708186567</f>
        <v>55591436327</v>
      </c>
      <c r="AB46" s="60">
        <f>Z46+AA46</f>
        <v>55591436327</v>
      </c>
      <c r="AC46" s="61" t="s">
        <v>637</v>
      </c>
      <c r="AD46" s="61" t="s">
        <v>638</v>
      </c>
      <c r="AE46" s="112">
        <v>11006474833</v>
      </c>
      <c r="AF46" s="112">
        <v>10676280588.01</v>
      </c>
      <c r="AG46" s="110">
        <f>$AR46+$AZ46+$BQ46+$BT46+$BU46+$BV46</f>
        <v>0</v>
      </c>
      <c r="AH46" s="121">
        <f>AF46-AG46</f>
        <v>10676280588.01</v>
      </c>
      <c r="AI46" s="39" t="s">
        <v>639</v>
      </c>
      <c r="AJ46" s="198"/>
      <c r="AK46" s="198"/>
      <c r="AL46" s="42"/>
      <c r="AM46" s="68"/>
      <c r="AN46" s="68"/>
      <c r="AO46" s="68"/>
      <c r="AP46" s="68"/>
      <c r="AQ46" s="68">
        <v>0</v>
      </c>
      <c r="AR46" s="68">
        <v>0</v>
      </c>
      <c r="AS46" s="68" t="s">
        <v>307</v>
      </c>
      <c r="AT46" s="68"/>
      <c r="AU46" s="69" t="s">
        <v>277</v>
      </c>
      <c r="AV46" s="69" t="s">
        <v>277</v>
      </c>
      <c r="AW46" s="69" t="s">
        <v>277</v>
      </c>
      <c r="AX46" s="69"/>
      <c r="AY46" s="68">
        <v>0</v>
      </c>
      <c r="AZ46" s="68">
        <v>0</v>
      </c>
      <c r="BA46" s="68" t="s">
        <v>307</v>
      </c>
      <c r="BB46" s="68"/>
      <c r="BC46" s="69" t="s">
        <v>277</v>
      </c>
      <c r="BD46" s="69" t="s">
        <v>277</v>
      </c>
      <c r="BE46" s="56" t="s">
        <v>640</v>
      </c>
      <c r="BF46" s="56" t="s">
        <v>641</v>
      </c>
      <c r="BG46" s="56" t="s">
        <v>642</v>
      </c>
      <c r="BH46" s="56" t="s">
        <v>296</v>
      </c>
      <c r="BI46" s="69">
        <v>103401673087</v>
      </c>
      <c r="BJ46" s="69">
        <v>100299622895</v>
      </c>
      <c r="BK46" s="69">
        <v>1034016731</v>
      </c>
      <c r="BL46" s="69">
        <v>1034016731</v>
      </c>
      <c r="BM46" s="69">
        <v>1034016731</v>
      </c>
      <c r="BN46" s="69">
        <v>0</v>
      </c>
      <c r="BO46" s="69">
        <v>0</v>
      </c>
      <c r="BP46" s="69">
        <v>0</v>
      </c>
      <c r="BQ46" s="69"/>
      <c r="BR46" s="69" t="s">
        <v>643</v>
      </c>
      <c r="BS46" s="69" t="s">
        <v>644</v>
      </c>
      <c r="BT46" s="68">
        <v>0</v>
      </c>
      <c r="BU46" s="68">
        <v>0</v>
      </c>
      <c r="BV46" s="68">
        <v>0</v>
      </c>
      <c r="BW46" s="94">
        <v>0</v>
      </c>
      <c r="BX46" s="94">
        <v>5338140294.0050001</v>
      </c>
      <c r="BY46" s="94">
        <v>0</v>
      </c>
      <c r="BZ46" s="94">
        <v>0</v>
      </c>
      <c r="CA46" s="94">
        <v>0</v>
      </c>
      <c r="CB46" s="94">
        <v>0</v>
      </c>
      <c r="CC46" s="94">
        <v>5338140294.0050001</v>
      </c>
      <c r="CD46" s="94">
        <v>0</v>
      </c>
      <c r="CE46" s="109">
        <v>0</v>
      </c>
      <c r="CF46" s="108">
        <f>SUM(BT46:CE46)</f>
        <v>10676280588.01</v>
      </c>
      <c r="CG46" s="108">
        <f>$CF46-$AF46</f>
        <v>0</v>
      </c>
      <c r="CH46" s="37" t="s">
        <v>289</v>
      </c>
      <c r="CI46" s="37" t="s">
        <v>290</v>
      </c>
      <c r="CJ46" s="37" t="s">
        <v>277</v>
      </c>
      <c r="CK46" s="37" t="s">
        <v>291</v>
      </c>
      <c r="CL46" s="37" t="s">
        <v>645</v>
      </c>
      <c r="CM46" s="37" t="s">
        <v>646</v>
      </c>
      <c r="CN46" s="37" t="s">
        <v>290</v>
      </c>
      <c r="CO46" s="37" t="s">
        <v>277</v>
      </c>
      <c r="CP46" s="41">
        <v>46023</v>
      </c>
      <c r="CQ46" s="41">
        <v>47331</v>
      </c>
      <c r="CR46" s="37" t="s">
        <v>293</v>
      </c>
      <c r="CS46" s="37" t="s">
        <v>322</v>
      </c>
      <c r="CT46" s="37" t="s">
        <v>295</v>
      </c>
      <c r="CU46" s="37" t="s">
        <v>296</v>
      </c>
      <c r="CV46" s="37" t="s">
        <v>323</v>
      </c>
      <c r="CW46" s="37" t="s">
        <v>277</v>
      </c>
      <c r="CX46" s="37" t="s">
        <v>277</v>
      </c>
      <c r="CY46" s="37" t="s">
        <v>277</v>
      </c>
      <c r="CZ46" s="123" t="s">
        <v>277</v>
      </c>
      <c r="DA46" s="123" t="s">
        <v>277</v>
      </c>
      <c r="DB46" s="37" t="s">
        <v>647</v>
      </c>
      <c r="DC46" s="37" t="s">
        <v>648</v>
      </c>
      <c r="DD46" s="68">
        <v>0</v>
      </c>
      <c r="DE46" s="68">
        <v>0</v>
      </c>
      <c r="DF46" s="68">
        <v>0</v>
      </c>
      <c r="DG46" s="68">
        <v>0</v>
      </c>
      <c r="DH46" s="68">
        <v>0</v>
      </c>
      <c r="DI46" s="68">
        <v>0</v>
      </c>
      <c r="DJ46" s="68">
        <f>0+45000000000-44708186567</f>
        <v>291813433</v>
      </c>
      <c r="DK46" s="68">
        <f>0+45000000000</f>
        <v>45000000000</v>
      </c>
      <c r="DL46" s="68">
        <f>0+10299622894</f>
        <v>10299622894</v>
      </c>
      <c r="DM46" s="68">
        <v>0</v>
      </c>
      <c r="DN46" s="68">
        <v>0</v>
      </c>
      <c r="DO46" s="68">
        <v>0</v>
      </c>
      <c r="DP46" s="68">
        <f>SUM(DD46:DO46)</f>
        <v>55591436327</v>
      </c>
      <c r="DQ46" s="68">
        <f>DP46-AB46</f>
        <v>0</v>
      </c>
      <c r="DR46" s="68">
        <f>$DD46</f>
        <v>0</v>
      </c>
      <c r="DS46" s="68">
        <f>DR46+DE46</f>
        <v>0</v>
      </c>
      <c r="DT46" s="68">
        <f>DS46+DF46</f>
        <v>0</v>
      </c>
      <c r="DU46" s="68">
        <f>DT46+DG46</f>
        <v>0</v>
      </c>
      <c r="DV46" s="68">
        <f>DU46+DH46</f>
        <v>0</v>
      </c>
      <c r="DW46" s="68">
        <f>DV46+DI46</f>
        <v>0</v>
      </c>
      <c r="DX46" s="68">
        <f>DW46+DJ46</f>
        <v>291813433</v>
      </c>
      <c r="DY46" s="68">
        <f>DX46+DK46</f>
        <v>45291813433</v>
      </c>
      <c r="DZ46" s="68">
        <f>DY46+DL46</f>
        <v>55591436327</v>
      </c>
      <c r="EA46" s="68">
        <f>DZ46+DM46</f>
        <v>55591436327</v>
      </c>
      <c r="EB46" s="68">
        <f>EA46+DN46</f>
        <v>55591436327</v>
      </c>
      <c r="EC46" s="68">
        <f>EB46+DO46</f>
        <v>55591436327</v>
      </c>
      <c r="ED46" s="68">
        <f>$EC46-$AB46</f>
        <v>0</v>
      </c>
    </row>
    <row r="47" spans="1:134" ht="30">
      <c r="B47" s="159"/>
      <c r="C47" s="160" t="s">
        <v>269</v>
      </c>
      <c r="D47" s="160" t="s">
        <v>270</v>
      </c>
      <c r="E47" s="160"/>
      <c r="F47" s="160" t="s">
        <v>272</v>
      </c>
      <c r="G47" s="160" t="s">
        <v>273</v>
      </c>
      <c r="H47" s="160" t="s">
        <v>151</v>
      </c>
      <c r="I47" s="160" t="s">
        <v>326</v>
      </c>
      <c r="J47" s="160" t="s">
        <v>327</v>
      </c>
      <c r="K47" s="160" t="s">
        <v>277</v>
      </c>
      <c r="L47" s="160" t="s">
        <v>277</v>
      </c>
      <c r="M47" s="160" t="s">
        <v>277</v>
      </c>
      <c r="N47" s="160" t="s">
        <v>277</v>
      </c>
      <c r="O47" s="160" t="s">
        <v>3</v>
      </c>
      <c r="P47" s="160" t="s">
        <v>14</v>
      </c>
      <c r="Q47" s="160" t="s">
        <v>16</v>
      </c>
      <c r="R47" s="158" t="s">
        <v>276</v>
      </c>
      <c r="S47" s="159" t="s">
        <v>277</v>
      </c>
      <c r="T47" s="159" t="s">
        <v>277</v>
      </c>
      <c r="U47" s="160" t="s">
        <v>277</v>
      </c>
      <c r="V47" s="159" t="s">
        <v>277</v>
      </c>
      <c r="W47" s="159" t="s">
        <v>277</v>
      </c>
      <c r="X47" s="161" t="s">
        <v>649</v>
      </c>
      <c r="Y47" s="159"/>
      <c r="Z47" s="159"/>
      <c r="AA47" s="159"/>
      <c r="AB47" s="159"/>
      <c r="AC47" s="159"/>
      <c r="AD47" s="159"/>
      <c r="AE47" s="155">
        <v>52255639627</v>
      </c>
      <c r="AF47" s="155">
        <v>10451127925</v>
      </c>
      <c r="AG47" s="155"/>
      <c r="AH47" s="121">
        <f>AF47-AG47</f>
        <v>10451127925</v>
      </c>
      <c r="AI47" s="159" t="s">
        <v>650</v>
      </c>
      <c r="AJ47" s="206"/>
      <c r="AK47" s="206"/>
      <c r="AL47" s="161"/>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159" t="s">
        <v>156</v>
      </c>
      <c r="BS47" s="159"/>
      <c r="BT47" s="159"/>
      <c r="BU47" s="159"/>
      <c r="BV47" s="159"/>
      <c r="BW47" s="155">
        <v>0</v>
      </c>
      <c r="BX47" s="155">
        <v>0</v>
      </c>
      <c r="BY47" s="155">
        <v>0</v>
      </c>
      <c r="BZ47" s="155">
        <v>0</v>
      </c>
      <c r="CA47" s="155">
        <v>0</v>
      </c>
      <c r="CB47" s="155">
        <v>0</v>
      </c>
      <c r="CC47" s="155">
        <v>0</v>
      </c>
      <c r="CD47" s="155">
        <v>10451127925</v>
      </c>
      <c r="CE47" s="155">
        <v>0</v>
      </c>
      <c r="CF47" s="156">
        <f>SUM(BT47:CE47)</f>
        <v>10451127925</v>
      </c>
      <c r="CG47" s="156">
        <f>$CF47-$AF47</f>
        <v>0</v>
      </c>
      <c r="CH47" s="160" t="s">
        <v>421</v>
      </c>
      <c r="CI47" s="160" t="s">
        <v>651</v>
      </c>
      <c r="CJ47" s="165" t="s">
        <v>319</v>
      </c>
      <c r="CK47" s="158" t="s">
        <v>652</v>
      </c>
      <c r="CL47" s="158" t="s">
        <v>320</v>
      </c>
      <c r="CM47" s="158" t="s">
        <v>321</v>
      </c>
      <c r="CN47" s="158" t="s">
        <v>290</v>
      </c>
      <c r="CO47" s="158" t="s">
        <v>290</v>
      </c>
      <c r="CP47" s="166">
        <v>46023</v>
      </c>
      <c r="CQ47" s="166">
        <v>47453</v>
      </c>
      <c r="CR47" s="158" t="s">
        <v>293</v>
      </c>
      <c r="CS47" s="158" t="s">
        <v>322</v>
      </c>
      <c r="CT47" s="158" t="s">
        <v>295</v>
      </c>
      <c r="CU47" s="158" t="s">
        <v>296</v>
      </c>
      <c r="CV47" s="158" t="s">
        <v>323</v>
      </c>
      <c r="CW47" s="158" t="s">
        <v>277</v>
      </c>
      <c r="CX47" s="158" t="s">
        <v>277</v>
      </c>
      <c r="CY47" s="158" t="s">
        <v>277</v>
      </c>
      <c r="CZ47" s="158" t="s">
        <v>277</v>
      </c>
      <c r="DA47" s="158" t="s">
        <v>277</v>
      </c>
      <c r="DB47" s="158" t="s">
        <v>277</v>
      </c>
      <c r="DC47" s="158" t="s">
        <v>277</v>
      </c>
      <c r="DD47" s="159"/>
      <c r="DE47" s="159"/>
      <c r="DF47" s="159"/>
      <c r="DG47" s="159"/>
      <c r="DH47" s="159"/>
      <c r="DI47" s="159"/>
      <c r="DJ47" s="159"/>
      <c r="DK47" s="159"/>
      <c r="DL47" s="159"/>
      <c r="DM47" s="159"/>
      <c r="DN47" s="159"/>
      <c r="DO47" s="159"/>
      <c r="DP47" s="159"/>
      <c r="DQ47" s="159"/>
      <c r="DR47" s="159"/>
      <c r="DS47" s="159"/>
      <c r="DT47" s="159"/>
      <c r="DU47" s="159"/>
      <c r="DV47" s="159"/>
      <c r="DW47" s="159"/>
      <c r="DX47" s="159"/>
      <c r="DY47" s="159"/>
      <c r="DZ47" s="159"/>
      <c r="EA47" s="159"/>
      <c r="EB47" s="159"/>
      <c r="EC47" s="159"/>
      <c r="ED47" s="159"/>
    </row>
    <row r="48" spans="1:134" ht="30">
      <c r="A48" s="74" t="s">
        <v>653</v>
      </c>
      <c r="B48" s="50">
        <v>15</v>
      </c>
      <c r="C48" s="50" t="s">
        <v>269</v>
      </c>
      <c r="D48" s="50" t="s">
        <v>297</v>
      </c>
      <c r="E48" s="50"/>
      <c r="F48" s="50" t="s">
        <v>272</v>
      </c>
      <c r="G48" s="50" t="s">
        <v>273</v>
      </c>
      <c r="H48" s="37" t="s">
        <v>151</v>
      </c>
      <c r="I48" s="37" t="s">
        <v>326</v>
      </c>
      <c r="J48" s="37" t="s">
        <v>447</v>
      </c>
      <c r="K48" s="50" t="s">
        <v>3</v>
      </c>
      <c r="L48" s="50" t="s">
        <v>14</v>
      </c>
      <c r="M48" s="50" t="s">
        <v>16</v>
      </c>
      <c r="N48" s="50" t="s">
        <v>276</v>
      </c>
      <c r="O48" s="37" t="s">
        <v>3</v>
      </c>
      <c r="P48" s="37" t="s">
        <v>14</v>
      </c>
      <c r="Q48" s="37" t="s">
        <v>16</v>
      </c>
      <c r="R48" s="37" t="s">
        <v>276</v>
      </c>
      <c r="S48" s="50" t="s">
        <v>277</v>
      </c>
      <c r="T48" s="50" t="s">
        <v>654</v>
      </c>
      <c r="U48" s="50" t="s">
        <v>655</v>
      </c>
      <c r="V48" s="56" t="s">
        <v>656</v>
      </c>
      <c r="W48" s="56" t="s">
        <v>656</v>
      </c>
      <c r="X48" s="90" t="s">
        <v>657</v>
      </c>
      <c r="Y48" s="60">
        <v>144000000000</v>
      </c>
      <c r="Z48" s="60">
        <v>10000000000</v>
      </c>
      <c r="AA48" s="60"/>
      <c r="AB48" s="60">
        <f>Z48+AA48</f>
        <v>10000000000</v>
      </c>
      <c r="AC48" s="61"/>
      <c r="AD48" s="61"/>
      <c r="AE48" s="107">
        <v>144000000000</v>
      </c>
      <c r="AF48" s="96">
        <v>10000000000</v>
      </c>
      <c r="AG48" s="108">
        <f>$AR48+$AZ48+$BQ48+$BT48+$BU48+$BV48</f>
        <v>0</v>
      </c>
      <c r="AH48" s="121">
        <f>AF48-AG48</f>
        <v>10000000000</v>
      </c>
      <c r="AI48" s="144" t="s">
        <v>658</v>
      </c>
      <c r="AJ48" s="201"/>
      <c r="AK48" s="201"/>
      <c r="AL48" s="90"/>
      <c r="AM48" s="68"/>
      <c r="AN48" s="68"/>
      <c r="AO48" s="68"/>
      <c r="AP48" s="68"/>
      <c r="AQ48" s="68">
        <v>0</v>
      </c>
      <c r="AR48" s="68">
        <v>0</v>
      </c>
      <c r="AS48" s="68" t="s">
        <v>307</v>
      </c>
      <c r="AT48" s="68"/>
      <c r="AU48" s="69" t="s">
        <v>277</v>
      </c>
      <c r="AV48" s="69" t="s">
        <v>277</v>
      </c>
      <c r="AW48" s="69" t="s">
        <v>277</v>
      </c>
      <c r="AX48" s="69"/>
      <c r="AY48" s="68">
        <v>0</v>
      </c>
      <c r="AZ48" s="68">
        <v>0</v>
      </c>
      <c r="BA48" s="68" t="s">
        <v>307</v>
      </c>
      <c r="BB48" s="68"/>
      <c r="BC48" s="69" t="s">
        <v>659</v>
      </c>
      <c r="BD48" s="69" t="s">
        <v>277</v>
      </c>
      <c r="BE48" s="56" t="s">
        <v>277</v>
      </c>
      <c r="BF48" s="56" t="s">
        <v>277</v>
      </c>
      <c r="BG48" s="56" t="s">
        <v>277</v>
      </c>
      <c r="BH48" s="56" t="s">
        <v>277</v>
      </c>
      <c r="BI48" s="69">
        <v>0</v>
      </c>
      <c r="BJ48" s="69">
        <v>0</v>
      </c>
      <c r="BK48" s="69">
        <v>0</v>
      </c>
      <c r="BL48" s="69">
        <v>0</v>
      </c>
      <c r="BM48" s="69">
        <v>0</v>
      </c>
      <c r="BN48" s="69">
        <v>0</v>
      </c>
      <c r="BO48" s="69">
        <v>0</v>
      </c>
      <c r="BP48" s="69">
        <v>0</v>
      </c>
      <c r="BQ48" s="69">
        <f>$BJ48</f>
        <v>0</v>
      </c>
      <c r="BR48" s="69" t="s">
        <v>156</v>
      </c>
      <c r="BS48" s="69" t="s">
        <v>660</v>
      </c>
      <c r="BT48" s="68">
        <v>0</v>
      </c>
      <c r="BU48" s="68">
        <v>0</v>
      </c>
      <c r="BV48" s="68">
        <v>0</v>
      </c>
      <c r="BW48" s="94">
        <v>0</v>
      </c>
      <c r="BX48" s="94">
        <v>0</v>
      </c>
      <c r="BY48" s="94">
        <v>0</v>
      </c>
      <c r="BZ48" s="94">
        <v>0</v>
      </c>
      <c r="CA48" s="94">
        <v>0</v>
      </c>
      <c r="CB48" s="94">
        <v>0</v>
      </c>
      <c r="CC48" s="94">
        <v>0</v>
      </c>
      <c r="CD48" s="109">
        <v>125000000000</v>
      </c>
      <c r="CE48" s="94">
        <v>0</v>
      </c>
      <c r="CF48" s="108">
        <f>SUM(BT48:CE48)</f>
        <v>125000000000</v>
      </c>
      <c r="CG48" s="108">
        <f>$CF48-$AF48</f>
        <v>115000000000</v>
      </c>
      <c r="CH48" s="37" t="s">
        <v>289</v>
      </c>
      <c r="CI48" s="37" t="s">
        <v>290</v>
      </c>
      <c r="CJ48" s="37" t="s">
        <v>277</v>
      </c>
      <c r="CK48" s="37" t="s">
        <v>290</v>
      </c>
      <c r="CL48" s="37" t="s">
        <v>277</v>
      </c>
      <c r="CM48" s="37" t="s">
        <v>277</v>
      </c>
      <c r="CN48" s="37" t="s">
        <v>290</v>
      </c>
      <c r="CO48" s="37" t="s">
        <v>340</v>
      </c>
      <c r="CP48" s="41">
        <v>45870</v>
      </c>
      <c r="CQ48" s="41">
        <v>46113</v>
      </c>
      <c r="CR48" s="37" t="s">
        <v>293</v>
      </c>
      <c r="CS48" s="37" t="s">
        <v>322</v>
      </c>
      <c r="CT48" s="37" t="s">
        <v>295</v>
      </c>
      <c r="CU48" s="37" t="s">
        <v>296</v>
      </c>
      <c r="CV48" s="37" t="s">
        <v>323</v>
      </c>
      <c r="CW48" s="37" t="s">
        <v>277</v>
      </c>
      <c r="CX48" s="37" t="s">
        <v>277</v>
      </c>
      <c r="CY48" s="37">
        <v>0</v>
      </c>
      <c r="CZ48" s="123" t="s">
        <v>277</v>
      </c>
      <c r="DA48" s="123" t="s">
        <v>277</v>
      </c>
      <c r="DB48" s="37" t="s">
        <v>277</v>
      </c>
      <c r="DC48" s="37" t="s">
        <v>455</v>
      </c>
      <c r="DD48" s="68">
        <v>0</v>
      </c>
      <c r="DE48" s="68">
        <v>0</v>
      </c>
      <c r="DF48" s="68">
        <v>0</v>
      </c>
      <c r="DG48" s="68">
        <v>0</v>
      </c>
      <c r="DH48" s="68">
        <v>0</v>
      </c>
      <c r="DI48" s="68">
        <v>0</v>
      </c>
      <c r="DJ48" s="68">
        <v>0</v>
      </c>
      <c r="DK48" s="68">
        <v>0</v>
      </c>
      <c r="DL48" s="68">
        <v>0</v>
      </c>
      <c r="DM48" s="68">
        <v>0</v>
      </c>
      <c r="DN48" s="68">
        <v>10000000000</v>
      </c>
      <c r="DO48" s="68">
        <v>0</v>
      </c>
      <c r="DP48" s="68">
        <f>SUM(DD48:DO48)</f>
        <v>10000000000</v>
      </c>
      <c r="DQ48" s="68">
        <f>DP48-AB48</f>
        <v>0</v>
      </c>
      <c r="DR48" s="68">
        <f>$DD48</f>
        <v>0</v>
      </c>
      <c r="DS48" s="68">
        <f>DR48+DE48</f>
        <v>0</v>
      </c>
      <c r="DT48" s="68">
        <f>DS48+DF48</f>
        <v>0</v>
      </c>
      <c r="DU48" s="68">
        <f>DT48+DG48</f>
        <v>0</v>
      </c>
      <c r="DV48" s="68">
        <f>DU48+DH48</f>
        <v>0</v>
      </c>
      <c r="DW48" s="68">
        <f>DV48+DI48</f>
        <v>0</v>
      </c>
      <c r="DX48" s="68">
        <f>DW48+DJ48</f>
        <v>0</v>
      </c>
      <c r="DY48" s="68">
        <f>DX48+DK48</f>
        <v>0</v>
      </c>
      <c r="DZ48" s="68">
        <f>DY48+DL48</f>
        <v>0</v>
      </c>
      <c r="EA48" s="68">
        <f>DZ48+DM48</f>
        <v>0</v>
      </c>
      <c r="EB48" s="68">
        <f>EA48+DN48</f>
        <v>10000000000</v>
      </c>
      <c r="EC48" s="68">
        <f>EB48+DO48</f>
        <v>10000000000</v>
      </c>
      <c r="ED48" s="68">
        <f>$EC48-$AB48</f>
        <v>0</v>
      </c>
    </row>
    <row r="49" spans="1:134" ht="180">
      <c r="A49" s="74"/>
      <c r="B49" s="50">
        <v>88</v>
      </c>
      <c r="C49" s="50" t="s">
        <v>269</v>
      </c>
      <c r="D49" s="50" t="s">
        <v>297</v>
      </c>
      <c r="E49" s="50"/>
      <c r="F49" s="50" t="s">
        <v>272</v>
      </c>
      <c r="G49" s="50" t="s">
        <v>273</v>
      </c>
      <c r="H49" s="37" t="s">
        <v>151</v>
      </c>
      <c r="I49" s="37" t="s">
        <v>326</v>
      </c>
      <c r="J49" s="37" t="s">
        <v>447</v>
      </c>
      <c r="K49" s="50" t="s">
        <v>3</v>
      </c>
      <c r="L49" s="50" t="s">
        <v>14</v>
      </c>
      <c r="M49" s="50" t="s">
        <v>16</v>
      </c>
      <c r="N49" s="50" t="s">
        <v>276</v>
      </c>
      <c r="O49" s="37" t="s">
        <v>3</v>
      </c>
      <c r="P49" s="37" t="s">
        <v>14</v>
      </c>
      <c r="Q49" s="37" t="s">
        <v>16</v>
      </c>
      <c r="R49" s="37" t="s">
        <v>276</v>
      </c>
      <c r="S49" s="50" t="s">
        <v>661</v>
      </c>
      <c r="T49" s="50" t="s">
        <v>662</v>
      </c>
      <c r="U49" s="50" t="s">
        <v>663</v>
      </c>
      <c r="V49" s="56" t="s">
        <v>664</v>
      </c>
      <c r="W49" s="56" t="s">
        <v>664</v>
      </c>
      <c r="X49" s="38" t="s">
        <v>664</v>
      </c>
      <c r="Y49" s="60">
        <v>21047582182</v>
      </c>
      <c r="Z49" s="60">
        <v>17890444855</v>
      </c>
      <c r="AA49" s="60"/>
      <c r="AB49" s="60">
        <f>Z49+AA49</f>
        <v>17890444855</v>
      </c>
      <c r="AC49" s="61"/>
      <c r="AD49" s="61"/>
      <c r="AE49" s="111">
        <v>21047582182</v>
      </c>
      <c r="AF49" s="111">
        <v>9999990000</v>
      </c>
      <c r="AG49" s="108">
        <f>$AR49+$AZ49+$BQ49+$BT49+$BU49+$BV49</f>
        <v>21235919296</v>
      </c>
      <c r="AH49" s="121">
        <f>AF49-AG49</f>
        <v>-11235929296</v>
      </c>
      <c r="AI49" s="42" t="s">
        <v>665</v>
      </c>
      <c r="AJ49" s="198"/>
      <c r="AK49" s="198"/>
      <c r="AL49" s="42"/>
      <c r="AM49" s="68"/>
      <c r="AN49" s="68"/>
      <c r="AO49" s="68"/>
      <c r="AP49" s="68"/>
      <c r="AQ49" s="68">
        <v>0</v>
      </c>
      <c r="AR49" s="68">
        <v>0</v>
      </c>
      <c r="AS49" s="68" t="s">
        <v>307</v>
      </c>
      <c r="AT49" s="68"/>
      <c r="AU49" s="69" t="s">
        <v>666</v>
      </c>
      <c r="AV49" s="70" t="s">
        <v>667</v>
      </c>
      <c r="AW49" s="69" t="s">
        <v>668</v>
      </c>
      <c r="AX49" s="69"/>
      <c r="AY49" s="68">
        <v>21047582182</v>
      </c>
      <c r="AZ49" s="68">
        <v>21047582182</v>
      </c>
      <c r="BA49" s="68" t="s">
        <v>307</v>
      </c>
      <c r="BB49" s="71" t="s">
        <v>669</v>
      </c>
      <c r="BC49" s="69" t="s">
        <v>535</v>
      </c>
      <c r="BD49" s="69" t="s">
        <v>277</v>
      </c>
      <c r="BE49" s="56" t="s">
        <v>277</v>
      </c>
      <c r="BF49" s="56" t="s">
        <v>277</v>
      </c>
      <c r="BG49" s="56" t="s">
        <v>277</v>
      </c>
      <c r="BH49" s="56" t="s">
        <v>277</v>
      </c>
      <c r="BI49" s="69">
        <v>0</v>
      </c>
      <c r="BJ49" s="69">
        <v>0</v>
      </c>
      <c r="BK49" s="69">
        <v>0</v>
      </c>
      <c r="BL49" s="69">
        <v>0</v>
      </c>
      <c r="BM49" s="69">
        <v>0</v>
      </c>
      <c r="BN49" s="69">
        <v>0</v>
      </c>
      <c r="BO49" s="69">
        <v>0</v>
      </c>
      <c r="BP49" s="69">
        <v>0</v>
      </c>
      <c r="BQ49" s="69"/>
      <c r="BR49" s="69" t="s">
        <v>337</v>
      </c>
      <c r="BS49" s="69" t="s">
        <v>670</v>
      </c>
      <c r="BT49" s="68">
        <v>188337114</v>
      </c>
      <c r="BU49" s="68">
        <v>0</v>
      </c>
      <c r="BV49" s="68">
        <v>0</v>
      </c>
      <c r="BW49" s="94">
        <v>0</v>
      </c>
      <c r="BX49" s="94">
        <v>0</v>
      </c>
      <c r="BY49" s="94">
        <v>0</v>
      </c>
      <c r="BZ49" s="94">
        <v>0</v>
      </c>
      <c r="CA49" s="94">
        <v>0</v>
      </c>
      <c r="CB49" s="111">
        <v>17890444855</v>
      </c>
      <c r="CC49" s="94">
        <v>0</v>
      </c>
      <c r="CD49" s="94">
        <v>0</v>
      </c>
      <c r="CE49" s="94">
        <v>0</v>
      </c>
      <c r="CF49" s="108">
        <f>SUM(BT49:CE49)</f>
        <v>18078781969</v>
      </c>
      <c r="CG49" s="108">
        <f>$CF49-$AF49</f>
        <v>8078791969</v>
      </c>
      <c r="CH49" s="37" t="s">
        <v>289</v>
      </c>
      <c r="CI49" s="37" t="s">
        <v>290</v>
      </c>
      <c r="CJ49" s="37" t="s">
        <v>277</v>
      </c>
      <c r="CK49" s="37" t="s">
        <v>290</v>
      </c>
      <c r="CL49" s="37" t="s">
        <v>277</v>
      </c>
      <c r="CM49" s="37" t="s">
        <v>277</v>
      </c>
      <c r="CN49" s="37" t="s">
        <v>290</v>
      </c>
      <c r="CO49" s="37" t="s">
        <v>277</v>
      </c>
      <c r="CP49" s="41">
        <v>45839</v>
      </c>
      <c r="CQ49" s="41">
        <v>46357</v>
      </c>
      <c r="CR49" s="37" t="s">
        <v>577</v>
      </c>
      <c r="CS49" s="37" t="s">
        <v>454</v>
      </c>
      <c r="CT49" s="37" t="s">
        <v>295</v>
      </c>
      <c r="CU49" s="37" t="s">
        <v>341</v>
      </c>
      <c r="CV49" s="37" t="s">
        <v>384</v>
      </c>
      <c r="CW49" s="37" t="s">
        <v>671</v>
      </c>
      <c r="CX49" s="37" t="s">
        <v>672</v>
      </c>
      <c r="CY49" s="126">
        <v>9999990000</v>
      </c>
      <c r="CZ49" s="123" t="s">
        <v>277</v>
      </c>
      <c r="DA49" s="123" t="s">
        <v>277</v>
      </c>
      <c r="DB49" s="37" t="s">
        <v>509</v>
      </c>
      <c r="DC49" s="88" t="s">
        <v>673</v>
      </c>
      <c r="DD49" s="68">
        <v>0</v>
      </c>
      <c r="DE49" s="68">
        <v>0</v>
      </c>
      <c r="DF49" s="68">
        <v>5000000000</v>
      </c>
      <c r="DG49" s="68">
        <v>0</v>
      </c>
      <c r="DH49" s="68">
        <v>5000000000</v>
      </c>
      <c r="DI49" s="68">
        <v>0</v>
      </c>
      <c r="DJ49" s="68">
        <v>0</v>
      </c>
      <c r="DK49" s="68">
        <v>0</v>
      </c>
      <c r="DL49" s="68">
        <v>5000000000</v>
      </c>
      <c r="DM49" s="68">
        <v>0</v>
      </c>
      <c r="DN49" s="68">
        <v>0</v>
      </c>
      <c r="DO49" s="68">
        <v>2890444855</v>
      </c>
      <c r="DP49" s="68">
        <f>SUM(DD49:DO49)</f>
        <v>17890444855</v>
      </c>
      <c r="DQ49" s="68">
        <f>DP49-AB49</f>
        <v>0</v>
      </c>
      <c r="DR49" s="68">
        <f>$DD49</f>
        <v>0</v>
      </c>
      <c r="DS49" s="68">
        <f>DR49+DE49</f>
        <v>0</v>
      </c>
      <c r="DT49" s="68">
        <f>DS49+DF49</f>
        <v>5000000000</v>
      </c>
      <c r="DU49" s="68">
        <f>DT49+DG49</f>
        <v>5000000000</v>
      </c>
      <c r="DV49" s="68">
        <f>DU49+DH49</f>
        <v>10000000000</v>
      </c>
      <c r="DW49" s="68">
        <f>DV49+DI49</f>
        <v>10000000000</v>
      </c>
      <c r="DX49" s="68">
        <f>DW49+DJ49</f>
        <v>10000000000</v>
      </c>
      <c r="DY49" s="68">
        <f>DX49+DK49</f>
        <v>10000000000</v>
      </c>
      <c r="DZ49" s="68">
        <f>DY49+DL49</f>
        <v>15000000000</v>
      </c>
      <c r="EA49" s="68">
        <f>DZ49+DM49</f>
        <v>15000000000</v>
      </c>
      <c r="EB49" s="68">
        <f>EA49+DN49</f>
        <v>15000000000</v>
      </c>
      <c r="EC49" s="68">
        <f>EB49+DO49</f>
        <v>17890444855</v>
      </c>
      <c r="ED49" s="68">
        <f>$EC49-$AB49</f>
        <v>0</v>
      </c>
    </row>
    <row r="50" spans="1:134">
      <c r="B50" s="159"/>
      <c r="C50" s="160" t="s">
        <v>269</v>
      </c>
      <c r="D50" s="160" t="s">
        <v>270</v>
      </c>
      <c r="E50" s="160"/>
      <c r="F50" s="160" t="s">
        <v>272</v>
      </c>
      <c r="G50" s="160" t="s">
        <v>273</v>
      </c>
      <c r="H50" s="160" t="s">
        <v>151</v>
      </c>
      <c r="I50" s="160" t="s">
        <v>674</v>
      </c>
      <c r="J50" s="160" t="s">
        <v>675</v>
      </c>
      <c r="K50" s="160" t="s">
        <v>277</v>
      </c>
      <c r="L50" s="160" t="s">
        <v>277</v>
      </c>
      <c r="M50" s="160" t="s">
        <v>277</v>
      </c>
      <c r="N50" s="160" t="s">
        <v>277</v>
      </c>
      <c r="O50" s="160" t="s">
        <v>3</v>
      </c>
      <c r="P50" s="160" t="s">
        <v>14</v>
      </c>
      <c r="Q50" s="160" t="s">
        <v>27</v>
      </c>
      <c r="R50" s="158" t="s">
        <v>276</v>
      </c>
      <c r="S50" s="159" t="s">
        <v>277</v>
      </c>
      <c r="T50" s="159" t="s">
        <v>277</v>
      </c>
      <c r="U50" s="160" t="s">
        <v>277</v>
      </c>
      <c r="V50" s="159" t="s">
        <v>277</v>
      </c>
      <c r="W50" s="159" t="s">
        <v>277</v>
      </c>
      <c r="X50" s="161" t="s">
        <v>676</v>
      </c>
      <c r="Y50" s="159"/>
      <c r="Z50" s="159"/>
      <c r="AA50" s="159"/>
      <c r="AB50" s="159"/>
      <c r="AC50" s="159"/>
      <c r="AD50" s="159"/>
      <c r="AE50" s="155">
        <v>24000000000</v>
      </c>
      <c r="AF50" s="155">
        <v>9600000000</v>
      </c>
      <c r="AG50" s="155"/>
      <c r="AH50" s="121">
        <f>AF50-AG50</f>
        <v>9600000000</v>
      </c>
      <c r="AI50" s="159" t="s">
        <v>677</v>
      </c>
      <c r="AJ50" s="206"/>
      <c r="AK50" s="206"/>
      <c r="AL50" s="161"/>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159" t="s">
        <v>156</v>
      </c>
      <c r="BS50" s="159"/>
      <c r="BT50" s="159"/>
      <c r="BU50" s="159"/>
      <c r="BV50" s="159"/>
      <c r="BW50" s="155">
        <v>0</v>
      </c>
      <c r="BX50" s="155">
        <v>0</v>
      </c>
      <c r="BY50" s="155">
        <v>0</v>
      </c>
      <c r="BZ50" s="155">
        <v>0</v>
      </c>
      <c r="CA50" s="155">
        <v>0</v>
      </c>
      <c r="CB50" s="155">
        <v>0</v>
      </c>
      <c r="CC50" s="155">
        <v>0</v>
      </c>
      <c r="CD50" s="155">
        <v>0</v>
      </c>
      <c r="CE50" s="155">
        <v>0</v>
      </c>
      <c r="CF50" s="156">
        <f>SUM(BT50:CE50)</f>
        <v>0</v>
      </c>
      <c r="CG50" s="156">
        <f>$CF50-$AF50</f>
        <v>-9600000000</v>
      </c>
      <c r="CH50" s="160" t="s">
        <v>289</v>
      </c>
      <c r="CI50" s="160" t="s">
        <v>290</v>
      </c>
      <c r="CJ50" s="158" t="s">
        <v>277</v>
      </c>
      <c r="CK50" s="160" t="s">
        <v>651</v>
      </c>
      <c r="CL50" s="160" t="s">
        <v>678</v>
      </c>
      <c r="CM50" s="160" t="s">
        <v>678</v>
      </c>
      <c r="CN50" s="160" t="s">
        <v>290</v>
      </c>
      <c r="CO50" s="160" t="s">
        <v>290</v>
      </c>
      <c r="CP50" s="160" t="s">
        <v>290</v>
      </c>
      <c r="CQ50" s="160" t="s">
        <v>290</v>
      </c>
      <c r="CR50" s="158" t="s">
        <v>293</v>
      </c>
      <c r="CS50" s="158" t="s">
        <v>322</v>
      </c>
      <c r="CT50" s="158" t="s">
        <v>295</v>
      </c>
      <c r="CU50" s="158" t="s">
        <v>296</v>
      </c>
      <c r="CV50" s="158" t="s">
        <v>323</v>
      </c>
      <c r="CW50" s="158" t="s">
        <v>277</v>
      </c>
      <c r="CX50" s="158" t="s">
        <v>277</v>
      </c>
      <c r="CY50" s="158" t="s">
        <v>277</v>
      </c>
      <c r="CZ50" s="158" t="s">
        <v>277</v>
      </c>
      <c r="DA50" s="158" t="s">
        <v>277</v>
      </c>
      <c r="DB50" s="158" t="s">
        <v>277</v>
      </c>
      <c r="DC50" s="158" t="s">
        <v>277</v>
      </c>
      <c r="DD50" s="159"/>
      <c r="DE50" s="159"/>
      <c r="DF50" s="159"/>
      <c r="DG50" s="159"/>
      <c r="DH50" s="159"/>
      <c r="DI50" s="159"/>
      <c r="DJ50" s="159"/>
      <c r="DK50" s="159"/>
      <c r="DL50" s="159"/>
      <c r="DM50" s="159"/>
      <c r="DN50" s="159"/>
      <c r="DO50" s="159"/>
      <c r="DP50" s="159"/>
      <c r="DQ50" s="159"/>
      <c r="DR50" s="159"/>
      <c r="DS50" s="159"/>
      <c r="DT50" s="159"/>
      <c r="DU50" s="159"/>
      <c r="DV50" s="159"/>
      <c r="DW50" s="159"/>
      <c r="DX50" s="159"/>
      <c r="DY50" s="159"/>
      <c r="DZ50" s="159"/>
      <c r="EA50" s="159"/>
      <c r="EB50" s="159"/>
      <c r="EC50" s="159"/>
      <c r="ED50" s="159"/>
    </row>
    <row r="51" spans="1:134" ht="30">
      <c r="A51" s="74"/>
      <c r="B51" s="50">
        <v>19</v>
      </c>
      <c r="C51" s="50" t="s">
        <v>269</v>
      </c>
      <c r="D51" s="50" t="s">
        <v>297</v>
      </c>
      <c r="E51" s="50"/>
      <c r="F51" s="50" t="s">
        <v>272</v>
      </c>
      <c r="G51" s="50" t="s">
        <v>273</v>
      </c>
      <c r="H51" s="37" t="s">
        <v>151</v>
      </c>
      <c r="I51" s="37" t="s">
        <v>326</v>
      </c>
      <c r="J51" s="37" t="s">
        <v>447</v>
      </c>
      <c r="K51" s="50" t="s">
        <v>3</v>
      </c>
      <c r="L51" s="50" t="s">
        <v>14</v>
      </c>
      <c r="M51" s="50" t="s">
        <v>16</v>
      </c>
      <c r="N51" s="50" t="s">
        <v>276</v>
      </c>
      <c r="O51" s="37" t="s">
        <v>3</v>
      </c>
      <c r="P51" s="37" t="s">
        <v>14</v>
      </c>
      <c r="Q51" s="37" t="s">
        <v>16</v>
      </c>
      <c r="R51" s="37" t="s">
        <v>276</v>
      </c>
      <c r="S51" s="50" t="s">
        <v>277</v>
      </c>
      <c r="T51" s="50" t="s">
        <v>679</v>
      </c>
      <c r="U51" s="50" t="s">
        <v>680</v>
      </c>
      <c r="V51" s="56" t="s">
        <v>681</v>
      </c>
      <c r="W51" s="56" t="s">
        <v>681</v>
      </c>
      <c r="X51" s="38" t="s">
        <v>681</v>
      </c>
      <c r="Y51" s="60">
        <v>54000000000</v>
      </c>
      <c r="Z51" s="60">
        <v>8100000000</v>
      </c>
      <c r="AA51" s="60">
        <v>-8100000000</v>
      </c>
      <c r="AB51" s="60">
        <f>Z51+AA51</f>
        <v>0</v>
      </c>
      <c r="AC51" s="61" t="s">
        <v>414</v>
      </c>
      <c r="AD51" s="61" t="s">
        <v>682</v>
      </c>
      <c r="AE51" s="112">
        <v>54000000000</v>
      </c>
      <c r="AF51" s="112">
        <v>8100000000</v>
      </c>
      <c r="AG51" s="110">
        <f>$AR51+$AZ51+$BQ51+$BT51+$BU51+$BV51</f>
        <v>0</v>
      </c>
      <c r="AH51" s="121">
        <f>AF51-AG51</f>
        <v>8100000000</v>
      </c>
      <c r="AI51" s="39" t="s">
        <v>683</v>
      </c>
      <c r="AJ51" s="198"/>
      <c r="AK51" s="198"/>
      <c r="AL51" s="42"/>
      <c r="AM51" s="68"/>
      <c r="AN51" s="68"/>
      <c r="AO51" s="68"/>
      <c r="AP51" s="68"/>
      <c r="AQ51" s="68">
        <v>0</v>
      </c>
      <c r="AR51" s="68">
        <v>0</v>
      </c>
      <c r="AS51" s="68" t="s">
        <v>307</v>
      </c>
      <c r="AT51" s="68"/>
      <c r="AU51" s="69" t="s">
        <v>277</v>
      </c>
      <c r="AV51" s="69" t="s">
        <v>277</v>
      </c>
      <c r="AW51" s="69" t="s">
        <v>277</v>
      </c>
      <c r="AX51" s="69"/>
      <c r="AY51" s="68">
        <v>0</v>
      </c>
      <c r="AZ51" s="68">
        <v>0</v>
      </c>
      <c r="BA51" s="68" t="s">
        <v>307</v>
      </c>
      <c r="BB51" s="68"/>
      <c r="BC51" s="69" t="s">
        <v>684</v>
      </c>
      <c r="BD51" s="69" t="s">
        <v>277</v>
      </c>
      <c r="BE51" s="56" t="s">
        <v>277</v>
      </c>
      <c r="BF51" s="56" t="s">
        <v>277</v>
      </c>
      <c r="BG51" s="56" t="s">
        <v>277</v>
      </c>
      <c r="BH51" s="56" t="s">
        <v>277</v>
      </c>
      <c r="BI51" s="69">
        <v>0</v>
      </c>
      <c r="BJ51" s="69">
        <v>0</v>
      </c>
      <c r="BK51" s="69">
        <v>0</v>
      </c>
      <c r="BL51" s="69">
        <v>0</v>
      </c>
      <c r="BM51" s="69">
        <v>0</v>
      </c>
      <c r="BN51" s="69">
        <v>0</v>
      </c>
      <c r="BO51" s="69">
        <v>0</v>
      </c>
      <c r="BP51" s="69">
        <v>0</v>
      </c>
      <c r="BQ51" s="69"/>
      <c r="BR51" s="69" t="s">
        <v>156</v>
      </c>
      <c r="BS51" s="69" t="s">
        <v>685</v>
      </c>
      <c r="BT51" s="68">
        <v>0</v>
      </c>
      <c r="BU51" s="68">
        <v>0</v>
      </c>
      <c r="BV51" s="68">
        <v>0</v>
      </c>
      <c r="BW51" s="94">
        <v>0</v>
      </c>
      <c r="BX51" s="94">
        <v>0</v>
      </c>
      <c r="BY51" s="94">
        <v>0</v>
      </c>
      <c r="BZ51" s="94">
        <v>0</v>
      </c>
      <c r="CA51" s="94">
        <v>0</v>
      </c>
      <c r="CB51" s="94">
        <v>0</v>
      </c>
      <c r="CC51" s="94">
        <v>0</v>
      </c>
      <c r="CD51" s="94">
        <v>0</v>
      </c>
      <c r="CE51" s="111">
        <v>8100000000</v>
      </c>
      <c r="CF51" s="108">
        <f>SUM(BT51:CE51)</f>
        <v>8100000000</v>
      </c>
      <c r="CG51" s="108">
        <f>$CF51-$AF51</f>
        <v>0</v>
      </c>
      <c r="CH51" s="37" t="s">
        <v>289</v>
      </c>
      <c r="CI51" s="37" t="s">
        <v>290</v>
      </c>
      <c r="CJ51" s="37" t="s">
        <v>277</v>
      </c>
      <c r="CK51" s="37" t="s">
        <v>290</v>
      </c>
      <c r="CL51" s="37" t="s">
        <v>277</v>
      </c>
      <c r="CM51" s="37" t="s">
        <v>277</v>
      </c>
      <c r="CN51" s="37" t="s">
        <v>290</v>
      </c>
      <c r="CO51" s="37" t="s">
        <v>340</v>
      </c>
      <c r="CP51" s="41">
        <v>45901</v>
      </c>
      <c r="CQ51" s="41">
        <v>46174</v>
      </c>
      <c r="CR51" s="37" t="s">
        <v>293</v>
      </c>
      <c r="CS51" s="37" t="s">
        <v>322</v>
      </c>
      <c r="CT51" s="37" t="s">
        <v>295</v>
      </c>
      <c r="CU51" s="37" t="s">
        <v>296</v>
      </c>
      <c r="CV51" s="37" t="s">
        <v>323</v>
      </c>
      <c r="CW51" s="37" t="s">
        <v>277</v>
      </c>
      <c r="CX51" s="37" t="s">
        <v>277</v>
      </c>
      <c r="CY51" s="37">
        <v>0</v>
      </c>
      <c r="CZ51" s="123" t="s">
        <v>277</v>
      </c>
      <c r="DA51" s="123" t="s">
        <v>277</v>
      </c>
      <c r="DB51" s="37" t="s">
        <v>277</v>
      </c>
      <c r="DC51" s="37" t="s">
        <v>455</v>
      </c>
      <c r="DD51" s="68">
        <v>0</v>
      </c>
      <c r="DE51" s="68">
        <v>0</v>
      </c>
      <c r="DF51" s="68">
        <v>0</v>
      </c>
      <c r="DG51" s="68">
        <v>0</v>
      </c>
      <c r="DH51" s="68">
        <v>0</v>
      </c>
      <c r="DI51" s="68">
        <v>0</v>
      </c>
      <c r="DJ51" s="68">
        <v>0</v>
      </c>
      <c r="DK51" s="68">
        <v>0</v>
      </c>
      <c r="DL51" s="68">
        <v>0</v>
      </c>
      <c r="DM51" s="68">
        <v>0</v>
      </c>
      <c r="DN51" s="68">
        <f>8100000000-8100000000</f>
        <v>0</v>
      </c>
      <c r="DO51" s="68">
        <v>0</v>
      </c>
      <c r="DP51" s="68">
        <f>SUM(DD51:DO51)</f>
        <v>0</v>
      </c>
      <c r="DQ51" s="68">
        <f>DP51-AB51</f>
        <v>0</v>
      </c>
      <c r="DR51" s="68">
        <f>$DD51</f>
        <v>0</v>
      </c>
      <c r="DS51" s="68">
        <f>DR51+DE51</f>
        <v>0</v>
      </c>
      <c r="DT51" s="68">
        <f>DS51+DF51</f>
        <v>0</v>
      </c>
      <c r="DU51" s="68">
        <f>DT51+DG51</f>
        <v>0</v>
      </c>
      <c r="DV51" s="68">
        <f>DU51+DH51</f>
        <v>0</v>
      </c>
      <c r="DW51" s="68">
        <f>DV51+DI51</f>
        <v>0</v>
      </c>
      <c r="DX51" s="68">
        <f>DW51+DJ51</f>
        <v>0</v>
      </c>
      <c r="DY51" s="68">
        <f>DX51+DK51</f>
        <v>0</v>
      </c>
      <c r="DZ51" s="68">
        <f>DY51+DL51</f>
        <v>0</v>
      </c>
      <c r="EA51" s="68">
        <f>DZ51+DM51</f>
        <v>0</v>
      </c>
      <c r="EB51" s="68">
        <f>EA51+DN51</f>
        <v>0</v>
      </c>
      <c r="EC51" s="68">
        <f>EB51+DO51</f>
        <v>0</v>
      </c>
      <c r="ED51" s="68">
        <f>$EC51-$AB51</f>
        <v>0</v>
      </c>
    </row>
    <row r="52" spans="1:134" ht="60">
      <c r="A52" s="74"/>
      <c r="B52" s="50">
        <v>29</v>
      </c>
      <c r="C52" s="50" t="s">
        <v>269</v>
      </c>
      <c r="D52" s="50" t="s">
        <v>297</v>
      </c>
      <c r="E52" s="50"/>
      <c r="F52" s="50" t="s">
        <v>272</v>
      </c>
      <c r="G52" s="50" t="s">
        <v>273</v>
      </c>
      <c r="H52" s="37" t="s">
        <v>151</v>
      </c>
      <c r="I52" s="37" t="s">
        <v>686</v>
      </c>
      <c r="J52" s="37" t="s">
        <v>687</v>
      </c>
      <c r="K52" s="50" t="s">
        <v>3</v>
      </c>
      <c r="L52" s="50" t="s">
        <v>14</v>
      </c>
      <c r="M52" s="50" t="s">
        <v>16</v>
      </c>
      <c r="N52" s="50" t="s">
        <v>276</v>
      </c>
      <c r="O52" s="37" t="s">
        <v>3</v>
      </c>
      <c r="P52" s="37" t="s">
        <v>14</v>
      </c>
      <c r="Q52" s="37" t="s">
        <v>16</v>
      </c>
      <c r="R52" s="37" t="s">
        <v>276</v>
      </c>
      <c r="S52" s="50" t="s">
        <v>277</v>
      </c>
      <c r="T52" s="50" t="s">
        <v>688</v>
      </c>
      <c r="U52" s="50" t="s">
        <v>689</v>
      </c>
      <c r="V52" s="56" t="s">
        <v>690</v>
      </c>
      <c r="W52" s="56" t="s">
        <v>690</v>
      </c>
      <c r="X52" s="38" t="s">
        <v>690</v>
      </c>
      <c r="Y52" s="60">
        <v>8000000000</v>
      </c>
      <c r="Z52" s="60">
        <v>1600000000</v>
      </c>
      <c r="AA52" s="60"/>
      <c r="AB52" s="60">
        <f>Z52+AA52</f>
        <v>1600000000</v>
      </c>
      <c r="AC52" s="61"/>
      <c r="AD52" s="61"/>
      <c r="AE52" s="109">
        <v>8000000000</v>
      </c>
      <c r="AF52" s="109">
        <v>8000000000</v>
      </c>
      <c r="AG52" s="108">
        <f>$AR52+$AZ52+$BQ52+$BT52+$BU52+$BV52</f>
        <v>0</v>
      </c>
      <c r="AH52" s="121">
        <f>AF52-AG52</f>
        <v>8000000000</v>
      </c>
      <c r="AI52" s="39" t="s">
        <v>691</v>
      </c>
      <c r="AJ52" s="200"/>
      <c r="AK52" s="200"/>
      <c r="AL52" s="39"/>
      <c r="AM52" s="68"/>
      <c r="AN52" s="68"/>
      <c r="AO52" s="68"/>
      <c r="AP52" s="68"/>
      <c r="AQ52" s="68">
        <v>0</v>
      </c>
      <c r="AR52" s="68">
        <v>0</v>
      </c>
      <c r="AS52" s="68" t="s">
        <v>307</v>
      </c>
      <c r="AT52" s="68"/>
      <c r="AU52" s="69" t="s">
        <v>277</v>
      </c>
      <c r="AV52" s="69" t="s">
        <v>277</v>
      </c>
      <c r="AW52" s="69" t="s">
        <v>277</v>
      </c>
      <c r="AX52" s="69"/>
      <c r="AY52" s="68">
        <v>0</v>
      </c>
      <c r="AZ52" s="68">
        <v>0</v>
      </c>
      <c r="BA52" s="68" t="s">
        <v>307</v>
      </c>
      <c r="BB52" s="68"/>
      <c r="BC52" s="69" t="s">
        <v>277</v>
      </c>
      <c r="BD52" s="69" t="s">
        <v>277</v>
      </c>
      <c r="BE52" s="56" t="s">
        <v>277</v>
      </c>
      <c r="BF52" s="56" t="s">
        <v>277</v>
      </c>
      <c r="BG52" s="56" t="s">
        <v>277</v>
      </c>
      <c r="BH52" s="56" t="s">
        <v>277</v>
      </c>
      <c r="BI52" s="69">
        <v>0</v>
      </c>
      <c r="BJ52" s="69">
        <v>0</v>
      </c>
      <c r="BK52" s="69">
        <v>0</v>
      </c>
      <c r="BL52" s="69">
        <v>0</v>
      </c>
      <c r="BM52" s="69">
        <v>0</v>
      </c>
      <c r="BN52" s="69">
        <v>0</v>
      </c>
      <c r="BO52" s="69">
        <v>0</v>
      </c>
      <c r="BP52" s="69">
        <v>0</v>
      </c>
      <c r="BQ52" s="69"/>
      <c r="BR52" s="69" t="s">
        <v>384</v>
      </c>
      <c r="BS52" s="69" t="s">
        <v>692</v>
      </c>
      <c r="BT52" s="68">
        <v>0</v>
      </c>
      <c r="BU52" s="68">
        <v>0</v>
      </c>
      <c r="BV52" s="68">
        <v>0</v>
      </c>
      <c r="BW52" s="94">
        <v>0</v>
      </c>
      <c r="BX52" s="94">
        <v>0</v>
      </c>
      <c r="BY52" s="94">
        <v>0</v>
      </c>
      <c r="BZ52" s="94">
        <v>0</v>
      </c>
      <c r="CA52" s="94">
        <v>0</v>
      </c>
      <c r="CB52" s="94">
        <v>0</v>
      </c>
      <c r="CC52" s="94">
        <v>0</v>
      </c>
      <c r="CD52" s="94">
        <v>0</v>
      </c>
      <c r="CE52" s="109">
        <v>8000000000</v>
      </c>
      <c r="CF52" s="108">
        <f>SUM(BT52:CE52)</f>
        <v>8000000000</v>
      </c>
      <c r="CG52" s="108">
        <f>$CF52-$AF52</f>
        <v>0</v>
      </c>
      <c r="CH52" s="37" t="s">
        <v>289</v>
      </c>
      <c r="CI52" s="37" t="s">
        <v>290</v>
      </c>
      <c r="CJ52" s="37" t="s">
        <v>277</v>
      </c>
      <c r="CK52" s="37" t="s">
        <v>290</v>
      </c>
      <c r="CL52" s="37" t="s">
        <v>522</v>
      </c>
      <c r="CM52" s="37" t="s">
        <v>523</v>
      </c>
      <c r="CN52" s="37" t="s">
        <v>290</v>
      </c>
      <c r="CO52" s="37" t="s">
        <v>693</v>
      </c>
      <c r="CP52" s="41">
        <v>46023</v>
      </c>
      <c r="CQ52" s="41">
        <v>46387</v>
      </c>
      <c r="CR52" s="37" t="s">
        <v>293</v>
      </c>
      <c r="CS52" s="37" t="s">
        <v>294</v>
      </c>
      <c r="CT52" s="37" t="s">
        <v>295</v>
      </c>
      <c r="CU52" s="37" t="s">
        <v>296</v>
      </c>
      <c r="CV52" s="37" t="s">
        <v>323</v>
      </c>
      <c r="CW52" s="37" t="s">
        <v>277</v>
      </c>
      <c r="CX52" s="37" t="s">
        <v>277</v>
      </c>
      <c r="CY52" s="37">
        <v>0</v>
      </c>
      <c r="CZ52" s="123" t="s">
        <v>277</v>
      </c>
      <c r="DA52" s="123" t="s">
        <v>277</v>
      </c>
      <c r="DB52" s="37" t="s">
        <v>277</v>
      </c>
      <c r="DC52" s="37" t="s">
        <v>455</v>
      </c>
      <c r="DD52" s="68">
        <v>0</v>
      </c>
      <c r="DE52" s="68">
        <v>0</v>
      </c>
      <c r="DF52" s="68">
        <v>0</v>
      </c>
      <c r="DG52" s="68">
        <v>0</v>
      </c>
      <c r="DH52" s="68">
        <v>0</v>
      </c>
      <c r="DI52" s="68">
        <v>0</v>
      </c>
      <c r="DJ52" s="68">
        <v>0</v>
      </c>
      <c r="DK52" s="68">
        <v>0</v>
      </c>
      <c r="DL52" s="68">
        <v>0</v>
      </c>
      <c r="DM52" s="68">
        <v>0</v>
      </c>
      <c r="DN52" s="68">
        <v>0</v>
      </c>
      <c r="DO52" s="68">
        <v>1600000000</v>
      </c>
      <c r="DP52" s="68">
        <f>SUM(DD52:DO52)</f>
        <v>1600000000</v>
      </c>
      <c r="DQ52" s="68">
        <f>DP52-AB52</f>
        <v>0</v>
      </c>
      <c r="DR52" s="68">
        <f>$DD52</f>
        <v>0</v>
      </c>
      <c r="DS52" s="68">
        <f>DR52+DE52</f>
        <v>0</v>
      </c>
      <c r="DT52" s="68">
        <f>DS52+DF52</f>
        <v>0</v>
      </c>
      <c r="DU52" s="68">
        <f>DT52+DG52</f>
        <v>0</v>
      </c>
      <c r="DV52" s="68">
        <f>DU52+DH52</f>
        <v>0</v>
      </c>
      <c r="DW52" s="68">
        <f>DV52+DI52</f>
        <v>0</v>
      </c>
      <c r="DX52" s="68">
        <f>DW52+DJ52</f>
        <v>0</v>
      </c>
      <c r="DY52" s="68">
        <f>DX52+DK52</f>
        <v>0</v>
      </c>
      <c r="DZ52" s="68">
        <f>DY52+DL52</f>
        <v>0</v>
      </c>
      <c r="EA52" s="68">
        <f>DZ52+DM52</f>
        <v>0</v>
      </c>
      <c r="EB52" s="68">
        <f>EA52+DN52</f>
        <v>0</v>
      </c>
      <c r="EC52" s="68">
        <f>EB52+DO52</f>
        <v>1600000000</v>
      </c>
      <c r="ED52" s="68">
        <f>$EC52-$AB52</f>
        <v>0</v>
      </c>
    </row>
    <row r="53" spans="1:134" ht="45">
      <c r="A53" s="74"/>
      <c r="B53" s="50">
        <v>127</v>
      </c>
      <c r="C53" s="50" t="s">
        <v>269</v>
      </c>
      <c r="D53" s="50" t="s">
        <v>297</v>
      </c>
      <c r="E53" s="50"/>
      <c r="F53" s="50" t="s">
        <v>272</v>
      </c>
      <c r="G53" s="50" t="s">
        <v>273</v>
      </c>
      <c r="H53" s="37" t="s">
        <v>151</v>
      </c>
      <c r="I53" s="37" t="s">
        <v>424</v>
      </c>
      <c r="J53" s="37" t="s">
        <v>694</v>
      </c>
      <c r="K53" s="50" t="s">
        <v>3</v>
      </c>
      <c r="L53" s="50" t="s">
        <v>14</v>
      </c>
      <c r="M53" s="50" t="s">
        <v>16</v>
      </c>
      <c r="N53" s="50" t="s">
        <v>276</v>
      </c>
      <c r="O53" s="37" t="s">
        <v>3</v>
      </c>
      <c r="P53" s="37" t="s">
        <v>14</v>
      </c>
      <c r="Q53" s="37" t="s">
        <v>16</v>
      </c>
      <c r="R53" s="37" t="s">
        <v>276</v>
      </c>
      <c r="S53" s="50" t="s">
        <v>695</v>
      </c>
      <c r="T53" s="50" t="s">
        <v>696</v>
      </c>
      <c r="U53" s="50" t="s">
        <v>697</v>
      </c>
      <c r="V53" s="56" t="s">
        <v>698</v>
      </c>
      <c r="W53" s="56" t="s">
        <v>698</v>
      </c>
      <c r="X53" s="38" t="s">
        <v>698</v>
      </c>
      <c r="Y53" s="60">
        <v>13998000000</v>
      </c>
      <c r="Z53" s="60">
        <v>7590757207</v>
      </c>
      <c r="AA53" s="60"/>
      <c r="AB53" s="60">
        <f>Z53+AA53</f>
        <v>7590757207</v>
      </c>
      <c r="AC53" s="61"/>
      <c r="AD53" s="61"/>
      <c r="AE53" s="109">
        <v>13998000000</v>
      </c>
      <c r="AF53" s="109">
        <v>7590757207</v>
      </c>
      <c r="AG53" s="108">
        <f>$AR53+$AZ53+$BQ53+$BT53+$BU53+$BV53</f>
        <v>0</v>
      </c>
      <c r="AH53" s="121">
        <f>AF53-AG53</f>
        <v>7590757207</v>
      </c>
      <c r="AI53" s="39" t="s">
        <v>699</v>
      </c>
      <c r="AJ53" s="198"/>
      <c r="AK53" s="198"/>
      <c r="AL53" s="42"/>
      <c r="AM53" s="68"/>
      <c r="AN53" s="68"/>
      <c r="AO53" s="68"/>
      <c r="AP53" s="68"/>
      <c r="AQ53" s="68">
        <v>0</v>
      </c>
      <c r="AR53" s="68">
        <v>0</v>
      </c>
      <c r="AS53" s="68" t="s">
        <v>307</v>
      </c>
      <c r="AT53" s="68"/>
      <c r="AU53" s="69" t="s">
        <v>277</v>
      </c>
      <c r="AV53" s="69" t="s">
        <v>277</v>
      </c>
      <c r="AW53" s="69" t="s">
        <v>277</v>
      </c>
      <c r="AX53" s="69"/>
      <c r="AY53" s="68">
        <v>0</v>
      </c>
      <c r="AZ53" s="68">
        <v>0</v>
      </c>
      <c r="BA53" s="68" t="s">
        <v>307</v>
      </c>
      <c r="BB53" s="68"/>
      <c r="BC53" s="69" t="s">
        <v>700</v>
      </c>
      <c r="BD53" s="69" t="s">
        <v>277</v>
      </c>
      <c r="BE53" s="56" t="s">
        <v>277</v>
      </c>
      <c r="BF53" s="56" t="s">
        <v>277</v>
      </c>
      <c r="BG53" s="56" t="s">
        <v>277</v>
      </c>
      <c r="BH53" s="56" t="s">
        <v>277</v>
      </c>
      <c r="BI53" s="69">
        <v>0</v>
      </c>
      <c r="BJ53" s="69">
        <v>0</v>
      </c>
      <c r="BK53" s="69">
        <v>0</v>
      </c>
      <c r="BL53" s="69">
        <v>0</v>
      </c>
      <c r="BM53" s="69">
        <v>0</v>
      </c>
      <c r="BN53" s="69">
        <v>0</v>
      </c>
      <c r="BO53" s="69">
        <v>0</v>
      </c>
      <c r="BP53" s="69">
        <v>0</v>
      </c>
      <c r="BQ53" s="69"/>
      <c r="BR53" s="69" t="s">
        <v>382</v>
      </c>
      <c r="BS53" s="69" t="s">
        <v>701</v>
      </c>
      <c r="BT53" s="68">
        <v>0</v>
      </c>
      <c r="BU53" s="68">
        <v>0</v>
      </c>
      <c r="BV53" s="68">
        <v>0</v>
      </c>
      <c r="BW53" s="94">
        <v>0</v>
      </c>
      <c r="BX53" s="94">
        <v>0</v>
      </c>
      <c r="BY53" s="94">
        <v>0</v>
      </c>
      <c r="BZ53" s="94">
        <v>0</v>
      </c>
      <c r="CA53" s="94">
        <v>3500000000</v>
      </c>
      <c r="CB53" s="109">
        <v>0</v>
      </c>
      <c r="CC53" s="109">
        <v>0</v>
      </c>
      <c r="CD53" s="109">
        <v>4090757207</v>
      </c>
      <c r="CE53" s="109">
        <v>0</v>
      </c>
      <c r="CF53" s="108">
        <f>SUM(BT53:CE53)</f>
        <v>7590757207</v>
      </c>
      <c r="CG53" s="108">
        <f>$CF53-$AF53</f>
        <v>0</v>
      </c>
      <c r="CH53" s="37" t="s">
        <v>318</v>
      </c>
      <c r="CI53" s="37" t="s">
        <v>291</v>
      </c>
      <c r="CJ53" s="37" t="s">
        <v>319</v>
      </c>
      <c r="CK53" s="37" t="s">
        <v>290</v>
      </c>
      <c r="CL53" s="37" t="s">
        <v>277</v>
      </c>
      <c r="CM53" s="37" t="s">
        <v>277</v>
      </c>
      <c r="CN53" s="37" t="s">
        <v>290</v>
      </c>
      <c r="CO53" s="37" t="s">
        <v>433</v>
      </c>
      <c r="CP53" s="41">
        <v>45597</v>
      </c>
      <c r="CQ53" s="41">
        <v>47270</v>
      </c>
      <c r="CR53" s="37" t="s">
        <v>293</v>
      </c>
      <c r="CS53" s="37" t="s">
        <v>294</v>
      </c>
      <c r="CT53" s="37" t="s">
        <v>295</v>
      </c>
      <c r="CU53" s="37" t="s">
        <v>341</v>
      </c>
      <c r="CV53" s="37" t="s">
        <v>337</v>
      </c>
      <c r="CW53" s="37">
        <v>4200004590</v>
      </c>
      <c r="CX53" s="37" t="s">
        <v>698</v>
      </c>
      <c r="CY53" s="37">
        <v>13998000000</v>
      </c>
      <c r="CZ53" s="123">
        <v>45536</v>
      </c>
      <c r="DA53" s="123">
        <v>45901</v>
      </c>
      <c r="DB53" s="37" t="s">
        <v>277</v>
      </c>
      <c r="DC53" s="37" t="s">
        <v>388</v>
      </c>
      <c r="DD53" s="68">
        <v>0</v>
      </c>
      <c r="DE53" s="68">
        <v>3500000000</v>
      </c>
      <c r="DF53" s="68">
        <v>0</v>
      </c>
      <c r="DG53" s="68">
        <v>0</v>
      </c>
      <c r="DH53" s="68">
        <v>4090757207</v>
      </c>
      <c r="DI53" s="68">
        <v>0</v>
      </c>
      <c r="DJ53" s="68">
        <v>0</v>
      </c>
      <c r="DK53" s="68">
        <v>0</v>
      </c>
      <c r="DL53" s="68">
        <v>0</v>
      </c>
      <c r="DM53" s="68">
        <v>0</v>
      </c>
      <c r="DN53" s="68">
        <v>0</v>
      </c>
      <c r="DO53" s="68">
        <v>0</v>
      </c>
      <c r="DP53" s="68">
        <f>SUM(DD53:DO53)</f>
        <v>7590757207</v>
      </c>
      <c r="DQ53" s="68">
        <f>DP53-AB53</f>
        <v>0</v>
      </c>
      <c r="DR53" s="68">
        <f>$DD53</f>
        <v>0</v>
      </c>
      <c r="DS53" s="68">
        <f>DR53+DE53</f>
        <v>3500000000</v>
      </c>
      <c r="DT53" s="68">
        <f>DS53+DF53</f>
        <v>3500000000</v>
      </c>
      <c r="DU53" s="68">
        <f>DT53+DG53</f>
        <v>3500000000</v>
      </c>
      <c r="DV53" s="68">
        <f>DU53+DH53</f>
        <v>7590757207</v>
      </c>
      <c r="DW53" s="68">
        <f>DV53+DI53</f>
        <v>7590757207</v>
      </c>
      <c r="DX53" s="68">
        <f>DW53+DJ53</f>
        <v>7590757207</v>
      </c>
      <c r="DY53" s="68">
        <f>DX53+DK53</f>
        <v>7590757207</v>
      </c>
      <c r="DZ53" s="68">
        <f>DY53+DL53</f>
        <v>7590757207</v>
      </c>
      <c r="EA53" s="68">
        <f>DZ53+DM53</f>
        <v>7590757207</v>
      </c>
      <c r="EB53" s="68">
        <f>EA53+DN53</f>
        <v>7590757207</v>
      </c>
      <c r="EC53" s="68">
        <f>EB53+DO53</f>
        <v>7590757207</v>
      </c>
      <c r="ED53" s="68">
        <f>$EC53-$AB53</f>
        <v>0</v>
      </c>
    </row>
    <row r="54" spans="1:134" ht="30">
      <c r="A54" s="74"/>
      <c r="B54" s="50">
        <v>2</v>
      </c>
      <c r="C54" s="50" t="s">
        <v>269</v>
      </c>
      <c r="D54" s="50" t="s">
        <v>297</v>
      </c>
      <c r="E54" s="50"/>
      <c r="F54" s="50" t="s">
        <v>272</v>
      </c>
      <c r="G54" s="50" t="s">
        <v>273</v>
      </c>
      <c r="H54" s="37" t="s">
        <v>151</v>
      </c>
      <c r="I54" s="37" t="s">
        <v>702</v>
      </c>
      <c r="J54" s="37" t="s">
        <v>703</v>
      </c>
      <c r="K54" s="50" t="s">
        <v>3</v>
      </c>
      <c r="L54" s="50" t="s">
        <v>14</v>
      </c>
      <c r="M54" s="50" t="s">
        <v>16</v>
      </c>
      <c r="N54" s="50" t="s">
        <v>276</v>
      </c>
      <c r="O54" s="37" t="s">
        <v>3</v>
      </c>
      <c r="P54" s="37" t="s">
        <v>14</v>
      </c>
      <c r="Q54" s="37" t="s">
        <v>16</v>
      </c>
      <c r="R54" s="37" t="s">
        <v>276</v>
      </c>
      <c r="S54" s="50" t="s">
        <v>704</v>
      </c>
      <c r="T54" s="50" t="s">
        <v>705</v>
      </c>
      <c r="U54" s="50" t="s">
        <v>706</v>
      </c>
      <c r="V54" s="56" t="s">
        <v>707</v>
      </c>
      <c r="W54" s="56" t="s">
        <v>707</v>
      </c>
      <c r="X54" s="38" t="s">
        <v>707</v>
      </c>
      <c r="Y54" s="60">
        <v>8042464000</v>
      </c>
      <c r="Z54" s="60">
        <v>7170448000</v>
      </c>
      <c r="AA54" s="60"/>
      <c r="AB54" s="60">
        <f>Z54+AA54</f>
        <v>7170448000</v>
      </c>
      <c r="AC54" s="61"/>
      <c r="AD54" s="61"/>
      <c r="AE54" s="109">
        <v>8042464000</v>
      </c>
      <c r="AF54" s="109">
        <v>7170448000</v>
      </c>
      <c r="AG54" s="108">
        <f>$AR54+$AZ54+$BQ54+$BT54+$BU54+$BV54</f>
        <v>0</v>
      </c>
      <c r="AH54" s="121">
        <f>AF54-AG54</f>
        <v>7170448000</v>
      </c>
      <c r="AI54" s="39" t="s">
        <v>708</v>
      </c>
      <c r="AJ54" s="198"/>
      <c r="AK54" s="198"/>
      <c r="AL54" s="42"/>
      <c r="AM54" s="68"/>
      <c r="AN54" s="68"/>
      <c r="AO54" s="68"/>
      <c r="AP54" s="68"/>
      <c r="AQ54" s="68">
        <v>0</v>
      </c>
      <c r="AR54" s="68">
        <v>0</v>
      </c>
      <c r="AS54" s="68" t="s">
        <v>307</v>
      </c>
      <c r="AT54" s="68"/>
      <c r="AU54" s="69" t="s">
        <v>277</v>
      </c>
      <c r="AV54" s="69" t="s">
        <v>277</v>
      </c>
      <c r="AW54" s="69" t="s">
        <v>277</v>
      </c>
      <c r="AX54" s="69"/>
      <c r="AY54" s="68">
        <v>0</v>
      </c>
      <c r="AZ54" s="68">
        <v>0</v>
      </c>
      <c r="BA54" s="68" t="s">
        <v>307</v>
      </c>
      <c r="BB54" s="68"/>
      <c r="BC54" s="69" t="s">
        <v>277</v>
      </c>
      <c r="BD54" s="69" t="s">
        <v>277</v>
      </c>
      <c r="BE54" s="56" t="s">
        <v>277</v>
      </c>
      <c r="BF54" s="56" t="s">
        <v>277</v>
      </c>
      <c r="BG54" s="56" t="s">
        <v>277</v>
      </c>
      <c r="BH54" s="56" t="s">
        <v>277</v>
      </c>
      <c r="BI54" s="69">
        <v>0</v>
      </c>
      <c r="BJ54" s="69">
        <v>0</v>
      </c>
      <c r="BK54" s="69">
        <v>0</v>
      </c>
      <c r="BL54" s="69">
        <v>0</v>
      </c>
      <c r="BM54" s="69">
        <v>0</v>
      </c>
      <c r="BN54" s="69">
        <v>0</v>
      </c>
      <c r="BO54" s="69">
        <v>0</v>
      </c>
      <c r="BP54" s="69">
        <v>0</v>
      </c>
      <c r="BQ54" s="69">
        <f>$BJ54</f>
        <v>0</v>
      </c>
      <c r="BR54" s="69" t="s">
        <v>384</v>
      </c>
      <c r="BS54" s="186" t="s">
        <v>709</v>
      </c>
      <c r="BT54" s="68">
        <v>0</v>
      </c>
      <c r="BU54" s="68">
        <v>0</v>
      </c>
      <c r="BV54" s="68">
        <v>0</v>
      </c>
      <c r="BW54" s="96">
        <v>0</v>
      </c>
      <c r="BX54" s="96">
        <v>0</v>
      </c>
      <c r="BY54" s="96">
        <v>0</v>
      </c>
      <c r="BZ54" s="96">
        <v>0</v>
      </c>
      <c r="CA54" s="109">
        <v>7170448000</v>
      </c>
      <c r="CB54" s="96">
        <v>0</v>
      </c>
      <c r="CC54" s="96">
        <v>0</v>
      </c>
      <c r="CD54" s="96">
        <v>0</v>
      </c>
      <c r="CE54" s="96">
        <v>0</v>
      </c>
      <c r="CF54" s="108">
        <f>SUM(BT54:CE54)</f>
        <v>7170448000</v>
      </c>
      <c r="CG54" s="108">
        <f>$CF54-$AF54</f>
        <v>0</v>
      </c>
      <c r="CH54" s="37" t="s">
        <v>289</v>
      </c>
      <c r="CI54" s="37" t="s">
        <v>290</v>
      </c>
      <c r="CJ54" s="37" t="s">
        <v>277</v>
      </c>
      <c r="CK54" s="37" t="s">
        <v>290</v>
      </c>
      <c r="CL54" s="37" t="s">
        <v>277</v>
      </c>
      <c r="CM54" s="37" t="s">
        <v>277</v>
      </c>
      <c r="CN54" s="37" t="s">
        <v>290</v>
      </c>
      <c r="CO54" s="37" t="s">
        <v>340</v>
      </c>
      <c r="CP54" s="41">
        <v>46023</v>
      </c>
      <c r="CQ54" s="41">
        <v>46387</v>
      </c>
      <c r="CR54" s="37" t="s">
        <v>293</v>
      </c>
      <c r="CS54" s="37" t="s">
        <v>454</v>
      </c>
      <c r="CT54" s="37" t="s">
        <v>295</v>
      </c>
      <c r="CU54" s="37" t="s">
        <v>341</v>
      </c>
      <c r="CV54" s="37" t="s">
        <v>382</v>
      </c>
      <c r="CW54" s="37" t="s">
        <v>710</v>
      </c>
      <c r="CX54" s="37" t="s">
        <v>707</v>
      </c>
      <c r="CY54" s="37">
        <v>8042464000</v>
      </c>
      <c r="CZ54" s="123">
        <v>44348</v>
      </c>
      <c r="DA54" s="123">
        <v>46357</v>
      </c>
      <c r="DB54" s="37" t="s">
        <v>277</v>
      </c>
      <c r="DC54" s="37" t="s">
        <v>711</v>
      </c>
      <c r="DD54" s="68">
        <v>0</v>
      </c>
      <c r="DE54" s="68">
        <v>0</v>
      </c>
      <c r="DF54" s="68">
        <v>3585224000</v>
      </c>
      <c r="DG54" s="68">
        <v>0</v>
      </c>
      <c r="DH54" s="68">
        <v>3585224000</v>
      </c>
      <c r="DI54" s="68">
        <v>0</v>
      </c>
      <c r="DJ54" s="68">
        <v>0</v>
      </c>
      <c r="DK54" s="68">
        <v>0</v>
      </c>
      <c r="DL54" s="68">
        <v>0</v>
      </c>
      <c r="DM54" s="68">
        <v>0</v>
      </c>
      <c r="DN54" s="68">
        <v>0</v>
      </c>
      <c r="DO54" s="68">
        <v>0</v>
      </c>
      <c r="DP54" s="68">
        <f>SUM(DD54:DO54)</f>
        <v>7170448000</v>
      </c>
      <c r="DQ54" s="68">
        <f>DP54-AB54</f>
        <v>0</v>
      </c>
      <c r="DR54" s="68">
        <f>$DD54</f>
        <v>0</v>
      </c>
      <c r="DS54" s="68">
        <f>DR54+DE54</f>
        <v>0</v>
      </c>
      <c r="DT54" s="68">
        <f>DS54+DF54</f>
        <v>3585224000</v>
      </c>
      <c r="DU54" s="68">
        <f>DT54+DG54</f>
        <v>3585224000</v>
      </c>
      <c r="DV54" s="68">
        <f>DU54+DH54</f>
        <v>7170448000</v>
      </c>
      <c r="DW54" s="68">
        <f>DV54+DI54</f>
        <v>7170448000</v>
      </c>
      <c r="DX54" s="68">
        <f>DW54+DJ54</f>
        <v>7170448000</v>
      </c>
      <c r="DY54" s="68">
        <f>DX54+DK54</f>
        <v>7170448000</v>
      </c>
      <c r="DZ54" s="68">
        <f>DY54+DL54</f>
        <v>7170448000</v>
      </c>
      <c r="EA54" s="68">
        <f>DZ54+DM54</f>
        <v>7170448000</v>
      </c>
      <c r="EB54" s="68">
        <f>EA54+DN54</f>
        <v>7170448000</v>
      </c>
      <c r="EC54" s="68">
        <f>EB54+DO54</f>
        <v>7170448000</v>
      </c>
      <c r="ED54" s="68">
        <f>$EC54-$AB54</f>
        <v>0</v>
      </c>
    </row>
    <row r="55" spans="1:134" ht="45">
      <c r="A55" s="74"/>
      <c r="B55" s="50">
        <v>42</v>
      </c>
      <c r="C55" s="50" t="s">
        <v>269</v>
      </c>
      <c r="D55" s="50" t="s">
        <v>297</v>
      </c>
      <c r="E55" s="50"/>
      <c r="F55" s="50" t="s">
        <v>272</v>
      </c>
      <c r="G55" s="50" t="s">
        <v>273</v>
      </c>
      <c r="H55" s="37" t="s">
        <v>151</v>
      </c>
      <c r="I55" s="37" t="s">
        <v>702</v>
      </c>
      <c r="J55" s="37" t="s">
        <v>703</v>
      </c>
      <c r="K55" s="50" t="s">
        <v>3</v>
      </c>
      <c r="L55" s="50" t="s">
        <v>14</v>
      </c>
      <c r="M55" s="50" t="s">
        <v>16</v>
      </c>
      <c r="N55" s="50" t="s">
        <v>276</v>
      </c>
      <c r="O55" s="37" t="s">
        <v>3</v>
      </c>
      <c r="P55" s="37" t="s">
        <v>14</v>
      </c>
      <c r="Q55" s="37" t="s">
        <v>16</v>
      </c>
      <c r="R55" s="37" t="s">
        <v>276</v>
      </c>
      <c r="S55" s="50" t="s">
        <v>712</v>
      </c>
      <c r="T55" s="50" t="s">
        <v>713</v>
      </c>
      <c r="U55" s="50" t="s">
        <v>714</v>
      </c>
      <c r="V55" s="56" t="s">
        <v>715</v>
      </c>
      <c r="W55" s="56" t="s">
        <v>715</v>
      </c>
      <c r="X55" s="38" t="s">
        <v>715</v>
      </c>
      <c r="Y55" s="60">
        <v>111000000000</v>
      </c>
      <c r="Z55" s="60">
        <v>950000000</v>
      </c>
      <c r="AA55" s="60"/>
      <c r="AB55" s="60">
        <f>Z55+AA55</f>
        <v>950000000</v>
      </c>
      <c r="AC55" s="61"/>
      <c r="AD55" s="61"/>
      <c r="AE55" s="109">
        <v>111000000000</v>
      </c>
      <c r="AF55" s="109">
        <v>7125000003</v>
      </c>
      <c r="AG55" s="108">
        <f>$AR55+$AZ55+$BQ55+$BT55+$BU55+$BV55</f>
        <v>68760252126</v>
      </c>
      <c r="AH55" s="121">
        <f>AF55-AG55</f>
        <v>-61635252123</v>
      </c>
      <c r="AI55" s="42" t="s">
        <v>716</v>
      </c>
      <c r="AJ55" s="198"/>
      <c r="AK55" s="198"/>
      <c r="AL55" s="42"/>
      <c r="AM55" s="68"/>
      <c r="AN55" s="68"/>
      <c r="AO55" s="68"/>
      <c r="AP55" s="68"/>
      <c r="AQ55" s="68">
        <v>0</v>
      </c>
      <c r="AR55" s="68">
        <v>0</v>
      </c>
      <c r="AS55" s="68" t="s">
        <v>307</v>
      </c>
      <c r="AT55" s="68"/>
      <c r="AU55" s="69" t="s">
        <v>277</v>
      </c>
      <c r="AV55" s="69" t="s">
        <v>277</v>
      </c>
      <c r="AW55" s="69" t="s">
        <v>277</v>
      </c>
      <c r="AX55" s="69"/>
      <c r="AY55" s="68">
        <v>0</v>
      </c>
      <c r="AZ55" s="68">
        <v>0</v>
      </c>
      <c r="BA55" s="68" t="s">
        <v>307</v>
      </c>
      <c r="BB55" s="68"/>
      <c r="BC55" s="69" t="s">
        <v>717</v>
      </c>
      <c r="BD55" s="69" t="s">
        <v>277</v>
      </c>
      <c r="BE55" s="56" t="s">
        <v>277</v>
      </c>
      <c r="BF55" s="56" t="s">
        <v>277</v>
      </c>
      <c r="BG55" s="56" t="s">
        <v>277</v>
      </c>
      <c r="BH55" s="56" t="s">
        <v>277</v>
      </c>
      <c r="BI55" s="69">
        <v>0</v>
      </c>
      <c r="BJ55" s="69">
        <v>0</v>
      </c>
      <c r="BK55" s="69">
        <v>0</v>
      </c>
      <c r="BL55" s="69">
        <v>0</v>
      </c>
      <c r="BM55" s="69">
        <v>0</v>
      </c>
      <c r="BN55" s="69">
        <v>0</v>
      </c>
      <c r="BO55" s="69">
        <v>0</v>
      </c>
      <c r="BP55" s="69">
        <v>0</v>
      </c>
      <c r="BQ55" s="69"/>
      <c r="BR55" s="69" t="s">
        <v>382</v>
      </c>
      <c r="BS55" s="69" t="s">
        <v>718</v>
      </c>
      <c r="BT55" s="68">
        <v>44103915964</v>
      </c>
      <c r="BU55" s="68">
        <v>24656336162</v>
      </c>
      <c r="BV55" s="68">
        <v>0</v>
      </c>
      <c r="BW55" s="94">
        <v>0</v>
      </c>
      <c r="BX55" s="94">
        <v>0</v>
      </c>
      <c r="BY55" s="94">
        <v>0</v>
      </c>
      <c r="BZ55" s="94">
        <v>0</v>
      </c>
      <c r="CA55" s="94">
        <v>0</v>
      </c>
      <c r="CB55" s="109">
        <v>0</v>
      </c>
      <c r="CC55" s="109">
        <v>0</v>
      </c>
      <c r="CD55" s="109">
        <v>7125000003</v>
      </c>
      <c r="CE55" s="109">
        <v>0</v>
      </c>
      <c r="CF55" s="108">
        <f>SUM(BT55:CE55)</f>
        <v>75885252129</v>
      </c>
      <c r="CG55" s="108">
        <f>$CF55-$AF55</f>
        <v>68760252126</v>
      </c>
      <c r="CH55" s="37" t="s">
        <v>289</v>
      </c>
      <c r="CI55" s="37" t="s">
        <v>290</v>
      </c>
      <c r="CJ55" s="37" t="s">
        <v>277</v>
      </c>
      <c r="CK55" s="37" t="s">
        <v>290</v>
      </c>
      <c r="CL55" s="37" t="s">
        <v>277</v>
      </c>
      <c r="CM55" s="37" t="s">
        <v>277</v>
      </c>
      <c r="CN55" s="37" t="s">
        <v>290</v>
      </c>
      <c r="CO55" s="37" t="s">
        <v>275</v>
      </c>
      <c r="CP55" s="41">
        <v>46023</v>
      </c>
      <c r="CQ55" s="41">
        <v>46387</v>
      </c>
      <c r="CR55" s="37" t="s">
        <v>293</v>
      </c>
      <c r="CS55" s="37" t="s">
        <v>322</v>
      </c>
      <c r="CT55" s="37" t="s">
        <v>295</v>
      </c>
      <c r="CU55" s="37" t="s">
        <v>341</v>
      </c>
      <c r="CV55" s="37" t="s">
        <v>382</v>
      </c>
      <c r="CW55" s="88" t="s">
        <v>719</v>
      </c>
      <c r="CX55" s="37" t="s">
        <v>720</v>
      </c>
      <c r="CY55" s="37">
        <v>111000000000</v>
      </c>
      <c r="CZ55" s="123">
        <v>44927</v>
      </c>
      <c r="DA55" s="123">
        <v>46023</v>
      </c>
      <c r="DB55" s="37" t="s">
        <v>277</v>
      </c>
      <c r="DC55" s="37" t="s">
        <v>388</v>
      </c>
      <c r="DD55" s="68">
        <v>0</v>
      </c>
      <c r="DE55" s="68">
        <v>950000000</v>
      </c>
      <c r="DF55" s="68">
        <v>0</v>
      </c>
      <c r="DG55" s="68">
        <v>0</v>
      </c>
      <c r="DH55" s="68">
        <v>0</v>
      </c>
      <c r="DI55" s="68">
        <v>0</v>
      </c>
      <c r="DJ55" s="68">
        <v>0</v>
      </c>
      <c r="DK55" s="68">
        <v>0</v>
      </c>
      <c r="DL55" s="68">
        <v>0</v>
      </c>
      <c r="DM55" s="68">
        <v>0</v>
      </c>
      <c r="DN55" s="68">
        <v>0</v>
      </c>
      <c r="DO55" s="68">
        <v>0</v>
      </c>
      <c r="DP55" s="68">
        <f>SUM(DD55:DO55)</f>
        <v>950000000</v>
      </c>
      <c r="DQ55" s="68">
        <f>DP55-AB55</f>
        <v>0</v>
      </c>
      <c r="DR55" s="68">
        <f>$DD55</f>
        <v>0</v>
      </c>
      <c r="DS55" s="68">
        <f>DR55+DE55</f>
        <v>950000000</v>
      </c>
      <c r="DT55" s="68">
        <f>DS55+DF55</f>
        <v>950000000</v>
      </c>
      <c r="DU55" s="68">
        <f>DT55+DG55</f>
        <v>950000000</v>
      </c>
      <c r="DV55" s="68">
        <f>DU55+DH55</f>
        <v>950000000</v>
      </c>
      <c r="DW55" s="68">
        <f>DV55+DI55</f>
        <v>950000000</v>
      </c>
      <c r="DX55" s="68">
        <f>DW55+DJ55</f>
        <v>950000000</v>
      </c>
      <c r="DY55" s="68">
        <f>DX55+DK55</f>
        <v>950000000</v>
      </c>
      <c r="DZ55" s="68">
        <f>DY55+DL55</f>
        <v>950000000</v>
      </c>
      <c r="EA55" s="68">
        <f>DZ55+DM55</f>
        <v>950000000</v>
      </c>
      <c r="EB55" s="68">
        <f>EA55+DN55</f>
        <v>950000000</v>
      </c>
      <c r="EC55" s="68">
        <f>EB55+DO55</f>
        <v>950000000</v>
      </c>
      <c r="ED55" s="68">
        <f>$EC55-$AB55</f>
        <v>0</v>
      </c>
    </row>
    <row r="56" spans="1:134" ht="75">
      <c r="A56" s="74"/>
      <c r="B56" s="50">
        <v>105</v>
      </c>
      <c r="C56" s="50" t="s">
        <v>269</v>
      </c>
      <c r="D56" s="50" t="s">
        <v>297</v>
      </c>
      <c r="E56" s="50"/>
      <c r="F56" s="50" t="s">
        <v>272</v>
      </c>
      <c r="G56" s="50" t="s">
        <v>273</v>
      </c>
      <c r="H56" s="37" t="s">
        <v>151</v>
      </c>
      <c r="I56" s="37" t="s">
        <v>274</v>
      </c>
      <c r="J56" s="37" t="s">
        <v>340</v>
      </c>
      <c r="K56" s="50" t="s">
        <v>3</v>
      </c>
      <c r="L56" s="50" t="s">
        <v>14</v>
      </c>
      <c r="M56" s="50" t="s">
        <v>16</v>
      </c>
      <c r="N56" s="50" t="s">
        <v>276</v>
      </c>
      <c r="O56" s="37" t="s">
        <v>3</v>
      </c>
      <c r="P56" s="37" t="s">
        <v>14</v>
      </c>
      <c r="Q56" s="37" t="s">
        <v>16</v>
      </c>
      <c r="R56" s="37" t="s">
        <v>276</v>
      </c>
      <c r="S56" s="50" t="s">
        <v>721</v>
      </c>
      <c r="T56" s="50" t="s">
        <v>722</v>
      </c>
      <c r="U56" s="50" t="s">
        <v>723</v>
      </c>
      <c r="V56" s="56" t="s">
        <v>724</v>
      </c>
      <c r="W56" s="56" t="s">
        <v>724</v>
      </c>
      <c r="X56" s="38" t="s">
        <v>725</v>
      </c>
      <c r="Y56" s="60">
        <v>89460222228</v>
      </c>
      <c r="Z56" s="60">
        <v>17534203557</v>
      </c>
      <c r="AA56" s="60">
        <v>-9007246672</v>
      </c>
      <c r="AB56" s="60">
        <f>Z56+AA56</f>
        <v>8526956885</v>
      </c>
      <c r="AC56" s="61" t="s">
        <v>414</v>
      </c>
      <c r="AD56" s="61" t="s">
        <v>726</v>
      </c>
      <c r="AE56" s="112">
        <v>32532843147</v>
      </c>
      <c r="AF56" s="112">
        <v>6506568629</v>
      </c>
      <c r="AG56" s="110">
        <f>$AR56+$AZ56+$BQ56+$BT56+$BU56+$BV56</f>
        <v>0</v>
      </c>
      <c r="AH56" s="121">
        <f>AF56-AG56</f>
        <v>6506568629</v>
      </c>
      <c r="AI56" s="85" t="s">
        <v>727</v>
      </c>
      <c r="AJ56" s="199"/>
      <c r="AK56" s="199"/>
      <c r="AL56" s="86"/>
      <c r="AM56" s="68"/>
      <c r="AN56" s="68"/>
      <c r="AO56" s="68"/>
      <c r="AP56" s="68"/>
      <c r="AQ56" s="68">
        <v>0</v>
      </c>
      <c r="AR56" s="68">
        <v>0</v>
      </c>
      <c r="AS56" s="68" t="s">
        <v>307</v>
      </c>
      <c r="AT56" s="68"/>
      <c r="AU56" s="69" t="s">
        <v>277</v>
      </c>
      <c r="AV56" s="69" t="s">
        <v>277</v>
      </c>
      <c r="AW56" s="69" t="s">
        <v>277</v>
      </c>
      <c r="AX56" s="69"/>
      <c r="AY56" s="68">
        <v>0</v>
      </c>
      <c r="AZ56" s="68">
        <v>0</v>
      </c>
      <c r="BA56" s="68" t="s">
        <v>307</v>
      </c>
      <c r="BB56" s="68"/>
      <c r="BC56" s="69" t="s">
        <v>277</v>
      </c>
      <c r="BD56" s="69" t="s">
        <v>277</v>
      </c>
      <c r="BE56" s="56" t="s">
        <v>728</v>
      </c>
      <c r="BF56" s="56" t="s">
        <v>729</v>
      </c>
      <c r="BG56" s="56" t="s">
        <v>725</v>
      </c>
      <c r="BH56" s="56" t="s">
        <v>296</v>
      </c>
      <c r="BI56" s="69">
        <v>32532843147</v>
      </c>
      <c r="BJ56" s="69">
        <v>6506568629</v>
      </c>
      <c r="BK56" s="69">
        <v>19519705889</v>
      </c>
      <c r="BL56" s="69">
        <v>1626642158</v>
      </c>
      <c r="BM56" s="69">
        <v>1626642158</v>
      </c>
      <c r="BN56" s="69">
        <v>1626642158</v>
      </c>
      <c r="BO56" s="69">
        <v>1626642158</v>
      </c>
      <c r="BP56" s="69">
        <v>0</v>
      </c>
      <c r="BQ56" s="69"/>
      <c r="BR56" s="69" t="s">
        <v>156</v>
      </c>
      <c r="BS56" s="69" t="s">
        <v>317</v>
      </c>
      <c r="BT56" s="68">
        <v>0</v>
      </c>
      <c r="BU56" s="68">
        <v>0</v>
      </c>
      <c r="BV56" s="68"/>
      <c r="BW56" s="94">
        <v>0</v>
      </c>
      <c r="BX56" s="94">
        <v>0</v>
      </c>
      <c r="BY56" s="94">
        <v>0</v>
      </c>
      <c r="BZ56" s="94">
        <v>0</v>
      </c>
      <c r="CA56" s="94">
        <v>0</v>
      </c>
      <c r="CB56" s="112">
        <v>6506568629</v>
      </c>
      <c r="CC56" s="109">
        <v>0</v>
      </c>
      <c r="CD56" s="109">
        <v>0</v>
      </c>
      <c r="CE56" s="109">
        <v>0</v>
      </c>
      <c r="CF56" s="108">
        <f>SUM(BT56:CE56)</f>
        <v>6506568629</v>
      </c>
      <c r="CG56" s="108">
        <f>$CF56-$AF56</f>
        <v>0</v>
      </c>
      <c r="CH56" s="37" t="s">
        <v>421</v>
      </c>
      <c r="CI56" s="37" t="s">
        <v>291</v>
      </c>
      <c r="CJ56" s="37" t="s">
        <v>319</v>
      </c>
      <c r="CK56" s="37" t="s">
        <v>290</v>
      </c>
      <c r="CL56" s="37" t="s">
        <v>320</v>
      </c>
      <c r="CM56" s="37" t="s">
        <v>321</v>
      </c>
      <c r="CN56" s="37" t="s">
        <v>290</v>
      </c>
      <c r="CO56" s="37" t="s">
        <v>277</v>
      </c>
      <c r="CP56" s="41">
        <v>46023</v>
      </c>
      <c r="CQ56" s="41">
        <v>48183</v>
      </c>
      <c r="CR56" s="37" t="s">
        <v>293</v>
      </c>
      <c r="CS56" s="37" t="s">
        <v>322</v>
      </c>
      <c r="CT56" s="37" t="s">
        <v>295</v>
      </c>
      <c r="CU56" s="37" t="s">
        <v>296</v>
      </c>
      <c r="CV56" s="37" t="s">
        <v>323</v>
      </c>
      <c r="CW56" s="37" t="s">
        <v>277</v>
      </c>
      <c r="CX56" s="37" t="s">
        <v>277</v>
      </c>
      <c r="CY56" s="37">
        <v>0</v>
      </c>
      <c r="CZ56" s="123" t="s">
        <v>277</v>
      </c>
      <c r="DA56" s="123" t="s">
        <v>277</v>
      </c>
      <c r="DB56" s="37" t="s">
        <v>509</v>
      </c>
      <c r="DC56" s="37" t="s">
        <v>510</v>
      </c>
      <c r="DD56" s="68">
        <v>0</v>
      </c>
      <c r="DE56" s="68">
        <v>0</v>
      </c>
      <c r="DF56" s="68">
        <v>0</v>
      </c>
      <c r="DG56" s="68">
        <v>0</v>
      </c>
      <c r="DH56" s="68">
        <v>0</v>
      </c>
      <c r="DI56" s="68">
        <v>0</v>
      </c>
      <c r="DJ56" s="68">
        <v>0</v>
      </c>
      <c r="DK56" s="68">
        <v>0</v>
      </c>
      <c r="DL56" s="68">
        <v>0</v>
      </c>
      <c r="DM56" s="68">
        <v>0</v>
      </c>
      <c r="DN56" s="68">
        <f>17534203557-9007246672</f>
        <v>8526956885</v>
      </c>
      <c r="DO56" s="68">
        <v>0</v>
      </c>
      <c r="DP56" s="68">
        <f>SUM(DD56:DO56)</f>
        <v>8526956885</v>
      </c>
      <c r="DQ56" s="68">
        <f>DP56-AB56</f>
        <v>0</v>
      </c>
      <c r="DR56" s="68">
        <f>$DD56</f>
        <v>0</v>
      </c>
      <c r="DS56" s="68">
        <f>DR56+DE56</f>
        <v>0</v>
      </c>
      <c r="DT56" s="68">
        <f>DS56+DF56</f>
        <v>0</v>
      </c>
      <c r="DU56" s="68">
        <f>DT56+DG56</f>
        <v>0</v>
      </c>
      <c r="DV56" s="68">
        <f>DU56+DH56</f>
        <v>0</v>
      </c>
      <c r="DW56" s="68">
        <f>DV56+DI56</f>
        <v>0</v>
      </c>
      <c r="DX56" s="68">
        <f>DW56+DJ56</f>
        <v>0</v>
      </c>
      <c r="DY56" s="68">
        <f>DX56+DK56</f>
        <v>0</v>
      </c>
      <c r="DZ56" s="68">
        <f>DY56+DL56</f>
        <v>0</v>
      </c>
      <c r="EA56" s="68">
        <f>DZ56+DM56</f>
        <v>0</v>
      </c>
      <c r="EB56" s="68">
        <f>EA56+DN56</f>
        <v>8526956885</v>
      </c>
      <c r="EC56" s="68">
        <f>EB56+DO56</f>
        <v>8526956885</v>
      </c>
      <c r="ED56" s="68">
        <f>$EC56-$AB56</f>
        <v>0</v>
      </c>
    </row>
    <row r="57" spans="1:134" ht="30">
      <c r="B57" s="159"/>
      <c r="C57" s="160" t="s">
        <v>269</v>
      </c>
      <c r="D57" s="160" t="s">
        <v>270</v>
      </c>
      <c r="E57" s="160"/>
      <c r="F57" s="160" t="s">
        <v>272</v>
      </c>
      <c r="G57" s="160" t="s">
        <v>273</v>
      </c>
      <c r="H57" s="160" t="s">
        <v>151</v>
      </c>
      <c r="I57" s="160" t="s">
        <v>326</v>
      </c>
      <c r="J57" s="160" t="s">
        <v>327</v>
      </c>
      <c r="K57" s="160" t="s">
        <v>277</v>
      </c>
      <c r="L57" s="160" t="s">
        <v>277</v>
      </c>
      <c r="M57" s="160" t="s">
        <v>277</v>
      </c>
      <c r="N57" s="160" t="s">
        <v>277</v>
      </c>
      <c r="O57" s="160" t="s">
        <v>3</v>
      </c>
      <c r="P57" s="160" t="s">
        <v>14</v>
      </c>
      <c r="Q57" s="160" t="s">
        <v>16</v>
      </c>
      <c r="R57" s="158" t="s">
        <v>276</v>
      </c>
      <c r="S57" s="159" t="s">
        <v>277</v>
      </c>
      <c r="T57" s="159" t="s">
        <v>277</v>
      </c>
      <c r="U57" s="160" t="s">
        <v>277</v>
      </c>
      <c r="V57" s="159" t="s">
        <v>277</v>
      </c>
      <c r="W57" s="159" t="s">
        <v>277</v>
      </c>
      <c r="X57" s="161" t="s">
        <v>730</v>
      </c>
      <c r="Y57" s="159"/>
      <c r="Z57" s="159"/>
      <c r="AA57" s="159"/>
      <c r="AB57" s="159"/>
      <c r="AC57" s="159"/>
      <c r="AD57" s="159"/>
      <c r="AE57" s="155">
        <v>21136806196</v>
      </c>
      <c r="AF57" s="155">
        <v>6341041859</v>
      </c>
      <c r="AG57" s="155"/>
      <c r="AH57" s="121">
        <f>AF57-AG57</f>
        <v>6341041859</v>
      </c>
      <c r="AI57" s="159" t="s">
        <v>731</v>
      </c>
      <c r="AJ57" s="206"/>
      <c r="AK57" s="206"/>
      <c r="AL57" s="161"/>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159"/>
      <c r="BS57" s="159"/>
      <c r="BT57" s="159"/>
      <c r="BU57" s="159"/>
      <c r="BV57" s="159"/>
      <c r="BW57" s="155">
        <v>0</v>
      </c>
      <c r="BX57" s="155">
        <v>0</v>
      </c>
      <c r="BY57" s="155">
        <v>0</v>
      </c>
      <c r="BZ57" s="155">
        <v>0</v>
      </c>
      <c r="CA57" s="155">
        <v>0</v>
      </c>
      <c r="CB57" s="155">
        <v>0</v>
      </c>
      <c r="CC57" s="155">
        <v>0</v>
      </c>
      <c r="CD57" s="155">
        <v>0</v>
      </c>
      <c r="CE57" s="155">
        <v>6341041859</v>
      </c>
      <c r="CF57" s="156">
        <f>SUM(BT57:CE57)</f>
        <v>6341041859</v>
      </c>
      <c r="CG57" s="156">
        <f>$CF57-$AF57</f>
        <v>0</v>
      </c>
      <c r="CH57" s="160" t="s">
        <v>289</v>
      </c>
      <c r="CI57" s="160" t="s">
        <v>290</v>
      </c>
      <c r="CJ57" s="158" t="s">
        <v>277</v>
      </c>
      <c r="CK57" s="160" t="s">
        <v>290</v>
      </c>
      <c r="CL57" s="158" t="s">
        <v>277</v>
      </c>
      <c r="CM57" s="158" t="s">
        <v>277</v>
      </c>
      <c r="CN57" s="158" t="s">
        <v>290</v>
      </c>
      <c r="CO57" s="158" t="s">
        <v>277</v>
      </c>
      <c r="CP57" s="158" t="s">
        <v>277</v>
      </c>
      <c r="CQ57" s="158" t="s">
        <v>277</v>
      </c>
      <c r="CR57" s="158" t="s">
        <v>293</v>
      </c>
      <c r="CS57" s="158" t="s">
        <v>322</v>
      </c>
      <c r="CT57" s="158" t="s">
        <v>295</v>
      </c>
      <c r="CU57" s="158" t="s">
        <v>296</v>
      </c>
      <c r="CV57" s="158" t="s">
        <v>323</v>
      </c>
      <c r="CW57" s="158" t="s">
        <v>277</v>
      </c>
      <c r="CX57" s="158" t="s">
        <v>277</v>
      </c>
      <c r="CY57" s="158" t="s">
        <v>277</v>
      </c>
      <c r="CZ57" s="158" t="s">
        <v>277</v>
      </c>
      <c r="DA57" s="158" t="s">
        <v>277</v>
      </c>
      <c r="DB57" s="158" t="s">
        <v>277</v>
      </c>
      <c r="DC57" s="158" t="s">
        <v>277</v>
      </c>
      <c r="DD57" s="159"/>
      <c r="DE57" s="159"/>
      <c r="DF57" s="159"/>
      <c r="DG57" s="159"/>
      <c r="DH57" s="159"/>
      <c r="DI57" s="159"/>
      <c r="DJ57" s="159"/>
      <c r="DK57" s="159"/>
      <c r="DL57" s="159"/>
      <c r="DM57" s="159"/>
      <c r="DN57" s="159"/>
      <c r="DO57" s="159"/>
      <c r="DP57" s="159"/>
      <c r="DQ57" s="159"/>
      <c r="DR57" s="159"/>
      <c r="DS57" s="159"/>
      <c r="DT57" s="159"/>
      <c r="DU57" s="159"/>
      <c r="DV57" s="159"/>
      <c r="DW57" s="159"/>
      <c r="DX57" s="159"/>
      <c r="DY57" s="159"/>
      <c r="DZ57" s="159"/>
      <c r="EA57" s="159"/>
      <c r="EB57" s="159"/>
      <c r="EC57" s="159"/>
      <c r="ED57" s="159"/>
    </row>
    <row r="58" spans="1:134" ht="30">
      <c r="A58" s="74"/>
      <c r="B58" s="50">
        <v>123</v>
      </c>
      <c r="C58" s="50" t="s">
        <v>269</v>
      </c>
      <c r="D58" s="50" t="s">
        <v>297</v>
      </c>
      <c r="E58" s="50"/>
      <c r="F58" s="50" t="s">
        <v>272</v>
      </c>
      <c r="G58" s="50" t="s">
        <v>273</v>
      </c>
      <c r="H58" s="37" t="s">
        <v>151</v>
      </c>
      <c r="I58" s="37" t="s">
        <v>732</v>
      </c>
      <c r="J58" s="37" t="s">
        <v>675</v>
      </c>
      <c r="K58" s="50" t="s">
        <v>3</v>
      </c>
      <c r="L58" s="50" t="s">
        <v>14</v>
      </c>
      <c r="M58" s="50" t="s">
        <v>16</v>
      </c>
      <c r="N58" s="50" t="s">
        <v>276</v>
      </c>
      <c r="O58" s="37" t="s">
        <v>3</v>
      </c>
      <c r="P58" s="91" t="s">
        <v>14</v>
      </c>
      <c r="Q58" s="91" t="s">
        <v>16</v>
      </c>
      <c r="R58" s="37" t="s">
        <v>276</v>
      </c>
      <c r="S58" s="50" t="s">
        <v>733</v>
      </c>
      <c r="T58" s="50" t="s">
        <v>734</v>
      </c>
      <c r="U58" s="50" t="s">
        <v>735</v>
      </c>
      <c r="V58" s="56" t="s">
        <v>736</v>
      </c>
      <c r="W58" s="56" t="s">
        <v>736</v>
      </c>
      <c r="X58" s="38" t="s">
        <v>736</v>
      </c>
      <c r="Y58" s="60">
        <v>9100000000</v>
      </c>
      <c r="Z58" s="60">
        <v>6244622223</v>
      </c>
      <c r="AA58" s="60"/>
      <c r="AB58" s="60">
        <f>Z58+AA58</f>
        <v>6244622223</v>
      </c>
      <c r="AC58" s="61"/>
      <c r="AD58" s="61"/>
      <c r="AE58" s="107">
        <v>9100000000</v>
      </c>
      <c r="AF58" s="109">
        <v>6244622223</v>
      </c>
      <c r="AG58" s="108">
        <f>$AR58+$AZ58+$BQ58+$BT58+$BU58+$BV58</f>
        <v>0</v>
      </c>
      <c r="AH58" s="121">
        <f>AF58-AG58</f>
        <v>6244622223</v>
      </c>
      <c r="AI58" s="39" t="s">
        <v>277</v>
      </c>
      <c r="AJ58" s="200"/>
      <c r="AK58" s="200"/>
      <c r="AL58" s="39"/>
      <c r="AM58" s="68"/>
      <c r="AN58" s="68"/>
      <c r="AO58" s="68"/>
      <c r="AP58" s="68"/>
      <c r="AQ58" s="68">
        <v>0</v>
      </c>
      <c r="AR58" s="68">
        <v>0</v>
      </c>
      <c r="AS58" s="68" t="s">
        <v>307</v>
      </c>
      <c r="AT58" s="68"/>
      <c r="AU58" s="69" t="s">
        <v>277</v>
      </c>
      <c r="AV58" s="69" t="s">
        <v>277</v>
      </c>
      <c r="AW58" s="69" t="s">
        <v>277</v>
      </c>
      <c r="AX58" s="69"/>
      <c r="AY58" s="68">
        <v>0</v>
      </c>
      <c r="AZ58" s="68">
        <v>0</v>
      </c>
      <c r="BA58" s="68" t="s">
        <v>307</v>
      </c>
      <c r="BB58" s="68"/>
      <c r="BC58" s="69" t="s">
        <v>737</v>
      </c>
      <c r="BD58" s="69" t="s">
        <v>277</v>
      </c>
      <c r="BE58" s="56" t="s">
        <v>277</v>
      </c>
      <c r="BF58" s="56" t="s">
        <v>277</v>
      </c>
      <c r="BG58" s="56" t="s">
        <v>277</v>
      </c>
      <c r="BH58" s="56" t="s">
        <v>277</v>
      </c>
      <c r="BI58" s="69">
        <v>0</v>
      </c>
      <c r="BJ58" s="69">
        <v>0</v>
      </c>
      <c r="BK58" s="69">
        <v>0</v>
      </c>
      <c r="BL58" s="69">
        <v>0</v>
      </c>
      <c r="BM58" s="69">
        <v>0</v>
      </c>
      <c r="BN58" s="69">
        <v>0</v>
      </c>
      <c r="BO58" s="69">
        <v>0</v>
      </c>
      <c r="BP58" s="69">
        <v>0</v>
      </c>
      <c r="BQ58" s="69"/>
      <c r="BR58" s="69" t="s">
        <v>156</v>
      </c>
      <c r="BS58" s="69" t="s">
        <v>738</v>
      </c>
      <c r="BT58" s="68">
        <v>0</v>
      </c>
      <c r="BU58" s="68">
        <v>0</v>
      </c>
      <c r="BV58" s="68"/>
      <c r="BW58" s="94">
        <v>0</v>
      </c>
      <c r="BX58" s="94">
        <v>0</v>
      </c>
      <c r="BY58" s="94">
        <v>0</v>
      </c>
      <c r="BZ58" s="94">
        <v>0</v>
      </c>
      <c r="CA58" s="94">
        <v>0</v>
      </c>
      <c r="CB58" s="109">
        <v>0</v>
      </c>
      <c r="CC58" s="109">
        <v>0</v>
      </c>
      <c r="CD58" s="109">
        <v>0</v>
      </c>
      <c r="CE58" s="109">
        <v>0</v>
      </c>
      <c r="CF58" s="108">
        <f>SUM(BT58:CE58)</f>
        <v>0</v>
      </c>
      <c r="CG58" s="108">
        <f>$CF58-$AF58</f>
        <v>-6244622223</v>
      </c>
      <c r="CH58" s="37" t="s">
        <v>289</v>
      </c>
      <c r="CI58" s="37" t="s">
        <v>290</v>
      </c>
      <c r="CJ58" s="37" t="s">
        <v>277</v>
      </c>
      <c r="CK58" s="37" t="s">
        <v>290</v>
      </c>
      <c r="CL58" s="37" t="s">
        <v>277</v>
      </c>
      <c r="CM58" s="37" t="s">
        <v>277</v>
      </c>
      <c r="CN58" s="37" t="s">
        <v>290</v>
      </c>
      <c r="CO58" s="37" t="s">
        <v>739</v>
      </c>
      <c r="CP58" s="41">
        <v>46023</v>
      </c>
      <c r="CQ58" s="41">
        <v>47058</v>
      </c>
      <c r="CR58" s="37" t="s">
        <v>293</v>
      </c>
      <c r="CS58" s="37" t="s">
        <v>454</v>
      </c>
      <c r="CT58" s="37" t="s">
        <v>295</v>
      </c>
      <c r="CU58" s="37" t="s">
        <v>296</v>
      </c>
      <c r="CV58" s="37" t="s">
        <v>323</v>
      </c>
      <c r="CW58" s="37" t="s">
        <v>277</v>
      </c>
      <c r="CX58" s="37" t="s">
        <v>277</v>
      </c>
      <c r="CY58" s="37">
        <v>0</v>
      </c>
      <c r="CZ58" s="123" t="s">
        <v>277</v>
      </c>
      <c r="DA58" s="123" t="s">
        <v>277</v>
      </c>
      <c r="DB58" s="37" t="s">
        <v>277</v>
      </c>
      <c r="DC58" s="37" t="s">
        <v>455</v>
      </c>
      <c r="DD58" s="68">
        <v>0</v>
      </c>
      <c r="DE58" s="68">
        <v>0</v>
      </c>
      <c r="DF58" s="68">
        <v>0</v>
      </c>
      <c r="DG58" s="68">
        <v>0</v>
      </c>
      <c r="DH58" s="68">
        <v>0</v>
      </c>
      <c r="DI58" s="68">
        <v>0</v>
      </c>
      <c r="DJ58" s="68">
        <v>0</v>
      </c>
      <c r="DK58" s="68">
        <v>0</v>
      </c>
      <c r="DL58" s="68">
        <v>0</v>
      </c>
      <c r="DM58" s="68">
        <v>0</v>
      </c>
      <c r="DN58" s="68">
        <v>2850415739</v>
      </c>
      <c r="DO58" s="68">
        <v>3394206484</v>
      </c>
      <c r="DP58" s="68">
        <f>SUM(DD58:DO58)</f>
        <v>6244622223</v>
      </c>
      <c r="DQ58" s="68">
        <f>DP58-AB58</f>
        <v>0</v>
      </c>
      <c r="DR58" s="68">
        <f>$DD58</f>
        <v>0</v>
      </c>
      <c r="DS58" s="68">
        <f>DR58+DE58</f>
        <v>0</v>
      </c>
      <c r="DT58" s="68">
        <f>DS58+DF58</f>
        <v>0</v>
      </c>
      <c r="DU58" s="68">
        <f>DT58+DG58</f>
        <v>0</v>
      </c>
      <c r="DV58" s="68">
        <f>DU58+DH58</f>
        <v>0</v>
      </c>
      <c r="DW58" s="68">
        <f>DV58+DI58</f>
        <v>0</v>
      </c>
      <c r="DX58" s="68">
        <f>DW58+DJ58</f>
        <v>0</v>
      </c>
      <c r="DY58" s="68">
        <f>DX58+DK58</f>
        <v>0</v>
      </c>
      <c r="DZ58" s="68">
        <f>DY58+DL58</f>
        <v>0</v>
      </c>
      <c r="EA58" s="68">
        <f>DZ58+DM58</f>
        <v>0</v>
      </c>
      <c r="EB58" s="68">
        <f>EA58+DN58</f>
        <v>2850415739</v>
      </c>
      <c r="EC58" s="68">
        <f>EB58+DO58</f>
        <v>6244622223</v>
      </c>
      <c r="ED58" s="68">
        <f>$EC58-$AB58</f>
        <v>0</v>
      </c>
    </row>
    <row r="59" spans="1:134" ht="45">
      <c r="A59" s="74"/>
      <c r="B59" s="50">
        <v>76</v>
      </c>
      <c r="C59" s="50" t="s">
        <v>269</v>
      </c>
      <c r="D59" s="50" t="s">
        <v>297</v>
      </c>
      <c r="E59" s="50"/>
      <c r="F59" s="50" t="s">
        <v>272</v>
      </c>
      <c r="G59" s="50" t="s">
        <v>273</v>
      </c>
      <c r="H59" s="37" t="s">
        <v>151</v>
      </c>
      <c r="I59" s="37" t="s">
        <v>702</v>
      </c>
      <c r="J59" s="37" t="s">
        <v>740</v>
      </c>
      <c r="K59" s="50" t="s">
        <v>3</v>
      </c>
      <c r="L59" s="50" t="s">
        <v>14</v>
      </c>
      <c r="M59" s="50" t="s">
        <v>16</v>
      </c>
      <c r="N59" s="50" t="s">
        <v>276</v>
      </c>
      <c r="O59" s="37" t="s">
        <v>3</v>
      </c>
      <c r="P59" s="37" t="s">
        <v>14</v>
      </c>
      <c r="Q59" s="37" t="s">
        <v>16</v>
      </c>
      <c r="R59" s="37" t="s">
        <v>276</v>
      </c>
      <c r="S59" s="50" t="s">
        <v>741</v>
      </c>
      <c r="T59" s="50" t="s">
        <v>742</v>
      </c>
      <c r="U59" s="50" t="s">
        <v>743</v>
      </c>
      <c r="V59" s="56" t="s">
        <v>744</v>
      </c>
      <c r="W59" s="56" t="s">
        <v>744</v>
      </c>
      <c r="X59" s="38" t="s">
        <v>744</v>
      </c>
      <c r="Y59" s="60">
        <v>32500000000</v>
      </c>
      <c r="Z59" s="60">
        <v>2760599700</v>
      </c>
      <c r="AA59" s="60"/>
      <c r="AB59" s="60">
        <f>Z59+AA59</f>
        <v>2760599700</v>
      </c>
      <c r="AC59" s="61"/>
      <c r="AD59" s="61"/>
      <c r="AE59" s="109">
        <v>32500000000</v>
      </c>
      <c r="AF59" s="109">
        <v>6211349319</v>
      </c>
      <c r="AG59" s="108">
        <f>$AR59+$AZ59+$BQ59+$BT59+$BU59+$BV59</f>
        <v>0</v>
      </c>
      <c r="AH59" s="121">
        <f>AF59-AG59</f>
        <v>6211349319</v>
      </c>
      <c r="AI59" s="39" t="s">
        <v>745</v>
      </c>
      <c r="AJ59" s="198"/>
      <c r="AK59" s="198"/>
      <c r="AL59" s="42"/>
      <c r="AM59" s="68"/>
      <c r="AN59" s="68"/>
      <c r="AO59" s="68"/>
      <c r="AP59" s="68"/>
      <c r="AQ59" s="68">
        <v>0</v>
      </c>
      <c r="AR59" s="68">
        <v>0</v>
      </c>
      <c r="AS59" s="68" t="s">
        <v>307</v>
      </c>
      <c r="AT59" s="68"/>
      <c r="AU59" s="69" t="s">
        <v>277</v>
      </c>
      <c r="AV59" s="69" t="s">
        <v>277</v>
      </c>
      <c r="AW59" s="69" t="s">
        <v>277</v>
      </c>
      <c r="AX59" s="69"/>
      <c r="AY59" s="68">
        <v>0</v>
      </c>
      <c r="AZ59" s="68">
        <v>0</v>
      </c>
      <c r="BA59" s="68" t="s">
        <v>307</v>
      </c>
      <c r="BB59" s="68"/>
      <c r="BC59" s="69" t="s">
        <v>746</v>
      </c>
      <c r="BD59" s="69" t="s">
        <v>277</v>
      </c>
      <c r="BE59" s="56" t="s">
        <v>277</v>
      </c>
      <c r="BF59" s="56" t="s">
        <v>277</v>
      </c>
      <c r="BG59" s="56" t="s">
        <v>277</v>
      </c>
      <c r="BH59" s="56" t="s">
        <v>277</v>
      </c>
      <c r="BI59" s="69">
        <v>0</v>
      </c>
      <c r="BJ59" s="69">
        <v>0</v>
      </c>
      <c r="BK59" s="69">
        <v>0</v>
      </c>
      <c r="BL59" s="69">
        <v>0</v>
      </c>
      <c r="BM59" s="69">
        <v>0</v>
      </c>
      <c r="BN59" s="69">
        <v>0</v>
      </c>
      <c r="BO59" s="69">
        <v>0</v>
      </c>
      <c r="BP59" s="69">
        <v>0</v>
      </c>
      <c r="BQ59" s="69"/>
      <c r="BR59" s="69" t="s">
        <v>382</v>
      </c>
      <c r="BS59" s="69" t="s">
        <v>747</v>
      </c>
      <c r="BT59" s="68">
        <v>0</v>
      </c>
      <c r="BU59" s="68">
        <v>0</v>
      </c>
      <c r="BV59" s="68">
        <v>0</v>
      </c>
      <c r="BW59" s="94">
        <v>0</v>
      </c>
      <c r="BX59" s="94">
        <v>0</v>
      </c>
      <c r="BY59" s="94">
        <v>0</v>
      </c>
      <c r="BZ59" s="94">
        <v>6211349319</v>
      </c>
      <c r="CA59" s="94">
        <v>0</v>
      </c>
      <c r="CB59" s="94">
        <v>0</v>
      </c>
      <c r="CC59" s="94">
        <v>0</v>
      </c>
      <c r="CD59" s="94">
        <v>0</v>
      </c>
      <c r="CE59" s="94">
        <v>0</v>
      </c>
      <c r="CF59" s="108">
        <f>SUM(BT59:CE59)</f>
        <v>6211349319</v>
      </c>
      <c r="CG59" s="108">
        <f>$CF59-$AF59</f>
        <v>0</v>
      </c>
      <c r="CH59" s="37" t="s">
        <v>289</v>
      </c>
      <c r="CI59" s="37" t="s">
        <v>290</v>
      </c>
      <c r="CJ59" s="37" t="s">
        <v>277</v>
      </c>
      <c r="CK59" s="37" t="s">
        <v>290</v>
      </c>
      <c r="CL59" s="37" t="s">
        <v>277</v>
      </c>
      <c r="CM59" s="37" t="s">
        <v>277</v>
      </c>
      <c r="CN59" s="37" t="s">
        <v>290</v>
      </c>
      <c r="CO59" s="37" t="s">
        <v>497</v>
      </c>
      <c r="CP59" s="41">
        <v>45292</v>
      </c>
      <c r="CQ59" s="41">
        <v>45748</v>
      </c>
      <c r="CR59" s="37" t="s">
        <v>293</v>
      </c>
      <c r="CS59" s="37" t="s">
        <v>322</v>
      </c>
      <c r="CT59" s="37" t="s">
        <v>295</v>
      </c>
      <c r="CU59" s="37" t="s">
        <v>341</v>
      </c>
      <c r="CV59" s="37" t="s">
        <v>382</v>
      </c>
      <c r="CW59" s="37" t="s">
        <v>748</v>
      </c>
      <c r="CX59" s="37" t="s">
        <v>744</v>
      </c>
      <c r="CY59" s="37">
        <v>32500000000</v>
      </c>
      <c r="CZ59" s="123">
        <v>45383</v>
      </c>
      <c r="DA59" s="123">
        <v>46478</v>
      </c>
      <c r="DB59" s="37" t="s">
        <v>277</v>
      </c>
      <c r="DC59" s="37" t="s">
        <v>749</v>
      </c>
      <c r="DD59" s="68">
        <v>0</v>
      </c>
      <c r="DE59" s="68">
        <v>0</v>
      </c>
      <c r="DF59" s="68">
        <v>2760599700</v>
      </c>
      <c r="DG59" s="68">
        <v>0</v>
      </c>
      <c r="DH59" s="68">
        <v>0</v>
      </c>
      <c r="DI59" s="68">
        <v>0</v>
      </c>
      <c r="DJ59" s="68">
        <v>0</v>
      </c>
      <c r="DK59" s="68">
        <v>0</v>
      </c>
      <c r="DL59" s="68">
        <v>0</v>
      </c>
      <c r="DM59" s="68">
        <v>0</v>
      </c>
      <c r="DN59" s="68">
        <v>0</v>
      </c>
      <c r="DO59" s="68">
        <v>0</v>
      </c>
      <c r="DP59" s="68">
        <f>SUM(DD59:DO59)</f>
        <v>2760599700</v>
      </c>
      <c r="DQ59" s="68">
        <f>DP59-AB59</f>
        <v>0</v>
      </c>
      <c r="DR59" s="68">
        <f>$DD59</f>
        <v>0</v>
      </c>
      <c r="DS59" s="68">
        <f>DR59+DE59</f>
        <v>0</v>
      </c>
      <c r="DT59" s="68">
        <f>DS59+DF59</f>
        <v>2760599700</v>
      </c>
      <c r="DU59" s="68">
        <f>DT59+DG59</f>
        <v>2760599700</v>
      </c>
      <c r="DV59" s="68">
        <f>DU59+DH59</f>
        <v>2760599700</v>
      </c>
      <c r="DW59" s="68">
        <f>DV59+DI59</f>
        <v>2760599700</v>
      </c>
      <c r="DX59" s="68">
        <f>DW59+DJ59</f>
        <v>2760599700</v>
      </c>
      <c r="DY59" s="68">
        <f>DX59+DK59</f>
        <v>2760599700</v>
      </c>
      <c r="DZ59" s="68">
        <f>DY59+DL59</f>
        <v>2760599700</v>
      </c>
      <c r="EA59" s="68">
        <f>DZ59+DM59</f>
        <v>2760599700</v>
      </c>
      <c r="EB59" s="68">
        <f>EA59+DN59</f>
        <v>2760599700</v>
      </c>
      <c r="EC59" s="68">
        <f>EB59+DO59</f>
        <v>2760599700</v>
      </c>
      <c r="ED59" s="68">
        <f>$EC59-$AB59</f>
        <v>0</v>
      </c>
    </row>
    <row r="60" spans="1:134" ht="30">
      <c r="A60" s="74"/>
      <c r="B60" s="50">
        <v>128</v>
      </c>
      <c r="C60" s="50" t="s">
        <v>269</v>
      </c>
      <c r="D60" s="50" t="s">
        <v>297</v>
      </c>
      <c r="E60" s="50"/>
      <c r="F60" s="50" t="s">
        <v>272</v>
      </c>
      <c r="G60" s="50" t="s">
        <v>273</v>
      </c>
      <c r="H60" s="37" t="s">
        <v>151</v>
      </c>
      <c r="I60" s="37" t="s">
        <v>750</v>
      </c>
      <c r="J60" s="37" t="s">
        <v>751</v>
      </c>
      <c r="K60" s="50" t="s">
        <v>3</v>
      </c>
      <c r="L60" s="50" t="s">
        <v>14</v>
      </c>
      <c r="M60" s="50" t="s">
        <v>16</v>
      </c>
      <c r="N60" s="50" t="s">
        <v>276</v>
      </c>
      <c r="O60" s="37" t="s">
        <v>3</v>
      </c>
      <c r="P60" s="37" t="s">
        <v>14</v>
      </c>
      <c r="Q60" s="37" t="s">
        <v>16</v>
      </c>
      <c r="R60" s="37" t="s">
        <v>276</v>
      </c>
      <c r="S60" s="50" t="s">
        <v>752</v>
      </c>
      <c r="T60" s="50" t="s">
        <v>753</v>
      </c>
      <c r="U60" s="50" t="s">
        <v>754</v>
      </c>
      <c r="V60" s="56" t="s">
        <v>755</v>
      </c>
      <c r="W60" s="56" t="s">
        <v>755</v>
      </c>
      <c r="X60" s="38" t="s">
        <v>755</v>
      </c>
      <c r="Y60" s="60">
        <v>32500000000</v>
      </c>
      <c r="Z60" s="60">
        <v>9149261042</v>
      </c>
      <c r="AA60" s="60"/>
      <c r="AB60" s="60">
        <f>Z60+AA60</f>
        <v>9149261042</v>
      </c>
      <c r="AC60" s="61"/>
      <c r="AD60" s="61"/>
      <c r="AE60" s="111">
        <v>32500000000</v>
      </c>
      <c r="AF60" s="109">
        <v>6211349319</v>
      </c>
      <c r="AG60" s="108">
        <f>$AR60+$AZ60+$BQ60+$BT60+$BU60+$BV60</f>
        <v>0</v>
      </c>
      <c r="AH60" s="121">
        <f>AF60-AG60</f>
        <v>6211349319</v>
      </c>
      <c r="AI60" s="39" t="s">
        <v>756</v>
      </c>
      <c r="AJ60" s="198"/>
      <c r="AK60" s="198"/>
      <c r="AL60" s="42"/>
      <c r="AM60" s="68"/>
      <c r="AN60" s="68"/>
      <c r="AO60" s="68"/>
      <c r="AP60" s="68"/>
      <c r="AQ60" s="68">
        <v>0</v>
      </c>
      <c r="AR60" s="68">
        <v>0</v>
      </c>
      <c r="AS60" s="68" t="s">
        <v>307</v>
      </c>
      <c r="AT60" s="68"/>
      <c r="AU60" s="69" t="s">
        <v>277</v>
      </c>
      <c r="AV60" s="69" t="s">
        <v>277</v>
      </c>
      <c r="AW60" s="69" t="s">
        <v>277</v>
      </c>
      <c r="AX60" s="69"/>
      <c r="AY60" s="68">
        <v>0</v>
      </c>
      <c r="AZ60" s="68">
        <v>0</v>
      </c>
      <c r="BA60" s="68" t="s">
        <v>307</v>
      </c>
      <c r="BB60" s="68"/>
      <c r="BC60" s="69" t="s">
        <v>757</v>
      </c>
      <c r="BD60" s="69" t="s">
        <v>277</v>
      </c>
      <c r="BE60" s="56" t="s">
        <v>277</v>
      </c>
      <c r="BF60" s="56" t="s">
        <v>277</v>
      </c>
      <c r="BG60" s="56" t="s">
        <v>277</v>
      </c>
      <c r="BH60" s="56" t="s">
        <v>277</v>
      </c>
      <c r="BI60" s="69">
        <v>0</v>
      </c>
      <c r="BJ60" s="69">
        <v>0</v>
      </c>
      <c r="BK60" s="69">
        <v>0</v>
      </c>
      <c r="BL60" s="69">
        <v>0</v>
      </c>
      <c r="BM60" s="69">
        <v>0</v>
      </c>
      <c r="BN60" s="69">
        <v>0</v>
      </c>
      <c r="BO60" s="69">
        <v>0</v>
      </c>
      <c r="BP60" s="69">
        <v>0</v>
      </c>
      <c r="BQ60" s="69"/>
      <c r="BR60" s="69" t="s">
        <v>382</v>
      </c>
      <c r="BS60" s="69" t="s">
        <v>758</v>
      </c>
      <c r="BT60" s="68">
        <v>0</v>
      </c>
      <c r="BU60" s="68">
        <v>0</v>
      </c>
      <c r="BV60" s="68">
        <v>0</v>
      </c>
      <c r="BW60" s="94">
        <v>0</v>
      </c>
      <c r="BX60" s="94">
        <v>0</v>
      </c>
      <c r="BY60" s="94">
        <v>0</v>
      </c>
      <c r="BZ60" s="94">
        <v>0</v>
      </c>
      <c r="CA60" s="94">
        <v>0</v>
      </c>
      <c r="CB60" s="109">
        <v>6211349319</v>
      </c>
      <c r="CC60" s="94">
        <v>0</v>
      </c>
      <c r="CD60" s="94">
        <v>0</v>
      </c>
      <c r="CE60" s="94">
        <v>0</v>
      </c>
      <c r="CF60" s="108">
        <f>SUM(BT60:CE60)</f>
        <v>6211349319</v>
      </c>
      <c r="CG60" s="108">
        <f>$CF60-$AF60</f>
        <v>0</v>
      </c>
      <c r="CH60" s="37" t="s">
        <v>289</v>
      </c>
      <c r="CI60" s="37" t="s">
        <v>290</v>
      </c>
      <c r="CJ60" s="37" t="s">
        <v>277</v>
      </c>
      <c r="CK60" s="37" t="s">
        <v>290</v>
      </c>
      <c r="CL60" s="37" t="s">
        <v>277</v>
      </c>
      <c r="CM60" s="37" t="s">
        <v>277</v>
      </c>
      <c r="CN60" s="37" t="s">
        <v>290</v>
      </c>
      <c r="CO60" s="37" t="s">
        <v>732</v>
      </c>
      <c r="CP60" s="41">
        <v>46023</v>
      </c>
      <c r="CQ60" s="41">
        <v>46387</v>
      </c>
      <c r="CR60" s="37" t="s">
        <v>293</v>
      </c>
      <c r="CS60" s="37" t="s">
        <v>322</v>
      </c>
      <c r="CT60" s="37" t="s">
        <v>295</v>
      </c>
      <c r="CU60" s="37" t="s">
        <v>341</v>
      </c>
      <c r="CV60" s="37" t="s">
        <v>382</v>
      </c>
      <c r="CW60" s="37">
        <v>4200003803</v>
      </c>
      <c r="CX60" s="37" t="s">
        <v>759</v>
      </c>
      <c r="CY60" s="37">
        <v>32500000000</v>
      </c>
      <c r="CZ60" s="123">
        <v>45292</v>
      </c>
      <c r="DA60" s="123">
        <v>46388</v>
      </c>
      <c r="DB60" s="37" t="s">
        <v>277</v>
      </c>
      <c r="DC60" s="37" t="s">
        <v>749</v>
      </c>
      <c r="DD60" s="68">
        <v>0</v>
      </c>
      <c r="DE60" s="68">
        <v>0</v>
      </c>
      <c r="DF60" s="68">
        <v>9149261042</v>
      </c>
      <c r="DG60" s="68">
        <v>0</v>
      </c>
      <c r="DH60" s="68">
        <v>0</v>
      </c>
      <c r="DI60" s="68">
        <v>0</v>
      </c>
      <c r="DJ60" s="68">
        <v>0</v>
      </c>
      <c r="DK60" s="68">
        <v>0</v>
      </c>
      <c r="DL60" s="68">
        <v>0</v>
      </c>
      <c r="DM60" s="68">
        <v>0</v>
      </c>
      <c r="DN60" s="68">
        <v>0</v>
      </c>
      <c r="DO60" s="68">
        <v>0</v>
      </c>
      <c r="DP60" s="68">
        <f>SUM(DD60:DO60)</f>
        <v>9149261042</v>
      </c>
      <c r="DQ60" s="68">
        <f>DP60-AB60</f>
        <v>0</v>
      </c>
      <c r="DR60" s="68">
        <f>$DD60</f>
        <v>0</v>
      </c>
      <c r="DS60" s="68">
        <f>DR60+DE60</f>
        <v>0</v>
      </c>
      <c r="DT60" s="68">
        <f>DS60+DF60</f>
        <v>9149261042</v>
      </c>
      <c r="DU60" s="68">
        <f>DT60+DG60</f>
        <v>9149261042</v>
      </c>
      <c r="DV60" s="68">
        <f>DU60+DH60</f>
        <v>9149261042</v>
      </c>
      <c r="DW60" s="68">
        <f>DV60+DI60</f>
        <v>9149261042</v>
      </c>
      <c r="DX60" s="68">
        <f>DW60+DJ60</f>
        <v>9149261042</v>
      </c>
      <c r="DY60" s="68">
        <f>DX60+DK60</f>
        <v>9149261042</v>
      </c>
      <c r="DZ60" s="68">
        <f>DY60+DL60</f>
        <v>9149261042</v>
      </c>
      <c r="EA60" s="68">
        <f>DZ60+DM60</f>
        <v>9149261042</v>
      </c>
      <c r="EB60" s="68">
        <f>EA60+DN60</f>
        <v>9149261042</v>
      </c>
      <c r="EC60" s="68">
        <f>EB60+DO60</f>
        <v>9149261042</v>
      </c>
      <c r="ED60" s="68">
        <f>$EC60-$AB60</f>
        <v>0</v>
      </c>
    </row>
    <row r="61" spans="1:134" ht="45">
      <c r="A61" s="74"/>
      <c r="B61" s="50">
        <v>39</v>
      </c>
      <c r="C61" s="50" t="s">
        <v>269</v>
      </c>
      <c r="D61" s="50" t="s">
        <v>297</v>
      </c>
      <c r="E61" s="50"/>
      <c r="F61" s="50" t="s">
        <v>272</v>
      </c>
      <c r="G61" s="50" t="s">
        <v>273</v>
      </c>
      <c r="H61" s="37" t="s">
        <v>151</v>
      </c>
      <c r="I61" s="37" t="s">
        <v>674</v>
      </c>
      <c r="J61" s="37" t="s">
        <v>675</v>
      </c>
      <c r="K61" s="50" t="s">
        <v>3</v>
      </c>
      <c r="L61" s="50" t="s">
        <v>14</v>
      </c>
      <c r="M61" s="50" t="s">
        <v>16</v>
      </c>
      <c r="N61" s="50" t="s">
        <v>276</v>
      </c>
      <c r="O61" s="37" t="s">
        <v>3</v>
      </c>
      <c r="P61" s="37" t="s">
        <v>14</v>
      </c>
      <c r="Q61" s="37" t="s">
        <v>16</v>
      </c>
      <c r="R61" s="37" t="s">
        <v>276</v>
      </c>
      <c r="S61" s="50" t="s">
        <v>277</v>
      </c>
      <c r="T61" s="50" t="s">
        <v>760</v>
      </c>
      <c r="U61" s="50" t="s">
        <v>761</v>
      </c>
      <c r="V61" s="56" t="s">
        <v>762</v>
      </c>
      <c r="W61" s="56" t="s">
        <v>762</v>
      </c>
      <c r="X61" s="38" t="s">
        <v>762</v>
      </c>
      <c r="Y61" s="60">
        <v>30724000000</v>
      </c>
      <c r="Z61" s="60">
        <v>6144800000</v>
      </c>
      <c r="AA61" s="60">
        <v>-6144800000</v>
      </c>
      <c r="AB61" s="60">
        <f>Z61+AA61</f>
        <v>0</v>
      </c>
      <c r="AC61" s="61" t="s">
        <v>414</v>
      </c>
      <c r="AD61" s="61" t="s">
        <v>763</v>
      </c>
      <c r="AE61" s="107">
        <v>30724000000</v>
      </c>
      <c r="AF61" s="112">
        <v>6144800000</v>
      </c>
      <c r="AG61" s="110">
        <f>$AR61+$AZ61+$BQ61+$BT61+$BU61+$BV61</f>
        <v>0</v>
      </c>
      <c r="AH61" s="121">
        <f>AF61-AG61</f>
        <v>6144800000</v>
      </c>
      <c r="AI61" s="39" t="s">
        <v>764</v>
      </c>
      <c r="AJ61" s="198"/>
      <c r="AK61" s="198"/>
      <c r="AL61" s="42"/>
      <c r="AM61" s="68"/>
      <c r="AN61" s="68"/>
      <c r="AO61" s="68"/>
      <c r="AP61" s="68"/>
      <c r="AQ61" s="68">
        <v>0</v>
      </c>
      <c r="AR61" s="68">
        <v>0</v>
      </c>
      <c r="AS61" s="68" t="s">
        <v>307</v>
      </c>
      <c r="AT61" s="68"/>
      <c r="AU61" s="69" t="s">
        <v>277</v>
      </c>
      <c r="AV61" s="69" t="s">
        <v>277</v>
      </c>
      <c r="AW61" s="69" t="s">
        <v>277</v>
      </c>
      <c r="AX61" s="69"/>
      <c r="AY61" s="68">
        <v>0</v>
      </c>
      <c r="AZ61" s="68">
        <v>0</v>
      </c>
      <c r="BA61" s="68" t="s">
        <v>307</v>
      </c>
      <c r="BB61" s="68"/>
      <c r="BC61" s="69" t="s">
        <v>765</v>
      </c>
      <c r="BD61" s="69" t="s">
        <v>277</v>
      </c>
      <c r="BE61" s="56" t="s">
        <v>277</v>
      </c>
      <c r="BF61" s="56" t="s">
        <v>277</v>
      </c>
      <c r="BG61" s="56" t="s">
        <v>277</v>
      </c>
      <c r="BH61" s="56" t="s">
        <v>277</v>
      </c>
      <c r="BI61" s="69">
        <v>0</v>
      </c>
      <c r="BJ61" s="69">
        <v>0</v>
      </c>
      <c r="BK61" s="69">
        <v>0</v>
      </c>
      <c r="BL61" s="69">
        <v>0</v>
      </c>
      <c r="BM61" s="69">
        <v>0</v>
      </c>
      <c r="BN61" s="69">
        <v>0</v>
      </c>
      <c r="BO61" s="69">
        <v>0</v>
      </c>
      <c r="BP61" s="69">
        <v>0</v>
      </c>
      <c r="BQ61" s="69"/>
      <c r="BR61" s="69" t="s">
        <v>156</v>
      </c>
      <c r="BS61" s="69" t="s">
        <v>766</v>
      </c>
      <c r="BT61" s="68">
        <v>0</v>
      </c>
      <c r="BU61" s="68">
        <v>0</v>
      </c>
      <c r="BV61" s="68">
        <v>0</v>
      </c>
      <c r="BW61" s="94">
        <v>0</v>
      </c>
      <c r="BX61" s="94">
        <v>0</v>
      </c>
      <c r="BY61" s="94">
        <v>0</v>
      </c>
      <c r="BZ61" s="94">
        <v>0</v>
      </c>
      <c r="CA61" s="94">
        <v>0</v>
      </c>
      <c r="CB61" s="109">
        <v>6144800000</v>
      </c>
      <c r="CC61" s="94">
        <v>0</v>
      </c>
      <c r="CD61" s="94">
        <v>0</v>
      </c>
      <c r="CE61" s="94">
        <v>0</v>
      </c>
      <c r="CF61" s="108">
        <f>SUM(BT61:CE61)</f>
        <v>6144800000</v>
      </c>
      <c r="CG61" s="108">
        <f>$CF61-$AF61</f>
        <v>0</v>
      </c>
      <c r="CH61" s="37" t="s">
        <v>421</v>
      </c>
      <c r="CI61" s="37" t="s">
        <v>291</v>
      </c>
      <c r="CJ61" s="37" t="s">
        <v>319</v>
      </c>
      <c r="CK61" s="37" t="s">
        <v>290</v>
      </c>
      <c r="CL61" s="37" t="s">
        <v>277</v>
      </c>
      <c r="CM61" s="37" t="s">
        <v>277</v>
      </c>
      <c r="CN61" s="37" t="s">
        <v>290</v>
      </c>
      <c r="CO61" s="37" t="s">
        <v>568</v>
      </c>
      <c r="CP61" s="41">
        <v>46113</v>
      </c>
      <c r="CQ61" s="41">
        <v>47423</v>
      </c>
      <c r="CR61" s="37" t="s">
        <v>293</v>
      </c>
      <c r="CS61" s="37" t="s">
        <v>322</v>
      </c>
      <c r="CT61" s="37" t="s">
        <v>295</v>
      </c>
      <c r="CU61" s="37" t="s">
        <v>296</v>
      </c>
      <c r="CV61" s="37" t="s">
        <v>384</v>
      </c>
      <c r="CW61" s="37" t="s">
        <v>277</v>
      </c>
      <c r="CX61" s="37" t="s">
        <v>277</v>
      </c>
      <c r="CY61" s="37">
        <v>0</v>
      </c>
      <c r="CZ61" s="123" t="s">
        <v>277</v>
      </c>
      <c r="DA61" s="123" t="s">
        <v>277</v>
      </c>
      <c r="DB61" s="37" t="s">
        <v>277</v>
      </c>
      <c r="DC61" s="37" t="s">
        <v>455</v>
      </c>
      <c r="DD61" s="68">
        <v>0</v>
      </c>
      <c r="DE61" s="68">
        <v>0</v>
      </c>
      <c r="DF61" s="68">
        <v>0</v>
      </c>
      <c r="DG61" s="68">
        <v>0</v>
      </c>
      <c r="DH61" s="68">
        <v>0</v>
      </c>
      <c r="DI61" s="68">
        <v>0</v>
      </c>
      <c r="DJ61" s="68">
        <v>0</v>
      </c>
      <c r="DK61" s="68">
        <v>0</v>
      </c>
      <c r="DL61" s="68">
        <v>0</v>
      </c>
      <c r="DM61" s="68">
        <v>0</v>
      </c>
      <c r="DN61" s="68">
        <v>0</v>
      </c>
      <c r="DO61" s="68">
        <f>6144800000-6144800000</f>
        <v>0</v>
      </c>
      <c r="DP61" s="68">
        <f>SUM(DD61:DO61)</f>
        <v>0</v>
      </c>
      <c r="DQ61" s="68">
        <f>DP61-AB61</f>
        <v>0</v>
      </c>
      <c r="DR61" s="68">
        <f>$DD61</f>
        <v>0</v>
      </c>
      <c r="DS61" s="68">
        <f>DR61+DE61</f>
        <v>0</v>
      </c>
      <c r="DT61" s="68">
        <f>DS61+DF61</f>
        <v>0</v>
      </c>
      <c r="DU61" s="68">
        <f>DT61+DG61</f>
        <v>0</v>
      </c>
      <c r="DV61" s="68">
        <f>DU61+DH61</f>
        <v>0</v>
      </c>
      <c r="DW61" s="68">
        <f>DV61+DI61</f>
        <v>0</v>
      </c>
      <c r="DX61" s="68">
        <f>DW61+DJ61</f>
        <v>0</v>
      </c>
      <c r="DY61" s="68">
        <f>DX61+DK61</f>
        <v>0</v>
      </c>
      <c r="DZ61" s="68">
        <f>DY61+DL61</f>
        <v>0</v>
      </c>
      <c r="EA61" s="68">
        <f>DZ61+DM61</f>
        <v>0</v>
      </c>
      <c r="EB61" s="68">
        <f>EA61+DN61</f>
        <v>0</v>
      </c>
      <c r="EC61" s="68">
        <f>EB61+DO61</f>
        <v>0</v>
      </c>
      <c r="ED61" s="68">
        <f>$EC61-$AB61</f>
        <v>0</v>
      </c>
    </row>
    <row r="62" spans="1:134" ht="30">
      <c r="A62" s="74"/>
      <c r="B62" s="50">
        <v>24</v>
      </c>
      <c r="C62" s="50" t="s">
        <v>269</v>
      </c>
      <c r="D62" s="50" t="s">
        <v>297</v>
      </c>
      <c r="E62" s="50"/>
      <c r="F62" s="50" t="s">
        <v>272</v>
      </c>
      <c r="G62" s="50" t="s">
        <v>273</v>
      </c>
      <c r="H62" s="37" t="s">
        <v>151</v>
      </c>
      <c r="I62" s="37" t="s">
        <v>546</v>
      </c>
      <c r="J62" s="37" t="s">
        <v>767</v>
      </c>
      <c r="K62" s="50" t="s">
        <v>3</v>
      </c>
      <c r="L62" s="50" t="s">
        <v>14</v>
      </c>
      <c r="M62" s="50" t="s">
        <v>27</v>
      </c>
      <c r="N62" s="50" t="s">
        <v>276</v>
      </c>
      <c r="O62" s="37" t="s">
        <v>3</v>
      </c>
      <c r="P62" s="37" t="s">
        <v>14</v>
      </c>
      <c r="Q62" s="37" t="s">
        <v>27</v>
      </c>
      <c r="R62" s="37" t="s">
        <v>276</v>
      </c>
      <c r="S62" s="50" t="s">
        <v>277</v>
      </c>
      <c r="T62" s="50" t="s">
        <v>768</v>
      </c>
      <c r="U62" s="50" t="s">
        <v>769</v>
      </c>
      <c r="V62" s="56" t="s">
        <v>770</v>
      </c>
      <c r="W62" s="56" t="s">
        <v>770</v>
      </c>
      <c r="X62" s="38" t="s">
        <v>770</v>
      </c>
      <c r="Y62" s="60">
        <v>5544000000</v>
      </c>
      <c r="Z62" s="60">
        <v>4435200000</v>
      </c>
      <c r="AA62" s="60">
        <v>-4435200000</v>
      </c>
      <c r="AB62" s="60">
        <f>Z62+AA62</f>
        <v>0</v>
      </c>
      <c r="AC62" s="61" t="s">
        <v>414</v>
      </c>
      <c r="AD62" s="61" t="s">
        <v>771</v>
      </c>
      <c r="AE62" s="112">
        <v>5544000000</v>
      </c>
      <c r="AF62" s="112">
        <v>5544000000</v>
      </c>
      <c r="AG62" s="110">
        <f>$AR62+$AZ62+$BQ62+$BT62+$BU62+$BV62</f>
        <v>0</v>
      </c>
      <c r="AH62" s="121">
        <f>AF62-AG62</f>
        <v>5544000000</v>
      </c>
      <c r="AI62" s="39" t="s">
        <v>772</v>
      </c>
      <c r="AJ62" s="198"/>
      <c r="AK62" s="198"/>
      <c r="AL62" s="42"/>
      <c r="AM62" s="68"/>
      <c r="AN62" s="68"/>
      <c r="AO62" s="68"/>
      <c r="AP62" s="68"/>
      <c r="AQ62" s="68">
        <v>0</v>
      </c>
      <c r="AR62" s="68">
        <v>0</v>
      </c>
      <c r="AS62" s="68" t="s">
        <v>307</v>
      </c>
      <c r="AT62" s="68"/>
      <c r="AU62" s="69" t="s">
        <v>277</v>
      </c>
      <c r="AV62" s="69" t="s">
        <v>277</v>
      </c>
      <c r="AW62" s="69" t="s">
        <v>277</v>
      </c>
      <c r="AX62" s="69"/>
      <c r="AY62" s="68">
        <v>0</v>
      </c>
      <c r="AZ62" s="68">
        <v>0</v>
      </c>
      <c r="BA62" s="68" t="s">
        <v>307</v>
      </c>
      <c r="BB62" s="68"/>
      <c r="BC62" s="69" t="s">
        <v>773</v>
      </c>
      <c r="BD62" s="69" t="s">
        <v>277</v>
      </c>
      <c r="BE62" s="56" t="s">
        <v>277</v>
      </c>
      <c r="BF62" s="56" t="s">
        <v>277</v>
      </c>
      <c r="BG62" s="56" t="s">
        <v>277</v>
      </c>
      <c r="BH62" s="56" t="s">
        <v>277</v>
      </c>
      <c r="BI62" s="69">
        <v>0</v>
      </c>
      <c r="BJ62" s="69">
        <v>0</v>
      </c>
      <c r="BK62" s="69">
        <v>0</v>
      </c>
      <c r="BL62" s="69">
        <v>0</v>
      </c>
      <c r="BM62" s="69">
        <v>0</v>
      </c>
      <c r="BN62" s="69">
        <v>0</v>
      </c>
      <c r="BO62" s="69">
        <v>0</v>
      </c>
      <c r="BP62" s="69">
        <v>0</v>
      </c>
      <c r="BQ62" s="69"/>
      <c r="BR62" s="69" t="s">
        <v>156</v>
      </c>
      <c r="BS62" s="69" t="s">
        <v>774</v>
      </c>
      <c r="BT62" s="68">
        <v>0</v>
      </c>
      <c r="BU62" s="68">
        <v>0</v>
      </c>
      <c r="BV62" s="68">
        <v>0</v>
      </c>
      <c r="BW62" s="94">
        <v>0</v>
      </c>
      <c r="BX62" s="94">
        <v>5544000000</v>
      </c>
      <c r="BY62" s="94">
        <v>0</v>
      </c>
      <c r="BZ62" s="94">
        <v>0</v>
      </c>
      <c r="CA62" s="94">
        <v>0</v>
      </c>
      <c r="CB62" s="94">
        <v>0</v>
      </c>
      <c r="CC62" s="94">
        <v>0</v>
      </c>
      <c r="CD62" s="94">
        <v>0</v>
      </c>
      <c r="CE62" s="94">
        <v>0</v>
      </c>
      <c r="CF62" s="108">
        <f>SUM(BT62:CE62)</f>
        <v>5544000000</v>
      </c>
      <c r="CG62" s="108">
        <f>$CF62-$AF62</f>
        <v>0</v>
      </c>
      <c r="CH62" s="37" t="s">
        <v>289</v>
      </c>
      <c r="CI62" s="37" t="s">
        <v>290</v>
      </c>
      <c r="CJ62" s="37" t="s">
        <v>277</v>
      </c>
      <c r="CK62" s="37" t="s">
        <v>290</v>
      </c>
      <c r="CL62" s="37" t="s">
        <v>277</v>
      </c>
      <c r="CM62" s="37" t="s">
        <v>277</v>
      </c>
      <c r="CN62" s="37" t="s">
        <v>290</v>
      </c>
      <c r="CO62" s="37" t="s">
        <v>767</v>
      </c>
      <c r="CP62" s="41">
        <v>46113</v>
      </c>
      <c r="CQ62" s="41">
        <v>46357</v>
      </c>
      <c r="CR62" s="37" t="s">
        <v>293</v>
      </c>
      <c r="CS62" s="37" t="s">
        <v>454</v>
      </c>
      <c r="CT62" s="37" t="s">
        <v>295</v>
      </c>
      <c r="CU62" s="37" t="s">
        <v>296</v>
      </c>
      <c r="CV62" s="37" t="s">
        <v>323</v>
      </c>
      <c r="CW62" s="37" t="s">
        <v>277</v>
      </c>
      <c r="CX62" s="37" t="s">
        <v>277</v>
      </c>
      <c r="CY62" s="37">
        <v>0</v>
      </c>
      <c r="CZ62" s="123" t="s">
        <v>277</v>
      </c>
      <c r="DA62" s="123" t="s">
        <v>277</v>
      </c>
      <c r="DB62" s="37" t="s">
        <v>277</v>
      </c>
      <c r="DC62" s="37" t="s">
        <v>455</v>
      </c>
      <c r="DD62" s="68">
        <v>0</v>
      </c>
      <c r="DE62" s="68">
        <v>0</v>
      </c>
      <c r="DF62" s="68">
        <v>0</v>
      </c>
      <c r="DG62" s="68">
        <v>0</v>
      </c>
      <c r="DH62" s="68">
        <v>0</v>
      </c>
      <c r="DI62" s="68">
        <v>0</v>
      </c>
      <c r="DJ62" s="68">
        <v>0</v>
      </c>
      <c r="DK62" s="68">
        <v>0</v>
      </c>
      <c r="DL62" s="68">
        <v>0</v>
      </c>
      <c r="DM62" s="68">
        <v>0</v>
      </c>
      <c r="DN62" s="68">
        <v>0</v>
      </c>
      <c r="DO62" s="68">
        <f>4435200000-4435200000</f>
        <v>0</v>
      </c>
      <c r="DP62" s="68">
        <f>SUM(DD62:DO62)</f>
        <v>0</v>
      </c>
      <c r="DQ62" s="68">
        <f>DP62-AB62</f>
        <v>0</v>
      </c>
      <c r="DR62" s="68">
        <f>$DD62</f>
        <v>0</v>
      </c>
      <c r="DS62" s="68">
        <f>DR62+DE62</f>
        <v>0</v>
      </c>
      <c r="DT62" s="68">
        <f>DS62+DF62</f>
        <v>0</v>
      </c>
      <c r="DU62" s="68">
        <f>DT62+DG62</f>
        <v>0</v>
      </c>
      <c r="DV62" s="68">
        <f>DU62+DH62</f>
        <v>0</v>
      </c>
      <c r="DW62" s="68">
        <f>DV62+DI62</f>
        <v>0</v>
      </c>
      <c r="DX62" s="68">
        <f>DW62+DJ62</f>
        <v>0</v>
      </c>
      <c r="DY62" s="68">
        <f>DX62+DK62</f>
        <v>0</v>
      </c>
      <c r="DZ62" s="68">
        <f>DY62+DL62</f>
        <v>0</v>
      </c>
      <c r="EA62" s="68">
        <f>DZ62+DM62</f>
        <v>0</v>
      </c>
      <c r="EB62" s="68">
        <f>EA62+DN62</f>
        <v>0</v>
      </c>
      <c r="EC62" s="68">
        <f>EB62+DO62</f>
        <v>0</v>
      </c>
      <c r="ED62" s="68">
        <f>$EC62-$AB62</f>
        <v>0</v>
      </c>
    </row>
    <row r="63" spans="1:134" ht="60">
      <c r="A63" s="74"/>
      <c r="B63" s="50">
        <v>75</v>
      </c>
      <c r="C63" s="50" t="s">
        <v>269</v>
      </c>
      <c r="D63" s="50" t="s">
        <v>297</v>
      </c>
      <c r="E63" s="50"/>
      <c r="F63" s="50" t="s">
        <v>272</v>
      </c>
      <c r="G63" s="50" t="s">
        <v>273</v>
      </c>
      <c r="H63" s="37" t="s">
        <v>151</v>
      </c>
      <c r="I63" s="37" t="s">
        <v>732</v>
      </c>
      <c r="J63" s="37" t="s">
        <v>687</v>
      </c>
      <c r="K63" s="50" t="s">
        <v>3</v>
      </c>
      <c r="L63" s="50" t="s">
        <v>14</v>
      </c>
      <c r="M63" s="50" t="s">
        <v>16</v>
      </c>
      <c r="N63" s="50" t="s">
        <v>276</v>
      </c>
      <c r="O63" s="37" t="s">
        <v>3</v>
      </c>
      <c r="P63" s="37" t="s">
        <v>14</v>
      </c>
      <c r="Q63" s="37" t="s">
        <v>16</v>
      </c>
      <c r="R63" s="37" t="s">
        <v>276</v>
      </c>
      <c r="S63" s="50" t="s">
        <v>775</v>
      </c>
      <c r="T63" s="50" t="s">
        <v>776</v>
      </c>
      <c r="U63" s="50" t="s">
        <v>777</v>
      </c>
      <c r="V63" s="56" t="s">
        <v>778</v>
      </c>
      <c r="W63" s="56" t="s">
        <v>778</v>
      </c>
      <c r="X63" s="38" t="s">
        <v>778</v>
      </c>
      <c r="Y63" s="60">
        <v>6852272000</v>
      </c>
      <c r="Z63" s="60">
        <v>5481817600</v>
      </c>
      <c r="AA63" s="60"/>
      <c r="AB63" s="60">
        <f>Z63+AA63</f>
        <v>5481817600</v>
      </c>
      <c r="AC63" s="61"/>
      <c r="AD63" s="61"/>
      <c r="AE63" s="109">
        <v>5500000000</v>
      </c>
      <c r="AF63" s="109">
        <v>5500000000</v>
      </c>
      <c r="AG63" s="108">
        <f>$AR63+$AZ63+$BQ63+$BT63+$BU63+$BV63</f>
        <v>6563319000</v>
      </c>
      <c r="AH63" s="121">
        <f>AF63-AG63</f>
        <v>-1063319000</v>
      </c>
      <c r="AI63" s="39" t="s">
        <v>277</v>
      </c>
      <c r="AJ63" s="200"/>
      <c r="AK63" s="200"/>
      <c r="AL63" s="39"/>
      <c r="AM63" s="68"/>
      <c r="AN63" s="68"/>
      <c r="AO63" s="68"/>
      <c r="AP63" s="68"/>
      <c r="AQ63" s="68">
        <v>0</v>
      </c>
      <c r="AR63" s="68">
        <v>0</v>
      </c>
      <c r="AS63" s="68" t="s">
        <v>307</v>
      </c>
      <c r="AT63" s="68"/>
      <c r="AU63" s="69" t="s">
        <v>779</v>
      </c>
      <c r="AV63" s="70" t="s">
        <v>780</v>
      </c>
      <c r="AW63" s="69" t="s">
        <v>781</v>
      </c>
      <c r="AX63" s="69"/>
      <c r="AY63" s="68">
        <v>6563319000</v>
      </c>
      <c r="AZ63" s="68">
        <v>6563319000</v>
      </c>
      <c r="BA63" s="68" t="s">
        <v>307</v>
      </c>
      <c r="BB63" s="68"/>
      <c r="BC63" s="69" t="s">
        <v>782</v>
      </c>
      <c r="BD63" s="69" t="s">
        <v>277</v>
      </c>
      <c r="BE63" s="56" t="s">
        <v>277</v>
      </c>
      <c r="BF63" s="56" t="s">
        <v>277</v>
      </c>
      <c r="BG63" s="56" t="s">
        <v>277</v>
      </c>
      <c r="BH63" s="56" t="s">
        <v>277</v>
      </c>
      <c r="BI63" s="69">
        <v>0</v>
      </c>
      <c r="BJ63" s="69">
        <v>0</v>
      </c>
      <c r="BK63" s="69">
        <v>0</v>
      </c>
      <c r="BL63" s="69">
        <v>0</v>
      </c>
      <c r="BM63" s="69">
        <v>0</v>
      </c>
      <c r="BN63" s="69">
        <v>0</v>
      </c>
      <c r="BO63" s="69">
        <v>0</v>
      </c>
      <c r="BP63" s="69">
        <v>0</v>
      </c>
      <c r="BQ63" s="69"/>
      <c r="BR63" s="69" t="s">
        <v>337</v>
      </c>
      <c r="BS63" s="69" t="s">
        <v>783</v>
      </c>
      <c r="BT63" s="68">
        <v>0</v>
      </c>
      <c r="BU63" s="68">
        <v>0</v>
      </c>
      <c r="BV63" s="68">
        <v>0</v>
      </c>
      <c r="BW63" s="94">
        <v>0</v>
      </c>
      <c r="BX63" s="94">
        <v>0</v>
      </c>
      <c r="BY63" s="94">
        <v>0</v>
      </c>
      <c r="BZ63" s="94">
        <v>0</v>
      </c>
      <c r="CA63" s="94">
        <v>0</v>
      </c>
      <c r="CB63" s="94">
        <v>0</v>
      </c>
      <c r="CC63" s="94">
        <v>0</v>
      </c>
      <c r="CD63" s="109">
        <v>5500000000</v>
      </c>
      <c r="CE63" s="94">
        <v>0</v>
      </c>
      <c r="CF63" s="108">
        <f>SUM(BT63:CE63)</f>
        <v>5500000000</v>
      </c>
      <c r="CG63" s="108">
        <f>$CF63-$AF63</f>
        <v>0</v>
      </c>
      <c r="CH63" s="37" t="s">
        <v>289</v>
      </c>
      <c r="CI63" s="37" t="s">
        <v>290</v>
      </c>
      <c r="CJ63" s="37" t="s">
        <v>277</v>
      </c>
      <c r="CK63" s="37" t="s">
        <v>290</v>
      </c>
      <c r="CL63" s="37" t="s">
        <v>522</v>
      </c>
      <c r="CM63" s="37" t="s">
        <v>523</v>
      </c>
      <c r="CN63" s="37" t="s">
        <v>290</v>
      </c>
      <c r="CO63" s="37" t="s">
        <v>693</v>
      </c>
      <c r="CP63" s="41">
        <v>46023</v>
      </c>
      <c r="CQ63" s="41">
        <v>46387</v>
      </c>
      <c r="CR63" s="37" t="s">
        <v>293</v>
      </c>
      <c r="CS63" s="37" t="s">
        <v>294</v>
      </c>
      <c r="CT63" s="37" t="s">
        <v>295</v>
      </c>
      <c r="CU63" s="37" t="s">
        <v>341</v>
      </c>
      <c r="CV63" s="37" t="s">
        <v>384</v>
      </c>
      <c r="CW63" s="37" t="s">
        <v>784</v>
      </c>
      <c r="CX63" s="37" t="s">
        <v>778</v>
      </c>
      <c r="CY63" s="126">
        <v>5500000000</v>
      </c>
      <c r="CZ63" s="123" t="s">
        <v>277</v>
      </c>
      <c r="DA63" s="123" t="s">
        <v>277</v>
      </c>
      <c r="DB63" s="37" t="s">
        <v>277</v>
      </c>
      <c r="DC63" s="88" t="s">
        <v>785</v>
      </c>
      <c r="DD63" s="68">
        <v>0</v>
      </c>
      <c r="DE63" s="68">
        <v>0</v>
      </c>
      <c r="DF63" s="68">
        <v>0</v>
      </c>
      <c r="DG63" s="68">
        <v>0</v>
      </c>
      <c r="DH63" s="68">
        <v>0</v>
      </c>
      <c r="DI63" s="68">
        <v>0</v>
      </c>
      <c r="DJ63" s="68">
        <v>0</v>
      </c>
      <c r="DK63" s="68">
        <v>0</v>
      </c>
      <c r="DL63" s="68">
        <v>0</v>
      </c>
      <c r="DM63" s="68">
        <v>0</v>
      </c>
      <c r="DN63" s="68">
        <v>0</v>
      </c>
      <c r="DO63" s="68">
        <v>5481817600</v>
      </c>
      <c r="DP63" s="68">
        <f>SUM(DD63:DO63)</f>
        <v>5481817600</v>
      </c>
      <c r="DQ63" s="68">
        <f>DP63-AB63</f>
        <v>0</v>
      </c>
      <c r="DR63" s="68">
        <f>$DD63</f>
        <v>0</v>
      </c>
      <c r="DS63" s="68">
        <f>DR63+DE63</f>
        <v>0</v>
      </c>
      <c r="DT63" s="68">
        <f>DS63+DF63</f>
        <v>0</v>
      </c>
      <c r="DU63" s="68">
        <f>DT63+DG63</f>
        <v>0</v>
      </c>
      <c r="DV63" s="68">
        <f>DU63+DH63</f>
        <v>0</v>
      </c>
      <c r="DW63" s="68">
        <f>DV63+DI63</f>
        <v>0</v>
      </c>
      <c r="DX63" s="68">
        <f>DW63+DJ63</f>
        <v>0</v>
      </c>
      <c r="DY63" s="68">
        <f>DX63+DK63</f>
        <v>0</v>
      </c>
      <c r="DZ63" s="68">
        <f>DY63+DL63</f>
        <v>0</v>
      </c>
      <c r="EA63" s="68">
        <f>DZ63+DM63</f>
        <v>0</v>
      </c>
      <c r="EB63" s="68">
        <f>EA63+DN63</f>
        <v>0</v>
      </c>
      <c r="EC63" s="68">
        <f>EB63+DO63</f>
        <v>5481817600</v>
      </c>
      <c r="ED63" s="68">
        <f>$EC63-$AB63</f>
        <v>0</v>
      </c>
    </row>
    <row r="64" spans="1:134">
      <c r="B64" s="159"/>
      <c r="C64" s="160" t="s">
        <v>269</v>
      </c>
      <c r="D64" s="160" t="s">
        <v>270</v>
      </c>
      <c r="E64" s="160"/>
      <c r="F64" s="160" t="s">
        <v>272</v>
      </c>
      <c r="G64" s="160" t="s">
        <v>273</v>
      </c>
      <c r="H64" s="160" t="s">
        <v>151</v>
      </c>
      <c r="I64" s="160" t="s">
        <v>546</v>
      </c>
      <c r="J64" s="160" t="s">
        <v>786</v>
      </c>
      <c r="K64" s="160" t="s">
        <v>277</v>
      </c>
      <c r="L64" s="160" t="s">
        <v>277</v>
      </c>
      <c r="M64" s="160" t="s">
        <v>277</v>
      </c>
      <c r="N64" s="160" t="s">
        <v>277</v>
      </c>
      <c r="O64" s="160" t="s">
        <v>3</v>
      </c>
      <c r="P64" s="160" t="s">
        <v>14</v>
      </c>
      <c r="Q64" s="160" t="s">
        <v>27</v>
      </c>
      <c r="R64" s="158" t="s">
        <v>276</v>
      </c>
      <c r="S64" s="159" t="s">
        <v>277</v>
      </c>
      <c r="T64" s="159" t="s">
        <v>277</v>
      </c>
      <c r="U64" s="160" t="s">
        <v>277</v>
      </c>
      <c r="V64" s="159" t="s">
        <v>277</v>
      </c>
      <c r="W64" s="159" t="s">
        <v>277</v>
      </c>
      <c r="X64" s="161" t="s">
        <v>787</v>
      </c>
      <c r="Y64" s="159"/>
      <c r="Z64" s="159"/>
      <c r="AA64" s="159"/>
      <c r="AB64" s="159"/>
      <c r="AC64" s="159"/>
      <c r="AD64" s="159"/>
      <c r="AE64" s="155">
        <v>11000000000</v>
      </c>
      <c r="AF64" s="155">
        <v>5500000000</v>
      </c>
      <c r="AG64" s="155"/>
      <c r="AH64" s="121">
        <f>AF64-AG64</f>
        <v>5500000000</v>
      </c>
      <c r="AI64" s="159" t="s">
        <v>677</v>
      </c>
      <c r="AJ64" s="206"/>
      <c r="AK64" s="206"/>
      <c r="AL64" s="161"/>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159"/>
      <c r="BS64" s="159"/>
      <c r="BT64" s="159"/>
      <c r="BU64" s="159"/>
      <c r="BV64" s="159"/>
      <c r="BW64" s="155">
        <v>0</v>
      </c>
      <c r="BX64" s="155">
        <v>0</v>
      </c>
      <c r="BY64" s="155">
        <v>0</v>
      </c>
      <c r="BZ64" s="155">
        <v>0</v>
      </c>
      <c r="CA64" s="155">
        <v>0</v>
      </c>
      <c r="CB64" s="155">
        <v>0</v>
      </c>
      <c r="CC64" s="155">
        <v>0</v>
      </c>
      <c r="CD64" s="155">
        <v>0</v>
      </c>
      <c r="CE64" s="155">
        <v>0</v>
      </c>
      <c r="CF64" s="156">
        <f>SUM(BT64:CE64)</f>
        <v>0</v>
      </c>
      <c r="CG64" s="156">
        <f>$CF64-$AF64</f>
        <v>-5500000000</v>
      </c>
      <c r="CH64" s="160" t="s">
        <v>289</v>
      </c>
      <c r="CI64" s="160" t="s">
        <v>290</v>
      </c>
      <c r="CJ64" s="158" t="s">
        <v>277</v>
      </c>
      <c r="CK64" s="160" t="s">
        <v>651</v>
      </c>
      <c r="CL64" s="160" t="s">
        <v>678</v>
      </c>
      <c r="CM64" s="160" t="s">
        <v>678</v>
      </c>
      <c r="CN64" s="160" t="s">
        <v>290</v>
      </c>
      <c r="CO64" s="160" t="s">
        <v>290</v>
      </c>
      <c r="CP64" s="160" t="s">
        <v>290</v>
      </c>
      <c r="CQ64" s="160" t="s">
        <v>290</v>
      </c>
      <c r="CR64" s="158" t="s">
        <v>293</v>
      </c>
      <c r="CS64" s="158" t="s">
        <v>322</v>
      </c>
      <c r="CT64" s="158" t="s">
        <v>295</v>
      </c>
      <c r="CU64" s="158" t="s">
        <v>296</v>
      </c>
      <c r="CV64" s="158" t="s">
        <v>323</v>
      </c>
      <c r="CW64" s="158" t="s">
        <v>277</v>
      </c>
      <c r="CX64" s="158" t="s">
        <v>277</v>
      </c>
      <c r="CY64" s="158" t="s">
        <v>277</v>
      </c>
      <c r="CZ64" s="158" t="s">
        <v>277</v>
      </c>
      <c r="DA64" s="158" t="s">
        <v>277</v>
      </c>
      <c r="DB64" s="158" t="s">
        <v>277</v>
      </c>
      <c r="DC64" s="158" t="s">
        <v>277</v>
      </c>
      <c r="DD64" s="159"/>
      <c r="DE64" s="159"/>
      <c r="DF64" s="159"/>
      <c r="DG64" s="159"/>
      <c r="DH64" s="159"/>
      <c r="DI64" s="159"/>
      <c r="DJ64" s="159"/>
      <c r="DK64" s="159"/>
      <c r="DL64" s="159"/>
      <c r="DM64" s="159"/>
      <c r="DN64" s="159"/>
      <c r="DO64" s="159"/>
      <c r="DP64" s="159"/>
      <c r="DQ64" s="159"/>
      <c r="DR64" s="159"/>
      <c r="DS64" s="159"/>
      <c r="DT64" s="159"/>
      <c r="DU64" s="159"/>
      <c r="DV64" s="159"/>
      <c r="DW64" s="159"/>
      <c r="DX64" s="159"/>
      <c r="DY64" s="159"/>
      <c r="DZ64" s="159"/>
      <c r="EA64" s="159"/>
      <c r="EB64" s="159"/>
      <c r="EC64" s="159"/>
      <c r="ED64" s="159"/>
    </row>
    <row r="65" spans="1:134" ht="30">
      <c r="A65" s="74"/>
      <c r="B65" s="50">
        <v>40</v>
      </c>
      <c r="C65" s="50" t="s">
        <v>269</v>
      </c>
      <c r="D65" s="50" t="s">
        <v>297</v>
      </c>
      <c r="E65" s="50"/>
      <c r="F65" s="50" t="s">
        <v>272</v>
      </c>
      <c r="G65" s="50" t="s">
        <v>273</v>
      </c>
      <c r="H65" s="37" t="s">
        <v>151</v>
      </c>
      <c r="I65" s="37" t="s">
        <v>424</v>
      </c>
      <c r="J65" s="37" t="s">
        <v>788</v>
      </c>
      <c r="K65" s="50" t="s">
        <v>3</v>
      </c>
      <c r="L65" s="50" t="s">
        <v>14</v>
      </c>
      <c r="M65" s="50" t="s">
        <v>16</v>
      </c>
      <c r="N65" s="50" t="s">
        <v>276</v>
      </c>
      <c r="O65" s="37" t="s">
        <v>3</v>
      </c>
      <c r="P65" s="37" t="s">
        <v>14</v>
      </c>
      <c r="Q65" s="37" t="s">
        <v>16</v>
      </c>
      <c r="R65" s="37" t="s">
        <v>276</v>
      </c>
      <c r="S65" s="50" t="s">
        <v>277</v>
      </c>
      <c r="T65" s="50" t="s">
        <v>789</v>
      </c>
      <c r="U65" s="50" t="s">
        <v>790</v>
      </c>
      <c r="V65" s="56" t="s">
        <v>791</v>
      </c>
      <c r="W65" s="56" t="s">
        <v>791</v>
      </c>
      <c r="X65" s="38" t="s">
        <v>791</v>
      </c>
      <c r="Y65" s="60">
        <v>361637718292</v>
      </c>
      <c r="Z65" s="60">
        <v>4797541897</v>
      </c>
      <c r="AA65" s="60"/>
      <c r="AB65" s="60">
        <f>Z65+AA65</f>
        <v>4797541897</v>
      </c>
      <c r="AC65" s="61"/>
      <c r="AD65" s="61"/>
      <c r="AE65" s="109">
        <v>361637718292</v>
      </c>
      <c r="AF65" s="109">
        <v>4797541897</v>
      </c>
      <c r="AG65" s="108">
        <f>$AR65+$AZ65+$BQ65+$BT65+$BU65+$BV65</f>
        <v>0</v>
      </c>
      <c r="AH65" s="121">
        <f>AF65-AG65</f>
        <v>4797541897</v>
      </c>
      <c r="AI65" s="39" t="s">
        <v>277</v>
      </c>
      <c r="AJ65" s="200"/>
      <c r="AK65" s="200"/>
      <c r="AL65" s="39"/>
      <c r="AM65" s="68"/>
      <c r="AN65" s="68"/>
      <c r="AO65" s="68"/>
      <c r="AP65" s="68"/>
      <c r="AQ65" s="68">
        <v>0</v>
      </c>
      <c r="AR65" s="68">
        <v>0</v>
      </c>
      <c r="AS65" s="68" t="s">
        <v>307</v>
      </c>
      <c r="AT65" s="68"/>
      <c r="AU65" s="69" t="s">
        <v>277</v>
      </c>
      <c r="AV65" s="69" t="s">
        <v>277</v>
      </c>
      <c r="AW65" s="69" t="s">
        <v>277</v>
      </c>
      <c r="AX65" s="69"/>
      <c r="AY65" s="68">
        <v>0</v>
      </c>
      <c r="AZ65" s="68">
        <v>0</v>
      </c>
      <c r="BA65" s="68" t="s">
        <v>307</v>
      </c>
      <c r="BB65" s="68"/>
      <c r="BC65" s="69" t="s">
        <v>792</v>
      </c>
      <c r="BD65" s="69" t="s">
        <v>277</v>
      </c>
      <c r="BE65" s="56" t="s">
        <v>277</v>
      </c>
      <c r="BF65" s="56" t="s">
        <v>277</v>
      </c>
      <c r="BG65" s="56" t="s">
        <v>277</v>
      </c>
      <c r="BH65" s="56" t="s">
        <v>277</v>
      </c>
      <c r="BI65" s="69">
        <v>0</v>
      </c>
      <c r="BJ65" s="69">
        <v>0</v>
      </c>
      <c r="BK65" s="69">
        <v>0</v>
      </c>
      <c r="BL65" s="69">
        <v>0</v>
      </c>
      <c r="BM65" s="69">
        <v>0</v>
      </c>
      <c r="BN65" s="69">
        <v>0</v>
      </c>
      <c r="BO65" s="69">
        <v>0</v>
      </c>
      <c r="BP65" s="69">
        <v>0</v>
      </c>
      <c r="BQ65" s="69"/>
      <c r="BR65" s="69" t="s">
        <v>382</v>
      </c>
      <c r="BS65" s="69" t="s">
        <v>793</v>
      </c>
      <c r="BT65" s="68">
        <v>0</v>
      </c>
      <c r="BU65" s="68">
        <v>0</v>
      </c>
      <c r="BV65" s="68">
        <v>0</v>
      </c>
      <c r="BW65" s="94">
        <v>0</v>
      </c>
      <c r="BX65" s="94">
        <v>0</v>
      </c>
      <c r="BY65" s="94">
        <v>0</v>
      </c>
      <c r="BZ65" s="94">
        <v>0</v>
      </c>
      <c r="CA65" s="94">
        <v>0</v>
      </c>
      <c r="CB65" s="94">
        <v>0</v>
      </c>
      <c r="CC65" s="94">
        <v>0</v>
      </c>
      <c r="CD65" s="94">
        <v>0</v>
      </c>
      <c r="CE65" s="94">
        <v>0</v>
      </c>
      <c r="CF65" s="108">
        <f>SUM(BT65:CE65)</f>
        <v>0</v>
      </c>
      <c r="CG65" s="108">
        <f>$CF65-$AF65</f>
        <v>-4797541897</v>
      </c>
      <c r="CH65" s="37" t="s">
        <v>318</v>
      </c>
      <c r="CI65" s="37" t="s">
        <v>291</v>
      </c>
      <c r="CJ65" s="37" t="s">
        <v>319</v>
      </c>
      <c r="CK65" s="37" t="s">
        <v>290</v>
      </c>
      <c r="CL65" s="37" t="s">
        <v>277</v>
      </c>
      <c r="CM65" s="37" t="s">
        <v>277</v>
      </c>
      <c r="CN65" s="37" t="s">
        <v>290</v>
      </c>
      <c r="CO65" s="37" t="s">
        <v>340</v>
      </c>
      <c r="CP65" s="41">
        <v>45597</v>
      </c>
      <c r="CQ65" s="41">
        <v>47270</v>
      </c>
      <c r="CR65" s="37" t="s">
        <v>293</v>
      </c>
      <c r="CS65" s="37" t="s">
        <v>294</v>
      </c>
      <c r="CT65" s="37" t="s">
        <v>295</v>
      </c>
      <c r="CU65" s="37" t="s">
        <v>341</v>
      </c>
      <c r="CV65" s="37" t="s">
        <v>382</v>
      </c>
      <c r="CW65" s="37">
        <v>4200004468</v>
      </c>
      <c r="CX65" s="37" t="s">
        <v>791</v>
      </c>
      <c r="CY65" s="174">
        <v>620000000000</v>
      </c>
      <c r="CZ65" s="123">
        <v>45566</v>
      </c>
      <c r="DA65" s="123">
        <v>46661</v>
      </c>
      <c r="DB65" s="37" t="s">
        <v>277</v>
      </c>
      <c r="DC65" s="37" t="s">
        <v>388</v>
      </c>
      <c r="DD65" s="68">
        <v>0</v>
      </c>
      <c r="DE65" s="68">
        <v>4797541897</v>
      </c>
      <c r="DF65" s="68">
        <v>0</v>
      </c>
      <c r="DG65" s="68">
        <v>0</v>
      </c>
      <c r="DH65" s="68">
        <v>0</v>
      </c>
      <c r="DI65" s="68">
        <v>0</v>
      </c>
      <c r="DJ65" s="68">
        <v>0</v>
      </c>
      <c r="DK65" s="68">
        <v>0</v>
      </c>
      <c r="DL65" s="68">
        <v>0</v>
      </c>
      <c r="DM65" s="68">
        <v>0</v>
      </c>
      <c r="DN65" s="68">
        <v>0</v>
      </c>
      <c r="DO65" s="68">
        <v>0</v>
      </c>
      <c r="DP65" s="68">
        <f>SUM(DD65:DO65)</f>
        <v>4797541897</v>
      </c>
      <c r="DQ65" s="68">
        <f>DP65-AB65</f>
        <v>0</v>
      </c>
      <c r="DR65" s="68">
        <f>$DD65</f>
        <v>0</v>
      </c>
      <c r="DS65" s="68">
        <f>DR65+DE65</f>
        <v>4797541897</v>
      </c>
      <c r="DT65" s="68">
        <f>DS65+DF65</f>
        <v>4797541897</v>
      </c>
      <c r="DU65" s="68">
        <f>DT65+DG65</f>
        <v>4797541897</v>
      </c>
      <c r="DV65" s="68">
        <f>DU65+DH65</f>
        <v>4797541897</v>
      </c>
      <c r="DW65" s="68">
        <f>DV65+DI65</f>
        <v>4797541897</v>
      </c>
      <c r="DX65" s="68">
        <f>DW65+DJ65</f>
        <v>4797541897</v>
      </c>
      <c r="DY65" s="68">
        <f>DX65+DK65</f>
        <v>4797541897</v>
      </c>
      <c r="DZ65" s="68">
        <f>DY65+DL65</f>
        <v>4797541897</v>
      </c>
      <c r="EA65" s="68">
        <f>DZ65+DM65</f>
        <v>4797541897</v>
      </c>
      <c r="EB65" s="68">
        <f>EA65+DN65</f>
        <v>4797541897</v>
      </c>
      <c r="EC65" s="68">
        <f>EB65+DO65</f>
        <v>4797541897</v>
      </c>
      <c r="ED65" s="68">
        <f>$EC65-$AB65</f>
        <v>0</v>
      </c>
    </row>
    <row r="66" spans="1:134" ht="45">
      <c r="A66" s="74"/>
      <c r="B66" s="50">
        <v>142</v>
      </c>
      <c r="C66" s="50" t="s">
        <v>269</v>
      </c>
      <c r="D66" s="50" t="s">
        <v>297</v>
      </c>
      <c r="E66" s="50"/>
      <c r="F66" s="50" t="s">
        <v>272</v>
      </c>
      <c r="G66" s="50" t="s">
        <v>273</v>
      </c>
      <c r="H66" s="37" t="s">
        <v>151</v>
      </c>
      <c r="I66" s="37" t="s">
        <v>424</v>
      </c>
      <c r="J66" s="37" t="s">
        <v>694</v>
      </c>
      <c r="K66" s="50" t="s">
        <v>3</v>
      </c>
      <c r="L66" s="50" t="s">
        <v>25</v>
      </c>
      <c r="M66" s="50" t="s">
        <v>52</v>
      </c>
      <c r="N66" s="50" t="s">
        <v>276</v>
      </c>
      <c r="O66" s="37" t="s">
        <v>3</v>
      </c>
      <c r="P66" s="37" t="s">
        <v>25</v>
      </c>
      <c r="Q66" s="37" t="s">
        <v>52</v>
      </c>
      <c r="R66" s="37" t="s">
        <v>512</v>
      </c>
      <c r="S66" s="50" t="s">
        <v>794</v>
      </c>
      <c r="T66" s="50" t="s">
        <v>393</v>
      </c>
      <c r="U66" s="50" t="s">
        <v>795</v>
      </c>
      <c r="V66" s="56" t="s">
        <v>796</v>
      </c>
      <c r="W66" s="56" t="s">
        <v>796</v>
      </c>
      <c r="X66" s="38" t="s">
        <v>796</v>
      </c>
      <c r="Y66" s="60">
        <v>4785000000</v>
      </c>
      <c r="Z66" s="60">
        <v>0</v>
      </c>
      <c r="AA66" s="60"/>
      <c r="AB66" s="60">
        <f>Z66+AA66</f>
        <v>0</v>
      </c>
      <c r="AC66" s="61"/>
      <c r="AD66" s="61"/>
      <c r="AE66" s="109">
        <v>4785000000</v>
      </c>
      <c r="AF66" s="109">
        <v>4785000000</v>
      </c>
      <c r="AG66" s="108">
        <f>$AR66+$AZ66+$BQ66+$BT66+$BU66+$BV66</f>
        <v>0</v>
      </c>
      <c r="AH66" s="121">
        <f>AF66-AG66</f>
        <v>4785000000</v>
      </c>
      <c r="AI66" s="39" t="s">
        <v>277</v>
      </c>
      <c r="AJ66" s="200"/>
      <c r="AK66" s="200"/>
      <c r="AL66" s="39"/>
      <c r="AM66" s="68"/>
      <c r="AN66" s="68"/>
      <c r="AO66" s="68"/>
      <c r="AP66" s="68"/>
      <c r="AQ66" s="68">
        <v>0</v>
      </c>
      <c r="AR66" s="68">
        <v>0</v>
      </c>
      <c r="AS66" s="68" t="s">
        <v>307</v>
      </c>
      <c r="AT66" s="68"/>
      <c r="AU66" s="69" t="s">
        <v>277</v>
      </c>
      <c r="AV66" s="69" t="s">
        <v>277</v>
      </c>
      <c r="AW66" s="69" t="s">
        <v>277</v>
      </c>
      <c r="AX66" s="69"/>
      <c r="AY66" s="68">
        <v>0</v>
      </c>
      <c r="AZ66" s="68">
        <v>0</v>
      </c>
      <c r="BA66" s="68" t="s">
        <v>307</v>
      </c>
      <c r="BB66" s="68"/>
      <c r="BC66" s="69" t="s">
        <v>797</v>
      </c>
      <c r="BD66" s="69" t="s">
        <v>277</v>
      </c>
      <c r="BE66" s="56" t="s">
        <v>277</v>
      </c>
      <c r="BF66" s="56" t="s">
        <v>277</v>
      </c>
      <c r="BG66" s="56" t="s">
        <v>277</v>
      </c>
      <c r="BH66" s="56" t="s">
        <v>277</v>
      </c>
      <c r="BI66" s="69">
        <v>0</v>
      </c>
      <c r="BJ66" s="69">
        <v>0</v>
      </c>
      <c r="BK66" s="69">
        <v>0</v>
      </c>
      <c r="BL66" s="69">
        <v>0</v>
      </c>
      <c r="BM66" s="69">
        <v>0</v>
      </c>
      <c r="BN66" s="69">
        <v>0</v>
      </c>
      <c r="BO66" s="69">
        <v>0</v>
      </c>
      <c r="BP66" s="69">
        <v>0</v>
      </c>
      <c r="BQ66" s="69"/>
      <c r="BR66" s="69" t="s">
        <v>382</v>
      </c>
      <c r="BS66" s="69" t="s">
        <v>798</v>
      </c>
      <c r="BT66" s="68">
        <v>0</v>
      </c>
      <c r="BU66" s="68">
        <v>0</v>
      </c>
      <c r="BV66" s="68"/>
      <c r="BW66" s="94">
        <v>0</v>
      </c>
      <c r="BX66" s="94">
        <v>0</v>
      </c>
      <c r="BY66" s="94">
        <v>0</v>
      </c>
      <c r="BZ66" s="94">
        <v>0</v>
      </c>
      <c r="CA66" s="94">
        <v>0</v>
      </c>
      <c r="CB66" s="168">
        <v>0</v>
      </c>
      <c r="CC66" s="168">
        <v>0</v>
      </c>
      <c r="CD66" s="168">
        <v>0</v>
      </c>
      <c r="CE66" s="168">
        <v>4785000000</v>
      </c>
      <c r="CF66" s="170">
        <f>SUM(BT66:CE66)</f>
        <v>4785000000</v>
      </c>
      <c r="CG66" s="108">
        <f>$CF66-$AF66</f>
        <v>0</v>
      </c>
      <c r="CH66" s="37" t="s">
        <v>289</v>
      </c>
      <c r="CI66" s="37" t="s">
        <v>290</v>
      </c>
      <c r="CJ66" s="37" t="s">
        <v>277</v>
      </c>
      <c r="CK66" s="37" t="s">
        <v>290</v>
      </c>
      <c r="CL66" s="37" t="s">
        <v>277</v>
      </c>
      <c r="CM66" s="37" t="s">
        <v>277</v>
      </c>
      <c r="CN66" s="37" t="s">
        <v>290</v>
      </c>
      <c r="CO66" s="37" t="s">
        <v>433</v>
      </c>
      <c r="CP66" s="41">
        <v>46023</v>
      </c>
      <c r="CQ66" s="41">
        <v>46387</v>
      </c>
      <c r="CR66" s="37" t="s">
        <v>293</v>
      </c>
      <c r="CS66" s="37" t="s">
        <v>454</v>
      </c>
      <c r="CT66" s="37" t="s">
        <v>295</v>
      </c>
      <c r="CU66" s="37" t="s">
        <v>341</v>
      </c>
      <c r="CV66" s="37" t="s">
        <v>382</v>
      </c>
      <c r="CW66" s="37" t="s">
        <v>799</v>
      </c>
      <c r="CX66" s="37" t="s">
        <v>796</v>
      </c>
      <c r="CY66" s="37">
        <v>4785000000</v>
      </c>
      <c r="CZ66" s="123">
        <v>44256</v>
      </c>
      <c r="DA66" s="123">
        <v>46082</v>
      </c>
      <c r="DB66" s="37" t="s">
        <v>277</v>
      </c>
      <c r="DC66" s="37" t="s">
        <v>388</v>
      </c>
      <c r="DD66" s="68">
        <v>0</v>
      </c>
      <c r="DE66" s="68">
        <v>0</v>
      </c>
      <c r="DF66" s="68">
        <v>0</v>
      </c>
      <c r="DG66" s="68">
        <v>0</v>
      </c>
      <c r="DH66" s="68">
        <v>0</v>
      </c>
      <c r="DI66" s="68">
        <v>0</v>
      </c>
      <c r="DJ66" s="68">
        <v>0</v>
      </c>
      <c r="DK66" s="68">
        <v>0</v>
      </c>
      <c r="DL66" s="68">
        <v>0</v>
      </c>
      <c r="DM66" s="68">
        <v>0</v>
      </c>
      <c r="DN66" s="68">
        <v>0</v>
      </c>
      <c r="DO66" s="68">
        <v>0</v>
      </c>
      <c r="DP66" s="68">
        <f>SUM(DD66:DO66)</f>
        <v>0</v>
      </c>
      <c r="DQ66" s="68">
        <f>DP66-AB66</f>
        <v>0</v>
      </c>
      <c r="DR66" s="68">
        <f>$DD66</f>
        <v>0</v>
      </c>
      <c r="DS66" s="68">
        <f>DR66+DE66</f>
        <v>0</v>
      </c>
      <c r="DT66" s="68">
        <f>DS66+DF66</f>
        <v>0</v>
      </c>
      <c r="DU66" s="68">
        <f>DT66+DG66</f>
        <v>0</v>
      </c>
      <c r="DV66" s="68">
        <f>DU66+DH66</f>
        <v>0</v>
      </c>
      <c r="DW66" s="68">
        <f>DV66+DI66</f>
        <v>0</v>
      </c>
      <c r="DX66" s="68">
        <f>DW66+DJ66</f>
        <v>0</v>
      </c>
      <c r="DY66" s="68">
        <f>DX66+DK66</f>
        <v>0</v>
      </c>
      <c r="DZ66" s="68">
        <f>DY66+DL66</f>
        <v>0</v>
      </c>
      <c r="EA66" s="68">
        <f>DZ66+DM66</f>
        <v>0</v>
      </c>
      <c r="EB66" s="68">
        <f>EA66+DN66</f>
        <v>0</v>
      </c>
      <c r="EC66" s="68">
        <f>EB66+DO66</f>
        <v>0</v>
      </c>
      <c r="ED66" s="68">
        <f>$EC66-$AB66</f>
        <v>0</v>
      </c>
    </row>
    <row r="67" spans="1:134" ht="75">
      <c r="A67" s="74"/>
      <c r="B67" s="50">
        <v>153</v>
      </c>
      <c r="C67" s="50" t="s">
        <v>269</v>
      </c>
      <c r="D67" s="50" t="s">
        <v>270</v>
      </c>
      <c r="E67" s="50" t="s">
        <v>800</v>
      </c>
      <c r="F67" s="50" t="s">
        <v>272</v>
      </c>
      <c r="G67" s="50" t="s">
        <v>273</v>
      </c>
      <c r="H67" s="37" t="s">
        <v>151</v>
      </c>
      <c r="I67" s="37" t="s">
        <v>326</v>
      </c>
      <c r="J67" s="37" t="s">
        <v>327</v>
      </c>
      <c r="K67" s="50" t="s">
        <v>3</v>
      </c>
      <c r="L67" s="50" t="s">
        <v>14</v>
      </c>
      <c r="M67" s="50" t="s">
        <v>16</v>
      </c>
      <c r="N67" s="50" t="s">
        <v>276</v>
      </c>
      <c r="O67" s="37" t="s">
        <v>3</v>
      </c>
      <c r="P67" s="37" t="s">
        <v>14</v>
      </c>
      <c r="Q67" s="37" t="s">
        <v>16</v>
      </c>
      <c r="R67" s="37" t="s">
        <v>276</v>
      </c>
      <c r="S67" s="50" t="s">
        <v>277</v>
      </c>
      <c r="T67" s="50">
        <v>139</v>
      </c>
      <c r="U67" s="50" t="s">
        <v>801</v>
      </c>
      <c r="V67" s="56" t="s">
        <v>277</v>
      </c>
      <c r="W67" s="56" t="s">
        <v>802</v>
      </c>
      <c r="X67" s="38" t="s">
        <v>803</v>
      </c>
      <c r="Y67" s="60"/>
      <c r="Z67" s="60">
        <v>0</v>
      </c>
      <c r="AA67" s="60">
        <f>0+4490517227</f>
        <v>4490517227</v>
      </c>
      <c r="AB67" s="60">
        <f>Z67+AA67</f>
        <v>4490517227</v>
      </c>
      <c r="AC67" s="61" t="s">
        <v>804</v>
      </c>
      <c r="AD67" s="61" t="s">
        <v>805</v>
      </c>
      <c r="AE67" s="109">
        <v>22452586133</v>
      </c>
      <c r="AF67" s="109">
        <v>4490517227</v>
      </c>
      <c r="AG67" s="108">
        <f>$AR67+$AZ67+$BQ67+$BT67+$BU67+$BV67</f>
        <v>0</v>
      </c>
      <c r="AH67" s="121">
        <f>AF67-AG67</f>
        <v>4490517227</v>
      </c>
      <c r="AI67" s="39" t="s">
        <v>806</v>
      </c>
      <c r="AJ67" s="198"/>
      <c r="AK67" s="198"/>
      <c r="AL67" s="42"/>
      <c r="AM67" s="68"/>
      <c r="AN67" s="68"/>
      <c r="AO67" s="68"/>
      <c r="AP67" s="68"/>
      <c r="AQ67" s="68">
        <v>0</v>
      </c>
      <c r="AR67" s="68">
        <v>0</v>
      </c>
      <c r="AS67" s="68" t="s">
        <v>307</v>
      </c>
      <c r="AT67" s="68"/>
      <c r="AU67" s="69"/>
      <c r="AV67" s="69"/>
      <c r="AW67" s="69"/>
      <c r="AX67" s="69"/>
      <c r="AY67" s="68">
        <v>0</v>
      </c>
      <c r="AZ67" s="68">
        <v>0</v>
      </c>
      <c r="BA67" s="68" t="s">
        <v>307</v>
      </c>
      <c r="BB67" s="68"/>
      <c r="BC67" s="69"/>
      <c r="BD67" s="69"/>
      <c r="BE67" s="56" t="s">
        <v>807</v>
      </c>
      <c r="BF67" s="56" t="s">
        <v>808</v>
      </c>
      <c r="BG67" s="56" t="s">
        <v>809</v>
      </c>
      <c r="BH67" s="56" t="s">
        <v>296</v>
      </c>
      <c r="BI67" s="69">
        <v>22452586133</v>
      </c>
      <c r="BJ67" s="69">
        <v>4490517227</v>
      </c>
      <c r="BK67" s="69">
        <v>13471551680</v>
      </c>
      <c r="BL67" s="69">
        <v>1122629307</v>
      </c>
      <c r="BM67" s="69">
        <v>1122629307</v>
      </c>
      <c r="BN67" s="69">
        <v>1122629306</v>
      </c>
      <c r="BO67" s="69">
        <v>1122629306</v>
      </c>
      <c r="BP67" s="69">
        <v>0</v>
      </c>
      <c r="BQ67" s="69"/>
      <c r="BR67" s="69" t="s">
        <v>156</v>
      </c>
      <c r="BS67" s="69" t="s">
        <v>810</v>
      </c>
      <c r="BT67" s="68">
        <v>0</v>
      </c>
      <c r="BU67" s="68">
        <v>0</v>
      </c>
      <c r="BV67" s="68">
        <v>0</v>
      </c>
      <c r="BW67" s="94">
        <v>0</v>
      </c>
      <c r="BX67" s="94">
        <v>0</v>
      </c>
      <c r="BY67" s="94">
        <v>0</v>
      </c>
      <c r="BZ67" s="94">
        <v>0</v>
      </c>
      <c r="CA67" s="94">
        <v>0</v>
      </c>
      <c r="CB67" s="109">
        <v>4490517227</v>
      </c>
      <c r="CC67" s="109">
        <v>0</v>
      </c>
      <c r="CD67" s="109">
        <v>0</v>
      </c>
      <c r="CE67" s="109">
        <v>0</v>
      </c>
      <c r="CF67" s="108">
        <f>SUM(BT67:CE67)</f>
        <v>4490517227</v>
      </c>
      <c r="CG67" s="108">
        <f>$CF67-$AF67</f>
        <v>0</v>
      </c>
      <c r="CH67" s="37" t="s">
        <v>421</v>
      </c>
      <c r="CI67" s="37" t="s">
        <v>291</v>
      </c>
      <c r="CJ67" s="88" t="s">
        <v>319</v>
      </c>
      <c r="CK67" s="37" t="s">
        <v>290</v>
      </c>
      <c r="CL67" s="37" t="s">
        <v>320</v>
      </c>
      <c r="CM67" s="37" t="s">
        <v>321</v>
      </c>
      <c r="CN67" s="37" t="s">
        <v>290</v>
      </c>
      <c r="CO67" s="37" t="s">
        <v>277</v>
      </c>
      <c r="CP67" s="41">
        <v>46023</v>
      </c>
      <c r="CQ67" s="41">
        <v>47453</v>
      </c>
      <c r="CR67" s="87" t="s">
        <v>293</v>
      </c>
      <c r="CS67" s="37" t="s">
        <v>322</v>
      </c>
      <c r="CT67" s="37" t="s">
        <v>295</v>
      </c>
      <c r="CU67" s="37" t="s">
        <v>296</v>
      </c>
      <c r="CV67" s="37" t="s">
        <v>323</v>
      </c>
      <c r="CW67" s="45" t="s">
        <v>277</v>
      </c>
      <c r="CX67" s="45" t="s">
        <v>277</v>
      </c>
      <c r="CY67" s="45" t="s">
        <v>277</v>
      </c>
      <c r="CZ67" s="45" t="s">
        <v>277</v>
      </c>
      <c r="DA67" s="45" t="s">
        <v>277</v>
      </c>
      <c r="DB67" s="45" t="s">
        <v>277</v>
      </c>
      <c r="DC67" s="45" t="s">
        <v>277</v>
      </c>
      <c r="DD67" s="68">
        <v>0</v>
      </c>
      <c r="DE67" s="68">
        <v>0</v>
      </c>
      <c r="DF67" s="68">
        <v>0</v>
      </c>
      <c r="DG67" s="68">
        <v>0</v>
      </c>
      <c r="DH67" s="68">
        <v>0</v>
      </c>
      <c r="DI67" s="68">
        <v>0</v>
      </c>
      <c r="DJ67" s="68">
        <v>0</v>
      </c>
      <c r="DK67" s="68">
        <v>0</v>
      </c>
      <c r="DL67" s="68">
        <v>0</v>
      </c>
      <c r="DM67" s="68">
        <f>0+4490517227</f>
        <v>4490517227</v>
      </c>
      <c r="DN67" s="68">
        <v>0</v>
      </c>
      <c r="DO67" s="68">
        <v>0</v>
      </c>
      <c r="DP67" s="68">
        <f>SUM(DD67:DO67)</f>
        <v>4490517227</v>
      </c>
      <c r="DQ67" s="68">
        <f>DP67-AB67</f>
        <v>0</v>
      </c>
      <c r="DR67" s="68">
        <f>$DD67</f>
        <v>0</v>
      </c>
      <c r="DS67" s="68">
        <f>DR67+DE67</f>
        <v>0</v>
      </c>
      <c r="DT67" s="68">
        <f>DS67+DF67</f>
        <v>0</v>
      </c>
      <c r="DU67" s="68">
        <f>DT67+DG67</f>
        <v>0</v>
      </c>
      <c r="DV67" s="68">
        <f>DU67+DH67</f>
        <v>0</v>
      </c>
      <c r="DW67" s="68">
        <f>DV67+DI67</f>
        <v>0</v>
      </c>
      <c r="DX67" s="68">
        <f>DW67+DJ67</f>
        <v>0</v>
      </c>
      <c r="DY67" s="68">
        <f>DX67+DK67</f>
        <v>0</v>
      </c>
      <c r="DZ67" s="68">
        <f>DY67+DL67</f>
        <v>0</v>
      </c>
      <c r="EA67" s="68">
        <f>DZ67+DM67</f>
        <v>4490517227</v>
      </c>
      <c r="EB67" s="68">
        <f>EA67+DN67</f>
        <v>4490517227</v>
      </c>
      <c r="EC67" s="68">
        <f>EB67+DO67</f>
        <v>4490517227</v>
      </c>
      <c r="ED67" s="68">
        <f>$EC67-$AB67</f>
        <v>0</v>
      </c>
    </row>
    <row r="68" spans="1:134" ht="60">
      <c r="A68" s="74"/>
      <c r="B68" s="50">
        <v>162</v>
      </c>
      <c r="C68" s="50" t="s">
        <v>269</v>
      </c>
      <c r="D68" s="50" t="s">
        <v>270</v>
      </c>
      <c r="E68" s="50" t="s">
        <v>436</v>
      </c>
      <c r="F68" s="50" t="s">
        <v>272</v>
      </c>
      <c r="G68" s="50" t="s">
        <v>273</v>
      </c>
      <c r="H68" s="37" t="s">
        <v>151</v>
      </c>
      <c r="I68" s="37" t="s">
        <v>274</v>
      </c>
      <c r="J68" s="37" t="s">
        <v>275</v>
      </c>
      <c r="K68" s="50" t="s">
        <v>3</v>
      </c>
      <c r="L68" s="50" t="s">
        <v>25</v>
      </c>
      <c r="M68" s="50" t="s">
        <v>52</v>
      </c>
      <c r="N68" s="50" t="s">
        <v>276</v>
      </c>
      <c r="O68" s="37" t="s">
        <v>3</v>
      </c>
      <c r="P68" s="37" t="s">
        <v>25</v>
      </c>
      <c r="Q68" s="37" t="s">
        <v>52</v>
      </c>
      <c r="R68" s="37" t="s">
        <v>512</v>
      </c>
      <c r="S68" s="50" t="s">
        <v>277</v>
      </c>
      <c r="T68" s="50"/>
      <c r="U68" s="50" t="s">
        <v>811</v>
      </c>
      <c r="V68" s="56" t="s">
        <v>277</v>
      </c>
      <c r="W68" s="56" t="s">
        <v>812</v>
      </c>
      <c r="X68" s="38" t="s">
        <v>812</v>
      </c>
      <c r="Y68" s="60"/>
      <c r="Z68" s="60"/>
      <c r="AA68" s="60"/>
      <c r="AB68" s="60"/>
      <c r="AC68" s="61"/>
      <c r="AD68" s="61"/>
      <c r="AE68" s="109">
        <v>5909450168</v>
      </c>
      <c r="AF68" s="107">
        <v>4431783876</v>
      </c>
      <c r="AG68" s="108">
        <f>$AR68+$AZ68+$BQ68+$BT68+$BU68+$BV68</f>
        <v>0</v>
      </c>
      <c r="AH68" s="121">
        <f>AF68-AG68</f>
        <v>4431783876</v>
      </c>
      <c r="AI68" s="144" t="s">
        <v>156</v>
      </c>
      <c r="AJ68" s="96"/>
      <c r="AK68" s="96"/>
      <c r="AL68" s="144"/>
      <c r="AM68" s="68"/>
      <c r="AN68" s="68"/>
      <c r="AO68" s="68"/>
      <c r="AP68" s="68"/>
      <c r="AQ68" s="68"/>
      <c r="AR68" s="68"/>
      <c r="AS68" s="68"/>
      <c r="AT68" s="68"/>
      <c r="AU68" s="69"/>
      <c r="AV68" s="69"/>
      <c r="AW68" s="69"/>
      <c r="AX68" s="69"/>
      <c r="AY68" s="68"/>
      <c r="AZ68" s="68"/>
      <c r="BA68" s="68"/>
      <c r="BB68" s="68"/>
      <c r="BC68" s="69"/>
      <c r="BD68" s="69"/>
      <c r="BE68" s="56" t="s">
        <v>277</v>
      </c>
      <c r="BF68" s="56" t="s">
        <v>277</v>
      </c>
      <c r="BG68" s="56" t="s">
        <v>277</v>
      </c>
      <c r="BH68" s="56" t="s">
        <v>277</v>
      </c>
      <c r="BI68" s="69">
        <v>0</v>
      </c>
      <c r="BJ68" s="69">
        <v>0</v>
      </c>
      <c r="BK68" s="69">
        <v>0</v>
      </c>
      <c r="BL68" s="69">
        <v>0</v>
      </c>
      <c r="BM68" s="69">
        <v>0</v>
      </c>
      <c r="BN68" s="69">
        <v>0</v>
      </c>
      <c r="BO68" s="69">
        <v>0</v>
      </c>
      <c r="BP68" s="69">
        <v>0</v>
      </c>
      <c r="BQ68" s="69"/>
      <c r="BR68" s="69" t="s">
        <v>156</v>
      </c>
      <c r="BS68" s="69" t="s">
        <v>440</v>
      </c>
      <c r="BT68" s="68">
        <v>0</v>
      </c>
      <c r="BU68" s="68">
        <v>0</v>
      </c>
      <c r="BV68" s="68">
        <v>0</v>
      </c>
      <c r="BW68" s="94">
        <v>0</v>
      </c>
      <c r="BX68" s="94">
        <v>0</v>
      </c>
      <c r="BY68" s="94">
        <v>0</v>
      </c>
      <c r="BZ68" s="94">
        <v>4431783876</v>
      </c>
      <c r="CA68" s="94">
        <v>0</v>
      </c>
      <c r="CB68" s="94">
        <v>0</v>
      </c>
      <c r="CC68" s="94">
        <v>0</v>
      </c>
      <c r="CD68" s="94">
        <v>0</v>
      </c>
      <c r="CE68" s="109">
        <v>0</v>
      </c>
      <c r="CF68" s="108">
        <f>SUM(BT68:CE68)</f>
        <v>4431783876</v>
      </c>
      <c r="CG68" s="108">
        <f>$CF68-$AF68</f>
        <v>0</v>
      </c>
      <c r="CH68" s="37" t="s">
        <v>421</v>
      </c>
      <c r="CI68" s="37" t="s">
        <v>291</v>
      </c>
      <c r="CJ68" s="89" t="s">
        <v>319</v>
      </c>
      <c r="CK68" s="37" t="s">
        <v>291</v>
      </c>
      <c r="CL68" s="37" t="s">
        <v>441</v>
      </c>
      <c r="CM68" s="37" t="s">
        <v>442</v>
      </c>
      <c r="CN68" s="37" t="s">
        <v>290</v>
      </c>
      <c r="CO68" s="37" t="s">
        <v>277</v>
      </c>
      <c r="CP68" s="41">
        <v>46143</v>
      </c>
      <c r="CQ68" s="41">
        <v>47453</v>
      </c>
      <c r="CR68" s="87" t="s">
        <v>293</v>
      </c>
      <c r="CS68" s="37" t="s">
        <v>322</v>
      </c>
      <c r="CT68" s="37" t="s">
        <v>444</v>
      </c>
      <c r="CU68" s="37" t="s">
        <v>445</v>
      </c>
      <c r="CV68" s="37" t="s">
        <v>323</v>
      </c>
      <c r="CW68" s="37" t="s">
        <v>277</v>
      </c>
      <c r="CX68" s="37" t="s">
        <v>277</v>
      </c>
      <c r="CY68" s="37" t="s">
        <v>277</v>
      </c>
      <c r="CZ68" s="87" t="s">
        <v>277</v>
      </c>
      <c r="DA68" s="87" t="s">
        <v>277</v>
      </c>
      <c r="DB68" s="37" t="s">
        <v>277</v>
      </c>
      <c r="DC68" s="89" t="s">
        <v>446</v>
      </c>
      <c r="DD68" s="68"/>
      <c r="DE68" s="68"/>
      <c r="DF68" s="68"/>
      <c r="DG68" s="68"/>
      <c r="DH68" s="68"/>
      <c r="DI68" s="68"/>
      <c r="DJ68" s="68"/>
      <c r="DK68" s="68"/>
      <c r="DL68" s="68"/>
      <c r="DM68" s="68"/>
      <c r="DN68" s="68"/>
      <c r="DO68" s="68"/>
      <c r="DP68" s="68">
        <f>SUM(DD68:DO68)</f>
        <v>0</v>
      </c>
      <c r="DQ68" s="68">
        <f>DP68-AB68</f>
        <v>0</v>
      </c>
      <c r="DR68" s="68">
        <f>$DD68</f>
        <v>0</v>
      </c>
      <c r="DS68" s="68">
        <f>DR68+DE68</f>
        <v>0</v>
      </c>
      <c r="DT68" s="68">
        <f>DS68+DF68</f>
        <v>0</v>
      </c>
      <c r="DU68" s="68">
        <f>DT68+DG68</f>
        <v>0</v>
      </c>
      <c r="DV68" s="68">
        <f>DU68+DH68</f>
        <v>0</v>
      </c>
      <c r="DW68" s="68">
        <f>DV68+DI68</f>
        <v>0</v>
      </c>
      <c r="DX68" s="68">
        <f>DW68+DJ68</f>
        <v>0</v>
      </c>
      <c r="DY68" s="68">
        <f>DX68+DK68</f>
        <v>0</v>
      </c>
      <c r="DZ68" s="68">
        <f>DY68+DL68</f>
        <v>0</v>
      </c>
      <c r="EA68" s="68">
        <f>DZ68+DM68</f>
        <v>0</v>
      </c>
      <c r="EB68" s="68">
        <f>EA68+DN68</f>
        <v>0</v>
      </c>
      <c r="EC68" s="68">
        <f>EB68+DO68</f>
        <v>0</v>
      </c>
      <c r="ED68" s="68">
        <f>$EC68-$AB68</f>
        <v>0</v>
      </c>
    </row>
    <row r="69" spans="1:134" ht="165">
      <c r="A69" s="74"/>
      <c r="B69" s="50">
        <v>106</v>
      </c>
      <c r="C69" s="50" t="s">
        <v>269</v>
      </c>
      <c r="D69" s="50" t="s">
        <v>297</v>
      </c>
      <c r="E69" s="50"/>
      <c r="F69" s="50" t="s">
        <v>272</v>
      </c>
      <c r="G69" s="50" t="s">
        <v>273</v>
      </c>
      <c r="H69" s="37" t="s">
        <v>151</v>
      </c>
      <c r="I69" s="37" t="s">
        <v>326</v>
      </c>
      <c r="J69" s="37" t="s">
        <v>327</v>
      </c>
      <c r="K69" s="50" t="s">
        <v>3</v>
      </c>
      <c r="L69" s="50" t="s">
        <v>14</v>
      </c>
      <c r="M69" s="50" t="s">
        <v>16</v>
      </c>
      <c r="N69" s="50" t="s">
        <v>276</v>
      </c>
      <c r="O69" s="37" t="s">
        <v>3</v>
      </c>
      <c r="P69" s="37" t="s">
        <v>14</v>
      </c>
      <c r="Q69" s="37" t="s">
        <v>16</v>
      </c>
      <c r="R69" s="37" t="s">
        <v>276</v>
      </c>
      <c r="S69" s="50" t="s">
        <v>813</v>
      </c>
      <c r="T69" s="50" t="s">
        <v>814</v>
      </c>
      <c r="U69" s="50" t="s">
        <v>815</v>
      </c>
      <c r="V69" s="56" t="s">
        <v>816</v>
      </c>
      <c r="W69" s="56" t="s">
        <v>816</v>
      </c>
      <c r="X69" s="38" t="s">
        <v>817</v>
      </c>
      <c r="Y69" s="60">
        <v>80595232480</v>
      </c>
      <c r="Z69" s="60">
        <v>15796665566</v>
      </c>
      <c r="AA69" s="62">
        <f>876777470.6-1127772176</f>
        <v>-250994705.39999998</v>
      </c>
      <c r="AB69" s="60">
        <f>Z69+AA69</f>
        <v>15545670860.6</v>
      </c>
      <c r="AC69" s="183" t="s">
        <v>818</v>
      </c>
      <c r="AD69" s="61" t="s">
        <v>819</v>
      </c>
      <c r="AE69" s="112">
        <v>20665642595</v>
      </c>
      <c r="AF69" s="112">
        <v>4133128519</v>
      </c>
      <c r="AG69" s="110">
        <f>$AR69+$AZ69+$BQ69+$BT69+$BU69+$BV69</f>
        <v>344250000</v>
      </c>
      <c r="AH69" s="121">
        <f>AF69-AG69</f>
        <v>3788878519</v>
      </c>
      <c r="AI69" s="144" t="s">
        <v>820</v>
      </c>
      <c r="AJ69" s="201"/>
      <c r="AK69" s="201"/>
      <c r="AL69" s="90"/>
      <c r="AM69" s="68"/>
      <c r="AN69" s="68"/>
      <c r="AO69" s="68"/>
      <c r="AP69" s="68"/>
      <c r="AQ69" s="68">
        <v>0</v>
      </c>
      <c r="AR69" s="68">
        <v>0</v>
      </c>
      <c r="AS69" s="68" t="s">
        <v>307</v>
      </c>
      <c r="AT69" s="68"/>
      <c r="AU69" s="69" t="s">
        <v>277</v>
      </c>
      <c r="AV69" s="69" t="s">
        <v>277</v>
      </c>
      <c r="AW69" s="69" t="s">
        <v>277</v>
      </c>
      <c r="AX69" s="69"/>
      <c r="AY69" s="68">
        <v>0</v>
      </c>
      <c r="AZ69" s="68">
        <v>0</v>
      </c>
      <c r="BA69" s="68" t="s">
        <v>307</v>
      </c>
      <c r="BB69" s="68"/>
      <c r="BC69" s="69" t="s">
        <v>277</v>
      </c>
      <c r="BD69" s="69" t="s">
        <v>277</v>
      </c>
      <c r="BE69" s="56" t="s">
        <v>821</v>
      </c>
      <c r="BF69" s="56" t="s">
        <v>822</v>
      </c>
      <c r="BG69" s="56" t="s">
        <v>823</v>
      </c>
      <c r="BH69" s="56" t="s">
        <v>420</v>
      </c>
      <c r="BI69" s="69">
        <v>104032857774</v>
      </c>
      <c r="BJ69" s="69">
        <v>4133128519</v>
      </c>
      <c r="BK69" s="69">
        <v>12399385556</v>
      </c>
      <c r="BL69" s="69">
        <v>1033282130</v>
      </c>
      <c r="BM69" s="69">
        <v>1033282130</v>
      </c>
      <c r="BN69" s="69">
        <v>1033282130</v>
      </c>
      <c r="BO69" s="69">
        <v>1033282130</v>
      </c>
      <c r="BP69" s="69">
        <v>0</v>
      </c>
      <c r="BQ69" s="69"/>
      <c r="BR69" s="56" t="s">
        <v>156</v>
      </c>
      <c r="BS69" s="69" t="s">
        <v>317</v>
      </c>
      <c r="BT69" s="68">
        <v>0</v>
      </c>
      <c r="BU69" s="68">
        <v>344250000</v>
      </c>
      <c r="BV69" s="68">
        <v>0</v>
      </c>
      <c r="BW69" s="94">
        <v>0</v>
      </c>
      <c r="BX69" s="94">
        <v>0</v>
      </c>
      <c r="BY69" s="94">
        <v>0</v>
      </c>
      <c r="BZ69" s="94">
        <v>0</v>
      </c>
      <c r="CA69" s="94">
        <v>0</v>
      </c>
      <c r="CB69" s="111">
        <v>4133128519</v>
      </c>
      <c r="CC69" s="109">
        <v>0</v>
      </c>
      <c r="CD69" s="109">
        <v>0</v>
      </c>
      <c r="CE69" s="109">
        <v>0</v>
      </c>
      <c r="CF69" s="108">
        <f>SUM(BT69:CE69)</f>
        <v>4477378519</v>
      </c>
      <c r="CG69" s="108">
        <f>$CF69-$AF69</f>
        <v>344250000</v>
      </c>
      <c r="CH69" s="37" t="s">
        <v>421</v>
      </c>
      <c r="CI69" s="37" t="s">
        <v>291</v>
      </c>
      <c r="CJ69" s="88" t="s">
        <v>319</v>
      </c>
      <c r="CK69" s="37" t="s">
        <v>290</v>
      </c>
      <c r="CL69" s="37" t="s">
        <v>320</v>
      </c>
      <c r="CM69" s="37" t="s">
        <v>321</v>
      </c>
      <c r="CN69" s="37" t="s">
        <v>290</v>
      </c>
      <c r="CO69" s="37" t="s">
        <v>277</v>
      </c>
      <c r="CP69" s="41">
        <v>46023</v>
      </c>
      <c r="CQ69" s="41">
        <v>47453</v>
      </c>
      <c r="CR69" s="37" t="s">
        <v>293</v>
      </c>
      <c r="CS69" s="37" t="s">
        <v>322</v>
      </c>
      <c r="CT69" s="37" t="s">
        <v>295</v>
      </c>
      <c r="CU69" s="37" t="s">
        <v>296</v>
      </c>
      <c r="CV69" s="37" t="s">
        <v>323</v>
      </c>
      <c r="CW69" s="37">
        <v>0</v>
      </c>
      <c r="CX69" s="37">
        <v>0</v>
      </c>
      <c r="CY69" s="37">
        <v>0</v>
      </c>
      <c r="CZ69" s="123" t="s">
        <v>277</v>
      </c>
      <c r="DA69" s="123" t="s">
        <v>277</v>
      </c>
      <c r="DB69" s="37" t="s">
        <v>824</v>
      </c>
      <c r="DC69" s="37" t="s">
        <v>825</v>
      </c>
      <c r="DD69" s="68">
        <v>0</v>
      </c>
      <c r="DE69" s="68">
        <v>0</v>
      </c>
      <c r="DF69" s="68">
        <v>0</v>
      </c>
      <c r="DG69" s="68">
        <v>0</v>
      </c>
      <c r="DH69" s="68">
        <v>0</v>
      </c>
      <c r="DI69" s="68">
        <v>0</v>
      </c>
      <c r="DJ69" s="68">
        <v>0</v>
      </c>
      <c r="DK69" s="68">
        <v>0</v>
      </c>
      <c r="DL69" s="68">
        <v>0</v>
      </c>
      <c r="DM69" s="68">
        <f>0+876777470.6</f>
        <v>876777470.60000002</v>
      </c>
      <c r="DN69" s="68">
        <f>15796665566-1127772176</f>
        <v>14668893390</v>
      </c>
      <c r="DO69" s="68">
        <v>0</v>
      </c>
      <c r="DP69" s="68">
        <f>SUM(DD69:DO69)</f>
        <v>15545670860.6</v>
      </c>
      <c r="DQ69" s="68">
        <f>DP69-AB69</f>
        <v>0</v>
      </c>
      <c r="DR69" s="68">
        <f>$DD69</f>
        <v>0</v>
      </c>
      <c r="DS69" s="68">
        <f>DR69+DE69</f>
        <v>0</v>
      </c>
      <c r="DT69" s="68">
        <f>DS69+DF69</f>
        <v>0</v>
      </c>
      <c r="DU69" s="68">
        <f>DT69+DG69</f>
        <v>0</v>
      </c>
      <c r="DV69" s="68">
        <f>DU69+DH69</f>
        <v>0</v>
      </c>
      <c r="DW69" s="68">
        <f>DV69+DI69</f>
        <v>0</v>
      </c>
      <c r="DX69" s="68">
        <f>DW69+DJ69</f>
        <v>0</v>
      </c>
      <c r="DY69" s="68">
        <f>DX69+DK69</f>
        <v>0</v>
      </c>
      <c r="DZ69" s="68">
        <f>DY69+DL69</f>
        <v>0</v>
      </c>
      <c r="EA69" s="68">
        <f>DZ69+DM69</f>
        <v>876777470.60000002</v>
      </c>
      <c r="EB69" s="68">
        <f>EA69+DN69</f>
        <v>15545670860.6</v>
      </c>
      <c r="EC69" s="68">
        <f>EB69+DO69</f>
        <v>15545670860.6</v>
      </c>
      <c r="ED69" s="68">
        <f>$EC69-$AB69</f>
        <v>0</v>
      </c>
    </row>
    <row r="70" spans="1:134" ht="165">
      <c r="A70" s="74"/>
      <c r="B70" s="50">
        <v>108</v>
      </c>
      <c r="C70" s="50" t="s">
        <v>269</v>
      </c>
      <c r="D70" s="50" t="s">
        <v>297</v>
      </c>
      <c r="E70" s="50"/>
      <c r="F70" s="50" t="s">
        <v>272</v>
      </c>
      <c r="G70" s="50" t="s">
        <v>273</v>
      </c>
      <c r="H70" s="37" t="s">
        <v>151</v>
      </c>
      <c r="I70" s="37" t="s">
        <v>326</v>
      </c>
      <c r="J70" s="37" t="s">
        <v>327</v>
      </c>
      <c r="K70" s="50" t="s">
        <v>3</v>
      </c>
      <c r="L70" s="50" t="s">
        <v>14</v>
      </c>
      <c r="M70" s="50" t="s">
        <v>16</v>
      </c>
      <c r="N70" s="50" t="s">
        <v>276</v>
      </c>
      <c r="O70" s="37" t="s">
        <v>3</v>
      </c>
      <c r="P70" s="37" t="s">
        <v>14</v>
      </c>
      <c r="Q70" s="37" t="s">
        <v>16</v>
      </c>
      <c r="R70" s="37" t="s">
        <v>276</v>
      </c>
      <c r="S70" s="50" t="s">
        <v>826</v>
      </c>
      <c r="T70" s="50" t="s">
        <v>827</v>
      </c>
      <c r="U70" s="50" t="s">
        <v>828</v>
      </c>
      <c r="V70" s="56" t="s">
        <v>829</v>
      </c>
      <c r="W70" s="56" t="s">
        <v>829</v>
      </c>
      <c r="X70" s="38" t="s">
        <v>830</v>
      </c>
      <c r="Y70" s="60">
        <v>44261114607</v>
      </c>
      <c r="Z70" s="60">
        <v>9398110002</v>
      </c>
      <c r="AA70" s="60"/>
      <c r="AB70" s="60">
        <f>Z70+AA70</f>
        <v>9398110002</v>
      </c>
      <c r="AC70" s="61"/>
      <c r="AD70" s="61"/>
      <c r="AE70" s="109">
        <v>20242516321</v>
      </c>
      <c r="AF70" s="109">
        <v>4048503264.1999998</v>
      </c>
      <c r="AG70" s="108">
        <f>$AR70+$AZ70+$BQ70+$BT70+$BU70+$BV70</f>
        <v>0</v>
      </c>
      <c r="AH70" s="121">
        <f>AF70-AG70</f>
        <v>4048503264.1999998</v>
      </c>
      <c r="AI70" s="39" t="s">
        <v>831</v>
      </c>
      <c r="AJ70" s="198"/>
      <c r="AK70" s="198"/>
      <c r="AL70" s="42"/>
      <c r="AM70" s="68"/>
      <c r="AN70" s="68"/>
      <c r="AO70" s="68"/>
      <c r="AP70" s="68"/>
      <c r="AQ70" s="68">
        <v>0</v>
      </c>
      <c r="AR70" s="68">
        <v>0</v>
      </c>
      <c r="AS70" s="68" t="s">
        <v>307</v>
      </c>
      <c r="AT70" s="68"/>
      <c r="AU70" s="69" t="s">
        <v>277</v>
      </c>
      <c r="AV70" s="69" t="s">
        <v>277</v>
      </c>
      <c r="AW70" s="69" t="s">
        <v>277</v>
      </c>
      <c r="AX70" s="69"/>
      <c r="AY70" s="68">
        <v>0</v>
      </c>
      <c r="AZ70" s="68">
        <v>0</v>
      </c>
      <c r="BA70" s="68" t="s">
        <v>307</v>
      </c>
      <c r="BB70" s="68"/>
      <c r="BC70" s="69" t="s">
        <v>277</v>
      </c>
      <c r="BD70" s="69" t="s">
        <v>277</v>
      </c>
      <c r="BE70" s="56" t="s">
        <v>832</v>
      </c>
      <c r="BF70" s="56" t="s">
        <v>833</v>
      </c>
      <c r="BG70" s="56" t="s">
        <v>834</v>
      </c>
      <c r="BH70" s="56" t="s">
        <v>420</v>
      </c>
      <c r="BI70" s="69">
        <v>53517568507</v>
      </c>
      <c r="BJ70" s="69">
        <v>4048503264.1999998</v>
      </c>
      <c r="BK70" s="69">
        <v>12145509792.6</v>
      </c>
      <c r="BL70" s="69">
        <v>1012125816.05</v>
      </c>
      <c r="BM70" s="69">
        <v>1012125816.05</v>
      </c>
      <c r="BN70" s="69">
        <v>1012125816.05</v>
      </c>
      <c r="BO70" s="69">
        <v>1012125816.05</v>
      </c>
      <c r="BP70" s="69">
        <v>0</v>
      </c>
      <c r="BQ70" s="69"/>
      <c r="BR70" s="69" t="s">
        <v>156</v>
      </c>
      <c r="BS70" s="69" t="s">
        <v>317</v>
      </c>
      <c r="BT70" s="68">
        <v>0</v>
      </c>
      <c r="BU70" s="68">
        <v>0</v>
      </c>
      <c r="BV70" s="68"/>
      <c r="BW70" s="94">
        <v>0</v>
      </c>
      <c r="BX70" s="94">
        <v>0</v>
      </c>
      <c r="BY70" s="94">
        <v>0</v>
      </c>
      <c r="BZ70" s="94">
        <v>0</v>
      </c>
      <c r="CA70" s="94">
        <v>0</v>
      </c>
      <c r="CB70" s="109">
        <v>4048503264.1999998</v>
      </c>
      <c r="CC70" s="109">
        <v>0</v>
      </c>
      <c r="CD70" s="109">
        <v>0</v>
      </c>
      <c r="CE70" s="109">
        <v>0</v>
      </c>
      <c r="CF70" s="108">
        <f>SUM(BT70:CE70)</f>
        <v>4048503264.1999998</v>
      </c>
      <c r="CG70" s="108">
        <f>$CF70-$AF70</f>
        <v>0</v>
      </c>
      <c r="CH70" s="37" t="s">
        <v>421</v>
      </c>
      <c r="CI70" s="37" t="s">
        <v>291</v>
      </c>
      <c r="CJ70" s="37" t="s">
        <v>319</v>
      </c>
      <c r="CK70" s="37" t="s">
        <v>290</v>
      </c>
      <c r="CL70" s="37" t="s">
        <v>320</v>
      </c>
      <c r="CM70" s="37" t="s">
        <v>321</v>
      </c>
      <c r="CN70" s="37" t="s">
        <v>290</v>
      </c>
      <c r="CO70" s="37" t="s">
        <v>277</v>
      </c>
      <c r="CP70" s="41">
        <v>46023</v>
      </c>
      <c r="CQ70" s="41">
        <v>48183</v>
      </c>
      <c r="CR70" s="37" t="s">
        <v>293</v>
      </c>
      <c r="CS70" s="37" t="s">
        <v>322</v>
      </c>
      <c r="CT70" s="37" t="s">
        <v>295</v>
      </c>
      <c r="CU70" s="37" t="s">
        <v>296</v>
      </c>
      <c r="CV70" s="37" t="s">
        <v>323</v>
      </c>
      <c r="CW70" s="37">
        <v>0</v>
      </c>
      <c r="CX70" s="37">
        <v>0</v>
      </c>
      <c r="CY70" s="37">
        <v>0</v>
      </c>
      <c r="CZ70" s="123" t="s">
        <v>277</v>
      </c>
      <c r="DA70" s="123" t="s">
        <v>277</v>
      </c>
      <c r="DB70" s="37" t="s">
        <v>422</v>
      </c>
      <c r="DC70" s="37" t="s">
        <v>835</v>
      </c>
      <c r="DD70" s="68">
        <v>0</v>
      </c>
      <c r="DE70" s="68">
        <v>0</v>
      </c>
      <c r="DF70" s="68">
        <v>0</v>
      </c>
      <c r="DG70" s="68">
        <v>0</v>
      </c>
      <c r="DH70" s="68">
        <v>0</v>
      </c>
      <c r="DI70" s="68">
        <v>0</v>
      </c>
      <c r="DJ70" s="68">
        <v>0</v>
      </c>
      <c r="DK70" s="68">
        <v>0</v>
      </c>
      <c r="DL70" s="68">
        <v>0</v>
      </c>
      <c r="DM70" s="68">
        <v>0</v>
      </c>
      <c r="DN70" s="68">
        <v>9398110002</v>
      </c>
      <c r="DO70" s="68">
        <v>0</v>
      </c>
      <c r="DP70" s="68">
        <f>SUM(DD70:DO70)</f>
        <v>9398110002</v>
      </c>
      <c r="DQ70" s="68">
        <f>DP70-AB70</f>
        <v>0</v>
      </c>
      <c r="DR70" s="68">
        <f>$DD70</f>
        <v>0</v>
      </c>
      <c r="DS70" s="68">
        <f>DR70+DE70</f>
        <v>0</v>
      </c>
      <c r="DT70" s="68">
        <f>DS70+DF70</f>
        <v>0</v>
      </c>
      <c r="DU70" s="68">
        <f>DT70+DG70</f>
        <v>0</v>
      </c>
      <c r="DV70" s="68">
        <f>DU70+DH70</f>
        <v>0</v>
      </c>
      <c r="DW70" s="68">
        <f>DV70+DI70</f>
        <v>0</v>
      </c>
      <c r="DX70" s="68">
        <f>DW70+DJ70</f>
        <v>0</v>
      </c>
      <c r="DY70" s="68">
        <f>DX70+DK70</f>
        <v>0</v>
      </c>
      <c r="DZ70" s="68">
        <f>DY70+DL70</f>
        <v>0</v>
      </c>
      <c r="EA70" s="68">
        <f>DZ70+DM70</f>
        <v>0</v>
      </c>
      <c r="EB70" s="68">
        <f>EA70+DN70</f>
        <v>9398110002</v>
      </c>
      <c r="EC70" s="68">
        <f>EB70+DO70</f>
        <v>9398110002</v>
      </c>
      <c r="ED70" s="68">
        <f>$EC70-$AB70</f>
        <v>0</v>
      </c>
    </row>
    <row r="71" spans="1:134" ht="90">
      <c r="A71" s="74"/>
      <c r="B71" s="50">
        <v>154</v>
      </c>
      <c r="C71" s="50" t="s">
        <v>269</v>
      </c>
      <c r="D71" s="50" t="s">
        <v>270</v>
      </c>
      <c r="E71" s="50" t="s">
        <v>800</v>
      </c>
      <c r="F71" s="50" t="s">
        <v>272</v>
      </c>
      <c r="G71" s="50" t="s">
        <v>273</v>
      </c>
      <c r="H71" s="37" t="s">
        <v>151</v>
      </c>
      <c r="I71" s="37" t="s">
        <v>326</v>
      </c>
      <c r="J71" s="37" t="s">
        <v>327</v>
      </c>
      <c r="K71" s="50" t="s">
        <v>3</v>
      </c>
      <c r="L71" s="50" t="s">
        <v>14</v>
      </c>
      <c r="M71" s="50" t="s">
        <v>16</v>
      </c>
      <c r="N71" s="50" t="s">
        <v>276</v>
      </c>
      <c r="O71" s="37" t="s">
        <v>3</v>
      </c>
      <c r="P71" s="37" t="s">
        <v>14</v>
      </c>
      <c r="Q71" s="37" t="s">
        <v>16</v>
      </c>
      <c r="R71" s="37" t="s">
        <v>276</v>
      </c>
      <c r="S71" s="50" t="s">
        <v>277</v>
      </c>
      <c r="T71" s="50">
        <v>140</v>
      </c>
      <c r="U71" s="50" t="s">
        <v>836</v>
      </c>
      <c r="V71" s="56" t="s">
        <v>277</v>
      </c>
      <c r="W71" s="56" t="s">
        <v>837</v>
      </c>
      <c r="X71" s="38" t="s">
        <v>838</v>
      </c>
      <c r="Y71" s="60"/>
      <c r="Z71" s="60">
        <v>0</v>
      </c>
      <c r="AA71" s="60">
        <f>0+4017865173</f>
        <v>4017865173</v>
      </c>
      <c r="AB71" s="60">
        <f>Z71+AA71</f>
        <v>4017865173</v>
      </c>
      <c r="AC71" s="61" t="s">
        <v>839</v>
      </c>
      <c r="AD71" s="61" t="s">
        <v>840</v>
      </c>
      <c r="AE71" s="112">
        <v>20089325865</v>
      </c>
      <c r="AF71" s="112">
        <v>4017865173</v>
      </c>
      <c r="AG71" s="110">
        <f>$AR71+$AZ71+$BQ71+$BT71+$BU71+$BV71</f>
        <v>0</v>
      </c>
      <c r="AH71" s="121">
        <f>AF71-AG71</f>
        <v>4017865173</v>
      </c>
      <c r="AI71" s="39" t="s">
        <v>841</v>
      </c>
      <c r="AJ71" s="198"/>
      <c r="AK71" s="198"/>
      <c r="AL71" s="42"/>
      <c r="AM71" s="68"/>
      <c r="AN71" s="68"/>
      <c r="AO71" s="68"/>
      <c r="AP71" s="68"/>
      <c r="AQ71" s="68">
        <v>0</v>
      </c>
      <c r="AR71" s="68">
        <v>0</v>
      </c>
      <c r="AS71" s="68" t="s">
        <v>307</v>
      </c>
      <c r="AT71" s="68"/>
      <c r="AU71" s="69"/>
      <c r="AV71" s="69"/>
      <c r="AW71" s="69"/>
      <c r="AX71" s="69"/>
      <c r="AY71" s="68">
        <v>0</v>
      </c>
      <c r="AZ71" s="68">
        <v>0</v>
      </c>
      <c r="BA71" s="68" t="s">
        <v>307</v>
      </c>
      <c r="BB71" s="68"/>
      <c r="BC71" s="69"/>
      <c r="BD71" s="69"/>
      <c r="BE71" s="56" t="s">
        <v>842</v>
      </c>
      <c r="BF71" s="56" t="s">
        <v>843</v>
      </c>
      <c r="BG71" s="56" t="s">
        <v>844</v>
      </c>
      <c r="BH71" s="56" t="s">
        <v>296</v>
      </c>
      <c r="BI71" s="69">
        <v>20089325865</v>
      </c>
      <c r="BJ71" s="69">
        <v>4017865173</v>
      </c>
      <c r="BK71" s="69">
        <v>12053595519</v>
      </c>
      <c r="BL71" s="69">
        <v>1004466293.25</v>
      </c>
      <c r="BM71" s="69">
        <v>1004466293.25</v>
      </c>
      <c r="BN71" s="69">
        <v>1004466293.25</v>
      </c>
      <c r="BO71" s="69">
        <v>1004466293.25</v>
      </c>
      <c r="BP71" s="69">
        <v>0</v>
      </c>
      <c r="BQ71" s="69"/>
      <c r="BR71" s="69" t="s">
        <v>156</v>
      </c>
      <c r="BS71" s="69" t="s">
        <v>810</v>
      </c>
      <c r="BT71" s="68">
        <v>0</v>
      </c>
      <c r="BU71" s="68">
        <v>0</v>
      </c>
      <c r="BV71" s="68">
        <v>0</v>
      </c>
      <c r="BW71" s="94">
        <v>0</v>
      </c>
      <c r="BX71" s="94">
        <v>0</v>
      </c>
      <c r="BY71" s="94">
        <v>0</v>
      </c>
      <c r="BZ71" s="94">
        <v>0</v>
      </c>
      <c r="CA71" s="94">
        <v>0</v>
      </c>
      <c r="CB71" s="168">
        <v>4017865173</v>
      </c>
      <c r="CC71" s="168">
        <v>0</v>
      </c>
      <c r="CD71" s="168">
        <v>0</v>
      </c>
      <c r="CE71" s="168">
        <v>0</v>
      </c>
      <c r="CF71" s="170">
        <f>SUM(BT71:CE71)</f>
        <v>4017865173</v>
      </c>
      <c r="CG71" s="108">
        <f>$CF71-$AF71</f>
        <v>0</v>
      </c>
      <c r="CH71" s="37" t="s">
        <v>421</v>
      </c>
      <c r="CI71" s="37" t="s">
        <v>291</v>
      </c>
      <c r="CJ71" s="88" t="s">
        <v>319</v>
      </c>
      <c r="CK71" s="37" t="s">
        <v>290</v>
      </c>
      <c r="CL71" s="37" t="s">
        <v>320</v>
      </c>
      <c r="CM71" s="37" t="s">
        <v>321</v>
      </c>
      <c r="CN71" s="37" t="s">
        <v>290</v>
      </c>
      <c r="CO71" s="45" t="s">
        <v>277</v>
      </c>
      <c r="CP71" s="41">
        <v>46023</v>
      </c>
      <c r="CQ71" s="41">
        <v>47453</v>
      </c>
      <c r="CR71" s="87" t="s">
        <v>293</v>
      </c>
      <c r="CS71" s="37" t="s">
        <v>322</v>
      </c>
      <c r="CT71" s="91" t="s">
        <v>295</v>
      </c>
      <c r="CU71" s="91" t="s">
        <v>296</v>
      </c>
      <c r="CV71" s="91" t="s">
        <v>156</v>
      </c>
      <c r="CW71" s="45" t="s">
        <v>277</v>
      </c>
      <c r="CX71" s="45" t="s">
        <v>277</v>
      </c>
      <c r="CY71" s="45" t="s">
        <v>277</v>
      </c>
      <c r="CZ71" s="45" t="s">
        <v>277</v>
      </c>
      <c r="DA71" s="45" t="s">
        <v>277</v>
      </c>
      <c r="DB71" s="45" t="s">
        <v>277</v>
      </c>
      <c r="DC71" s="45" t="s">
        <v>277</v>
      </c>
      <c r="DD71" s="68">
        <v>0</v>
      </c>
      <c r="DE71" s="68">
        <v>0</v>
      </c>
      <c r="DF71" s="68">
        <v>0</v>
      </c>
      <c r="DG71" s="68">
        <v>0</v>
      </c>
      <c r="DH71" s="68">
        <v>0</v>
      </c>
      <c r="DI71" s="68">
        <v>0</v>
      </c>
      <c r="DJ71" s="68">
        <v>0</v>
      </c>
      <c r="DK71" s="68">
        <v>0</v>
      </c>
      <c r="DL71" s="68">
        <v>0</v>
      </c>
      <c r="DM71" s="68">
        <f>0+4017865173</f>
        <v>4017865173</v>
      </c>
      <c r="DN71" s="68">
        <v>0</v>
      </c>
      <c r="DO71" s="68">
        <v>0</v>
      </c>
      <c r="DP71" s="68">
        <f>SUM(DD71:DO71)</f>
        <v>4017865173</v>
      </c>
      <c r="DQ71" s="68">
        <f>DP71-AB71</f>
        <v>0</v>
      </c>
      <c r="DR71" s="68">
        <f>$DD71</f>
        <v>0</v>
      </c>
      <c r="DS71" s="68">
        <f>DR71+DE71</f>
        <v>0</v>
      </c>
      <c r="DT71" s="68">
        <f>DS71+DF71</f>
        <v>0</v>
      </c>
      <c r="DU71" s="68">
        <f>DT71+DG71</f>
        <v>0</v>
      </c>
      <c r="DV71" s="68">
        <f>DU71+DH71</f>
        <v>0</v>
      </c>
      <c r="DW71" s="68">
        <f>DV71+DI71</f>
        <v>0</v>
      </c>
      <c r="DX71" s="68">
        <f>DW71+DJ71</f>
        <v>0</v>
      </c>
      <c r="DY71" s="68">
        <f>DX71+DK71</f>
        <v>0</v>
      </c>
      <c r="DZ71" s="68">
        <f>DY71+DL71</f>
        <v>0</v>
      </c>
      <c r="EA71" s="68">
        <f>DZ71+DM71</f>
        <v>4017865173</v>
      </c>
      <c r="EB71" s="68">
        <f>EA71+DN71</f>
        <v>4017865173</v>
      </c>
      <c r="EC71" s="68">
        <f>EB71+DO71</f>
        <v>4017865173</v>
      </c>
      <c r="ED71" s="68">
        <f>$EC71-$AB71</f>
        <v>0</v>
      </c>
    </row>
    <row r="72" spans="1:134" ht="45">
      <c r="B72" s="159"/>
      <c r="C72" s="160" t="s">
        <v>269</v>
      </c>
      <c r="D72" s="160" t="s">
        <v>270</v>
      </c>
      <c r="E72" s="160"/>
      <c r="F72" s="160" t="s">
        <v>272</v>
      </c>
      <c r="G72" s="160" t="s">
        <v>273</v>
      </c>
      <c r="H72" s="160" t="s">
        <v>151</v>
      </c>
      <c r="I72" s="160" t="s">
        <v>326</v>
      </c>
      <c r="J72" s="160" t="s">
        <v>327</v>
      </c>
      <c r="K72" s="160" t="s">
        <v>277</v>
      </c>
      <c r="L72" s="160" t="s">
        <v>277</v>
      </c>
      <c r="M72" s="160" t="s">
        <v>277</v>
      </c>
      <c r="N72" s="160" t="s">
        <v>277</v>
      </c>
      <c r="O72" s="160" t="s">
        <v>3</v>
      </c>
      <c r="P72" s="160" t="s">
        <v>14</v>
      </c>
      <c r="Q72" s="160" t="s">
        <v>16</v>
      </c>
      <c r="R72" s="158" t="s">
        <v>276</v>
      </c>
      <c r="S72" s="159" t="s">
        <v>277</v>
      </c>
      <c r="T72" s="159" t="s">
        <v>277</v>
      </c>
      <c r="U72" s="160" t="s">
        <v>277</v>
      </c>
      <c r="V72" s="159" t="s">
        <v>277</v>
      </c>
      <c r="W72" s="159" t="s">
        <v>277</v>
      </c>
      <c r="X72" s="161" t="s">
        <v>845</v>
      </c>
      <c r="Y72" s="159"/>
      <c r="Z72" s="159"/>
      <c r="AA72" s="159"/>
      <c r="AB72" s="159"/>
      <c r="AC72" s="159"/>
      <c r="AD72" s="159"/>
      <c r="AE72" s="155">
        <v>19997332374</v>
      </c>
      <c r="AF72" s="155">
        <v>3999466475</v>
      </c>
      <c r="AG72" s="155"/>
      <c r="AH72" s="121">
        <f>AF72-AG72</f>
        <v>3999466475</v>
      </c>
      <c r="AI72" s="159" t="s">
        <v>846</v>
      </c>
      <c r="AJ72" s="206"/>
      <c r="AK72" s="206"/>
      <c r="AL72" s="161"/>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159"/>
      <c r="BS72" s="159"/>
      <c r="BT72" s="159"/>
      <c r="BU72" s="159"/>
      <c r="BV72" s="159"/>
      <c r="BW72" s="155">
        <v>0</v>
      </c>
      <c r="BX72" s="155">
        <v>0</v>
      </c>
      <c r="BY72" s="155">
        <v>0</v>
      </c>
      <c r="BZ72" s="155">
        <v>0</v>
      </c>
      <c r="CA72" s="155">
        <v>0</v>
      </c>
      <c r="CB72" s="155">
        <v>0</v>
      </c>
      <c r="CC72" s="155">
        <v>0</v>
      </c>
      <c r="CD72" s="155">
        <v>3999466475</v>
      </c>
      <c r="CE72" s="155">
        <v>0</v>
      </c>
      <c r="CF72" s="156">
        <f>SUM(BT72:CE72)</f>
        <v>3999466475</v>
      </c>
      <c r="CG72" s="156">
        <f>$CF72-$AF72</f>
        <v>0</v>
      </c>
      <c r="CH72" s="160" t="s">
        <v>421</v>
      </c>
      <c r="CI72" s="160" t="s">
        <v>651</v>
      </c>
      <c r="CJ72" s="165" t="s">
        <v>319</v>
      </c>
      <c r="CK72" s="158" t="s">
        <v>652</v>
      </c>
      <c r="CL72" s="158" t="s">
        <v>320</v>
      </c>
      <c r="CM72" s="158" t="s">
        <v>321</v>
      </c>
      <c r="CN72" s="158" t="s">
        <v>290</v>
      </c>
      <c r="CO72" s="158" t="s">
        <v>277</v>
      </c>
      <c r="CP72" s="166">
        <v>46023</v>
      </c>
      <c r="CQ72" s="166">
        <v>47453</v>
      </c>
      <c r="CR72" s="158" t="s">
        <v>293</v>
      </c>
      <c r="CS72" s="158" t="s">
        <v>322</v>
      </c>
      <c r="CT72" s="158" t="s">
        <v>295</v>
      </c>
      <c r="CU72" s="158" t="s">
        <v>296</v>
      </c>
      <c r="CV72" s="158" t="s">
        <v>323</v>
      </c>
      <c r="CW72" s="158" t="s">
        <v>277</v>
      </c>
      <c r="CX72" s="158" t="s">
        <v>277</v>
      </c>
      <c r="CY72" s="158" t="s">
        <v>277</v>
      </c>
      <c r="CZ72" s="158" t="s">
        <v>277</v>
      </c>
      <c r="DA72" s="158" t="s">
        <v>277</v>
      </c>
      <c r="DB72" s="158" t="s">
        <v>277</v>
      </c>
      <c r="DC72" s="158" t="s">
        <v>277</v>
      </c>
      <c r="DD72" s="159"/>
      <c r="DE72" s="159"/>
      <c r="DF72" s="159"/>
      <c r="DG72" s="159"/>
      <c r="DH72" s="159"/>
      <c r="DI72" s="159"/>
      <c r="DJ72" s="159"/>
      <c r="DK72" s="159"/>
      <c r="DL72" s="159"/>
      <c r="DM72" s="159"/>
      <c r="DN72" s="159"/>
      <c r="DO72" s="159"/>
      <c r="DP72" s="159"/>
      <c r="DQ72" s="159"/>
      <c r="DR72" s="159"/>
      <c r="DS72" s="159"/>
      <c r="DT72" s="159"/>
      <c r="DU72" s="159"/>
      <c r="DV72" s="159"/>
      <c r="DW72" s="159"/>
      <c r="DX72" s="159"/>
      <c r="DY72" s="159"/>
      <c r="DZ72" s="159"/>
      <c r="EA72" s="159"/>
      <c r="EB72" s="159"/>
      <c r="EC72" s="159"/>
      <c r="ED72" s="159"/>
    </row>
    <row r="73" spans="1:134">
      <c r="B73" s="159"/>
      <c r="C73" s="160" t="s">
        <v>269</v>
      </c>
      <c r="D73" s="160" t="s">
        <v>270</v>
      </c>
      <c r="E73" s="160"/>
      <c r="F73" s="160" t="s">
        <v>272</v>
      </c>
      <c r="G73" s="160" t="s">
        <v>273</v>
      </c>
      <c r="H73" s="160" t="s">
        <v>151</v>
      </c>
      <c r="I73" s="160" t="s">
        <v>546</v>
      </c>
      <c r="J73" s="160" t="s">
        <v>786</v>
      </c>
      <c r="K73" s="160" t="s">
        <v>277</v>
      </c>
      <c r="L73" s="160" t="s">
        <v>277</v>
      </c>
      <c r="M73" s="160" t="s">
        <v>277</v>
      </c>
      <c r="N73" s="160" t="s">
        <v>277</v>
      </c>
      <c r="O73" s="160" t="s">
        <v>3</v>
      </c>
      <c r="P73" s="160" t="s">
        <v>14</v>
      </c>
      <c r="Q73" s="160" t="s">
        <v>27</v>
      </c>
      <c r="R73" s="158" t="s">
        <v>276</v>
      </c>
      <c r="S73" s="159" t="s">
        <v>277</v>
      </c>
      <c r="T73" s="159" t="s">
        <v>277</v>
      </c>
      <c r="U73" s="160" t="s">
        <v>277</v>
      </c>
      <c r="V73" s="159" t="s">
        <v>277</v>
      </c>
      <c r="W73" s="159" t="s">
        <v>277</v>
      </c>
      <c r="X73" s="161" t="s">
        <v>847</v>
      </c>
      <c r="Y73" s="159"/>
      <c r="Z73" s="159"/>
      <c r="AA73" s="159"/>
      <c r="AB73" s="159"/>
      <c r="AC73" s="159"/>
      <c r="AD73" s="159"/>
      <c r="AE73" s="155">
        <v>9000000000</v>
      </c>
      <c r="AF73" s="155">
        <v>3600000000</v>
      </c>
      <c r="AG73" s="155"/>
      <c r="AH73" s="121">
        <f>AF73-AG73</f>
        <v>3600000000</v>
      </c>
      <c r="AI73" s="159" t="s">
        <v>677</v>
      </c>
      <c r="AJ73" s="206"/>
      <c r="AK73" s="206"/>
      <c r="AL73" s="161"/>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159"/>
      <c r="BS73" s="159"/>
      <c r="BT73" s="159"/>
      <c r="BU73" s="159"/>
      <c r="BV73" s="159"/>
      <c r="BW73" s="155">
        <v>0</v>
      </c>
      <c r="BX73" s="155">
        <v>0</v>
      </c>
      <c r="BY73" s="155">
        <v>0</v>
      </c>
      <c r="BZ73" s="155">
        <v>0</v>
      </c>
      <c r="CA73" s="155">
        <v>0</v>
      </c>
      <c r="CB73" s="155">
        <v>0</v>
      </c>
      <c r="CC73" s="155">
        <v>0</v>
      </c>
      <c r="CD73" s="155">
        <v>0</v>
      </c>
      <c r="CE73" s="155">
        <v>0</v>
      </c>
      <c r="CF73" s="156">
        <f>SUM(BT73:CE73)</f>
        <v>0</v>
      </c>
      <c r="CG73" s="156">
        <f>$CF73-$AF73</f>
        <v>-3600000000</v>
      </c>
      <c r="CH73" s="160" t="s">
        <v>289</v>
      </c>
      <c r="CI73" s="160" t="s">
        <v>290</v>
      </c>
      <c r="CJ73" s="158" t="s">
        <v>277</v>
      </c>
      <c r="CK73" s="160" t="s">
        <v>651</v>
      </c>
      <c r="CL73" s="160" t="s">
        <v>678</v>
      </c>
      <c r="CM73" s="160" t="s">
        <v>678</v>
      </c>
      <c r="CN73" s="160" t="s">
        <v>290</v>
      </c>
      <c r="CO73" s="160" t="s">
        <v>290</v>
      </c>
      <c r="CP73" s="160" t="s">
        <v>290</v>
      </c>
      <c r="CQ73" s="160" t="s">
        <v>290</v>
      </c>
      <c r="CR73" s="158" t="s">
        <v>293</v>
      </c>
      <c r="CS73" s="158" t="s">
        <v>322</v>
      </c>
      <c r="CT73" s="158" t="s">
        <v>295</v>
      </c>
      <c r="CU73" s="158" t="s">
        <v>296</v>
      </c>
      <c r="CV73" s="158" t="s">
        <v>323</v>
      </c>
      <c r="CW73" s="158" t="s">
        <v>277</v>
      </c>
      <c r="CX73" s="158" t="s">
        <v>277</v>
      </c>
      <c r="CY73" s="158" t="s">
        <v>277</v>
      </c>
      <c r="CZ73" s="158" t="s">
        <v>277</v>
      </c>
      <c r="DA73" s="158" t="s">
        <v>277</v>
      </c>
      <c r="DB73" s="158" t="s">
        <v>277</v>
      </c>
      <c r="DC73" s="158" t="s">
        <v>277</v>
      </c>
      <c r="DD73" s="159"/>
      <c r="DE73" s="159"/>
      <c r="DF73" s="159"/>
      <c r="DG73" s="159"/>
      <c r="DH73" s="159"/>
      <c r="DI73" s="159"/>
      <c r="DJ73" s="159"/>
      <c r="DK73" s="159"/>
      <c r="DL73" s="159"/>
      <c r="DM73" s="159"/>
      <c r="DN73" s="159"/>
      <c r="DO73" s="159"/>
      <c r="DP73" s="159"/>
      <c r="DQ73" s="159"/>
      <c r="DR73" s="159"/>
      <c r="DS73" s="159"/>
      <c r="DT73" s="159"/>
      <c r="DU73" s="159"/>
      <c r="DV73" s="159"/>
      <c r="DW73" s="159"/>
      <c r="DX73" s="159"/>
      <c r="DY73" s="159"/>
      <c r="DZ73" s="159"/>
      <c r="EA73" s="159"/>
      <c r="EB73" s="159"/>
      <c r="EC73" s="159"/>
      <c r="ED73" s="159"/>
    </row>
    <row r="74" spans="1:134" ht="60">
      <c r="B74" s="54"/>
      <c r="C74" s="50" t="s">
        <v>269</v>
      </c>
      <c r="D74" s="50" t="s">
        <v>270</v>
      </c>
      <c r="E74" s="55" t="s">
        <v>848</v>
      </c>
      <c r="F74" s="50" t="s">
        <v>272</v>
      </c>
      <c r="G74" s="50" t="s">
        <v>273</v>
      </c>
      <c r="H74" s="37" t="s">
        <v>151</v>
      </c>
      <c r="I74" s="37" t="s">
        <v>274</v>
      </c>
      <c r="J74" s="37" t="s">
        <v>277</v>
      </c>
      <c r="K74" s="50" t="s">
        <v>3</v>
      </c>
      <c r="L74" s="50" t="s">
        <v>14</v>
      </c>
      <c r="M74" s="50" t="s">
        <v>16</v>
      </c>
      <c r="N74" s="50" t="s">
        <v>276</v>
      </c>
      <c r="O74" s="37" t="s">
        <v>3</v>
      </c>
      <c r="P74" s="37" t="s">
        <v>14</v>
      </c>
      <c r="Q74" s="37" t="s">
        <v>16</v>
      </c>
      <c r="R74" s="37" t="s">
        <v>276</v>
      </c>
      <c r="S74" s="50" t="s">
        <v>277</v>
      </c>
      <c r="T74" s="50">
        <v>157</v>
      </c>
      <c r="U74" s="50" t="s">
        <v>849</v>
      </c>
      <c r="V74" s="56" t="s">
        <v>277</v>
      </c>
      <c r="W74" s="57" t="s">
        <v>850</v>
      </c>
      <c r="X74" s="46" t="s">
        <v>850</v>
      </c>
      <c r="Y74" s="64">
        <v>196868000</v>
      </c>
      <c r="Z74" s="65">
        <v>0</v>
      </c>
      <c r="AA74" s="65"/>
      <c r="AB74" s="65"/>
      <c r="AC74" s="66"/>
      <c r="AD74" s="66"/>
      <c r="AE74" s="119">
        <v>3500000000</v>
      </c>
      <c r="AF74" s="119">
        <v>3500000000</v>
      </c>
      <c r="AG74" s="64">
        <f>$AR74+$AZ74+$BQ74+$BT74+$BU74+$BV74</f>
        <v>0</v>
      </c>
      <c r="AH74" s="121">
        <f>AF74-AG74</f>
        <v>3500000000</v>
      </c>
      <c r="AI74" s="47" t="s">
        <v>277</v>
      </c>
      <c r="AJ74" s="202"/>
      <c r="AK74" s="202"/>
      <c r="AL74" s="47"/>
      <c r="AM74" s="54"/>
      <c r="AN74" s="54"/>
      <c r="AO74" s="54"/>
      <c r="AP74" s="54"/>
      <c r="AQ74" s="72"/>
      <c r="AR74" s="72"/>
      <c r="AS74" s="54"/>
      <c r="AT74" s="54"/>
      <c r="AU74" s="54"/>
      <c r="AV74" s="54"/>
      <c r="AW74" s="54"/>
      <c r="AX74" s="54"/>
      <c r="AY74" s="72"/>
      <c r="AZ74" s="72"/>
      <c r="BA74" s="54"/>
      <c r="BB74" s="54"/>
      <c r="BC74" s="54"/>
      <c r="BD74" s="54"/>
      <c r="BE74" s="57" t="s">
        <v>277</v>
      </c>
      <c r="BF74" s="57" t="s">
        <v>277</v>
      </c>
      <c r="BG74" s="57" t="s">
        <v>277</v>
      </c>
      <c r="BH74" s="57" t="s">
        <v>277</v>
      </c>
      <c r="BI74" s="54">
        <v>0</v>
      </c>
      <c r="BJ74" s="54">
        <v>0</v>
      </c>
      <c r="BK74" s="54">
        <v>0</v>
      </c>
      <c r="BL74" s="54">
        <v>0</v>
      </c>
      <c r="BM74" s="54">
        <v>0</v>
      </c>
      <c r="BN74" s="54">
        <v>0</v>
      </c>
      <c r="BO74" s="54">
        <v>0</v>
      </c>
      <c r="BP74" s="54">
        <v>0</v>
      </c>
      <c r="BQ74" s="54"/>
      <c r="BR74" s="69" t="s">
        <v>382</v>
      </c>
      <c r="BS74" s="69" t="s">
        <v>440</v>
      </c>
      <c r="BT74" s="72">
        <v>0</v>
      </c>
      <c r="BU74" s="72">
        <v>0</v>
      </c>
      <c r="BV74" s="72">
        <v>0</v>
      </c>
      <c r="BW74" s="94">
        <v>0</v>
      </c>
      <c r="BX74" s="94">
        <v>0</v>
      </c>
      <c r="BY74" s="94">
        <v>0</v>
      </c>
      <c r="BZ74" s="94">
        <v>0</v>
      </c>
      <c r="CA74" s="94">
        <v>0</v>
      </c>
      <c r="CB74" s="119">
        <v>0</v>
      </c>
      <c r="CC74" s="94">
        <v>3500000000</v>
      </c>
      <c r="CD74" s="94">
        <v>0</v>
      </c>
      <c r="CE74" s="94">
        <v>0</v>
      </c>
      <c r="CF74" s="64">
        <f>SUM(BT74:CE74)</f>
        <v>3500000000</v>
      </c>
      <c r="CG74" s="64">
        <f>$CF74-$AF74</f>
        <v>0</v>
      </c>
      <c r="CH74" s="87" t="s">
        <v>289</v>
      </c>
      <c r="CI74" s="87" t="s">
        <v>290</v>
      </c>
      <c r="CJ74" s="87" t="s">
        <v>277</v>
      </c>
      <c r="CK74" s="87" t="s">
        <v>290</v>
      </c>
      <c r="CL74" s="87" t="s">
        <v>277</v>
      </c>
      <c r="CM74" s="87" t="s">
        <v>277</v>
      </c>
      <c r="CN74" s="87" t="s">
        <v>290</v>
      </c>
      <c r="CO74" s="87" t="s">
        <v>277</v>
      </c>
      <c r="CP74" s="91" t="s">
        <v>277</v>
      </c>
      <c r="CQ74" s="91" t="s">
        <v>277</v>
      </c>
      <c r="CR74" s="87" t="s">
        <v>293</v>
      </c>
      <c r="CS74" s="87" t="s">
        <v>322</v>
      </c>
      <c r="CT74" s="87" t="s">
        <v>851</v>
      </c>
      <c r="CU74" s="91" t="s">
        <v>341</v>
      </c>
      <c r="CV74" s="91" t="s">
        <v>382</v>
      </c>
      <c r="CW74" s="87" t="s">
        <v>277</v>
      </c>
      <c r="CX74" s="87" t="s">
        <v>277</v>
      </c>
      <c r="CY74" s="87" t="s">
        <v>277</v>
      </c>
      <c r="CZ74" s="45" t="s">
        <v>277</v>
      </c>
      <c r="DA74" s="45" t="s">
        <v>277</v>
      </c>
      <c r="DB74" s="45" t="s">
        <v>277</v>
      </c>
      <c r="DC74" s="45" t="s">
        <v>277</v>
      </c>
      <c r="DD74" s="54"/>
      <c r="DE74" s="54"/>
      <c r="DF74" s="54"/>
      <c r="DG74" s="54"/>
      <c r="DH74" s="54"/>
      <c r="DI74" s="54"/>
      <c r="DJ74" s="54"/>
      <c r="DK74" s="54"/>
      <c r="DL74" s="54"/>
      <c r="DM74" s="54"/>
      <c r="DN74" s="54"/>
      <c r="DO74" s="54"/>
      <c r="DP74" s="54">
        <f>SUM(DD74:DO74)</f>
        <v>0</v>
      </c>
      <c r="DQ74" s="54">
        <f>DP74-AB74</f>
        <v>0</v>
      </c>
      <c r="DR74" s="54">
        <f>$DD74</f>
        <v>0</v>
      </c>
      <c r="DS74" s="54">
        <f>DR74+DE74</f>
        <v>0</v>
      </c>
      <c r="DT74" s="54">
        <f>DS74+DF74</f>
        <v>0</v>
      </c>
      <c r="DU74" s="54">
        <f>DT74+DG74</f>
        <v>0</v>
      </c>
      <c r="DV74" s="54">
        <f>DU74+DH74</f>
        <v>0</v>
      </c>
      <c r="DW74" s="54">
        <f>DV74+DI74</f>
        <v>0</v>
      </c>
      <c r="DX74" s="54">
        <f>DW74+DJ74</f>
        <v>0</v>
      </c>
      <c r="DY74" s="54">
        <f>DX74+DK74</f>
        <v>0</v>
      </c>
      <c r="DZ74" s="54">
        <f>DY74+DL74</f>
        <v>0</v>
      </c>
      <c r="EA74" s="54">
        <f>DZ74+DM74</f>
        <v>0</v>
      </c>
      <c r="EB74" s="54">
        <f>EA74+DN74</f>
        <v>0</v>
      </c>
      <c r="EC74" s="54">
        <f>EB74+DO74</f>
        <v>0</v>
      </c>
      <c r="ED74" s="54">
        <f>$EC74-$AB74</f>
        <v>0</v>
      </c>
    </row>
    <row r="75" spans="1:134" ht="30">
      <c r="A75" s="74"/>
      <c r="B75" s="50">
        <v>150</v>
      </c>
      <c r="C75" s="50" t="s">
        <v>269</v>
      </c>
      <c r="D75" s="50" t="s">
        <v>297</v>
      </c>
      <c r="E75" s="50"/>
      <c r="F75" s="50" t="s">
        <v>272</v>
      </c>
      <c r="G75" s="50" t="s">
        <v>273</v>
      </c>
      <c r="H75" s="37" t="s">
        <v>151</v>
      </c>
      <c r="I75" s="37" t="s">
        <v>732</v>
      </c>
      <c r="J75" s="37" t="s">
        <v>852</v>
      </c>
      <c r="K75" s="50" t="s">
        <v>3</v>
      </c>
      <c r="L75" s="50" t="s">
        <v>25</v>
      </c>
      <c r="M75" s="50" t="s">
        <v>55</v>
      </c>
      <c r="N75" s="50" t="s">
        <v>276</v>
      </c>
      <c r="O75" s="37" t="s">
        <v>3</v>
      </c>
      <c r="P75" s="37" t="s">
        <v>25</v>
      </c>
      <c r="Q75" s="37" t="s">
        <v>52</v>
      </c>
      <c r="R75" s="37" t="s">
        <v>512</v>
      </c>
      <c r="S75" s="50" t="s">
        <v>853</v>
      </c>
      <c r="T75" s="50" t="s">
        <v>854</v>
      </c>
      <c r="U75" s="50" t="s">
        <v>855</v>
      </c>
      <c r="V75" s="56" t="s">
        <v>856</v>
      </c>
      <c r="W75" s="56" t="s">
        <v>856</v>
      </c>
      <c r="X75" s="38" t="s">
        <v>856</v>
      </c>
      <c r="Y75" s="60">
        <v>20915730000</v>
      </c>
      <c r="Z75" s="60">
        <v>6182219000</v>
      </c>
      <c r="AA75" s="60"/>
      <c r="AB75" s="60">
        <f>Z75+AA75</f>
        <v>6182219000</v>
      </c>
      <c r="AC75" s="61"/>
      <c r="AD75" s="61"/>
      <c r="AE75" s="96">
        <v>20915730000</v>
      </c>
      <c r="AF75" s="109">
        <v>3119090000</v>
      </c>
      <c r="AG75" s="108">
        <f>$AR75+$AZ75+$BQ75+$BT75+$BU75+$BV75</f>
        <v>0</v>
      </c>
      <c r="AH75" s="121">
        <f>AF75-AG75</f>
        <v>3119090000</v>
      </c>
      <c r="AI75" s="39" t="s">
        <v>857</v>
      </c>
      <c r="AJ75" s="198"/>
      <c r="AK75" s="198"/>
      <c r="AL75" s="42"/>
      <c r="AM75" s="68"/>
      <c r="AN75" s="68"/>
      <c r="AO75" s="68"/>
      <c r="AP75" s="68"/>
      <c r="AQ75" s="68">
        <v>0</v>
      </c>
      <c r="AR75" s="68">
        <v>0</v>
      </c>
      <c r="AS75" s="68" t="s">
        <v>307</v>
      </c>
      <c r="AT75" s="68"/>
      <c r="AU75" s="69" t="s">
        <v>277</v>
      </c>
      <c r="AV75" s="69" t="s">
        <v>277</v>
      </c>
      <c r="AW75" s="69" t="s">
        <v>277</v>
      </c>
      <c r="AX75" s="69"/>
      <c r="AY75" s="68">
        <v>0</v>
      </c>
      <c r="AZ75" s="68">
        <v>0</v>
      </c>
      <c r="BA75" s="68" t="s">
        <v>307</v>
      </c>
      <c r="BB75" s="68"/>
      <c r="BC75" s="69" t="s">
        <v>858</v>
      </c>
      <c r="BD75" s="69" t="s">
        <v>277</v>
      </c>
      <c r="BE75" s="56" t="s">
        <v>277</v>
      </c>
      <c r="BF75" s="56" t="s">
        <v>277</v>
      </c>
      <c r="BG75" s="56" t="s">
        <v>277</v>
      </c>
      <c r="BH75" s="56" t="s">
        <v>277</v>
      </c>
      <c r="BI75" s="69">
        <v>0</v>
      </c>
      <c r="BJ75" s="69">
        <v>0</v>
      </c>
      <c r="BK75" s="69">
        <v>0</v>
      </c>
      <c r="BL75" s="69">
        <v>0</v>
      </c>
      <c r="BM75" s="69">
        <v>0</v>
      </c>
      <c r="BN75" s="69">
        <v>0</v>
      </c>
      <c r="BO75" s="69">
        <v>0</v>
      </c>
      <c r="BP75" s="69">
        <v>0</v>
      </c>
      <c r="BQ75" s="69"/>
      <c r="BR75" s="69" t="s">
        <v>382</v>
      </c>
      <c r="BS75" s="69" t="s">
        <v>859</v>
      </c>
      <c r="BT75" s="68">
        <v>0</v>
      </c>
      <c r="BU75" s="68">
        <v>0</v>
      </c>
      <c r="BV75" s="68">
        <v>0</v>
      </c>
      <c r="BW75" s="94">
        <v>0</v>
      </c>
      <c r="BX75" s="94">
        <v>0</v>
      </c>
      <c r="BY75" s="94">
        <v>0</v>
      </c>
      <c r="BZ75" s="94">
        <v>0</v>
      </c>
      <c r="CA75" s="94">
        <v>0</v>
      </c>
      <c r="CB75" s="94">
        <v>0</v>
      </c>
      <c r="CC75" s="94">
        <v>0</v>
      </c>
      <c r="CD75" s="94">
        <v>0</v>
      </c>
      <c r="CE75" s="109">
        <v>0</v>
      </c>
      <c r="CF75" s="108">
        <f>SUM(BT75:CE75)</f>
        <v>0</v>
      </c>
      <c r="CG75" s="108">
        <f>$CF75-$AF75</f>
        <v>-3119090000</v>
      </c>
      <c r="CH75" s="37" t="s">
        <v>289</v>
      </c>
      <c r="CI75" s="37" t="s">
        <v>290</v>
      </c>
      <c r="CJ75" s="37" t="s">
        <v>277</v>
      </c>
      <c r="CK75" s="37" t="s">
        <v>290</v>
      </c>
      <c r="CL75" s="37" t="s">
        <v>277</v>
      </c>
      <c r="CM75" s="37" t="s">
        <v>277</v>
      </c>
      <c r="CN75" s="37" t="s">
        <v>290</v>
      </c>
      <c r="CO75" s="37" t="s">
        <v>275</v>
      </c>
      <c r="CP75" s="41">
        <v>46023</v>
      </c>
      <c r="CQ75" s="41">
        <v>46387</v>
      </c>
      <c r="CR75" s="37" t="s">
        <v>293</v>
      </c>
      <c r="CS75" s="37" t="s">
        <v>322</v>
      </c>
      <c r="CT75" s="37" t="s">
        <v>295</v>
      </c>
      <c r="CU75" s="37" t="s">
        <v>341</v>
      </c>
      <c r="CV75" s="37" t="s">
        <v>382</v>
      </c>
      <c r="CW75" s="37">
        <v>4200004300</v>
      </c>
      <c r="CX75" s="37" t="s">
        <v>856</v>
      </c>
      <c r="CY75" s="37">
        <v>20915730000</v>
      </c>
      <c r="CZ75" s="123">
        <v>45566</v>
      </c>
      <c r="DA75" s="123">
        <v>46661</v>
      </c>
      <c r="DB75" s="37" t="s">
        <v>277</v>
      </c>
      <c r="DC75" s="37" t="s">
        <v>485</v>
      </c>
      <c r="DD75" s="68">
        <v>1055490000</v>
      </c>
      <c r="DE75" s="68">
        <v>4221960000</v>
      </c>
      <c r="DF75" s="68">
        <v>904769000</v>
      </c>
      <c r="DG75" s="68">
        <v>0</v>
      </c>
      <c r="DH75" s="68">
        <v>0</v>
      </c>
      <c r="DI75" s="68">
        <v>0</v>
      </c>
      <c r="DJ75" s="68">
        <v>0</v>
      </c>
      <c r="DK75" s="68">
        <v>0</v>
      </c>
      <c r="DL75" s="68">
        <v>0</v>
      </c>
      <c r="DM75" s="68">
        <v>0</v>
      </c>
      <c r="DN75" s="68">
        <v>0</v>
      </c>
      <c r="DO75" s="68">
        <v>0</v>
      </c>
      <c r="DP75" s="68">
        <f>SUM(DD75:DO75)</f>
        <v>6182219000</v>
      </c>
      <c r="DQ75" s="68">
        <f>DP75-AB75</f>
        <v>0</v>
      </c>
      <c r="DR75" s="68">
        <f>$DD75</f>
        <v>1055490000</v>
      </c>
      <c r="DS75" s="68">
        <f>DR75+DE75</f>
        <v>5277450000</v>
      </c>
      <c r="DT75" s="68">
        <f>DS75+DF75</f>
        <v>6182219000</v>
      </c>
      <c r="DU75" s="68">
        <f>DT75+DG75</f>
        <v>6182219000</v>
      </c>
      <c r="DV75" s="68">
        <f>DU75+DH75</f>
        <v>6182219000</v>
      </c>
      <c r="DW75" s="68">
        <f>DV75+DI75</f>
        <v>6182219000</v>
      </c>
      <c r="DX75" s="68">
        <f>DW75+DJ75</f>
        <v>6182219000</v>
      </c>
      <c r="DY75" s="68">
        <f>DX75+DK75</f>
        <v>6182219000</v>
      </c>
      <c r="DZ75" s="68">
        <f>DY75+DL75</f>
        <v>6182219000</v>
      </c>
      <c r="EA75" s="68">
        <f>DZ75+DM75</f>
        <v>6182219000</v>
      </c>
      <c r="EB75" s="68">
        <f>EA75+DN75</f>
        <v>6182219000</v>
      </c>
      <c r="EC75" s="68">
        <f>EB75+DO75</f>
        <v>6182219000</v>
      </c>
      <c r="ED75" s="68">
        <f>$EC75-$AB75</f>
        <v>0</v>
      </c>
    </row>
    <row r="76" spans="1:134">
      <c r="A76" s="74"/>
      <c r="B76" s="50">
        <v>34</v>
      </c>
      <c r="C76" s="50" t="s">
        <v>269</v>
      </c>
      <c r="D76" s="50" t="s">
        <v>297</v>
      </c>
      <c r="E76" s="50"/>
      <c r="F76" s="50" t="s">
        <v>272</v>
      </c>
      <c r="G76" s="50" t="s">
        <v>273</v>
      </c>
      <c r="H76" s="37" t="s">
        <v>151</v>
      </c>
      <c r="I76" s="37" t="s">
        <v>546</v>
      </c>
      <c r="J76" s="37" t="s">
        <v>621</v>
      </c>
      <c r="K76" s="50" t="s">
        <v>3</v>
      </c>
      <c r="L76" s="50" t="s">
        <v>14</v>
      </c>
      <c r="M76" s="50" t="s">
        <v>16</v>
      </c>
      <c r="N76" s="50" t="s">
        <v>276</v>
      </c>
      <c r="O76" s="37" t="s">
        <v>3</v>
      </c>
      <c r="P76" s="37" t="s">
        <v>14</v>
      </c>
      <c r="Q76" s="37" t="s">
        <v>16</v>
      </c>
      <c r="R76" s="37" t="s">
        <v>276</v>
      </c>
      <c r="S76" s="50" t="s">
        <v>277</v>
      </c>
      <c r="T76" s="50" t="s">
        <v>860</v>
      </c>
      <c r="U76" s="50" t="s">
        <v>861</v>
      </c>
      <c r="V76" s="56" t="s">
        <v>862</v>
      </c>
      <c r="W76" s="56" t="s">
        <v>862</v>
      </c>
      <c r="X76" s="38" t="s">
        <v>862</v>
      </c>
      <c r="Y76" s="60">
        <v>800000000</v>
      </c>
      <c r="Z76" s="60">
        <v>800000000</v>
      </c>
      <c r="AA76" s="60"/>
      <c r="AB76" s="60">
        <f>Z76+AA76</f>
        <v>800000000</v>
      </c>
      <c r="AC76" s="61"/>
      <c r="AD76" s="61"/>
      <c r="AE76" s="175">
        <v>800000000</v>
      </c>
      <c r="AF76" s="109">
        <v>3000000000</v>
      </c>
      <c r="AG76" s="108">
        <f>$AR76+$AZ76+$BQ76+$BT76+$BU76+$BV76</f>
        <v>0</v>
      </c>
      <c r="AH76" s="121">
        <f>AF76-AG76</f>
        <v>3000000000</v>
      </c>
      <c r="AI76" s="176" t="s">
        <v>863</v>
      </c>
      <c r="AJ76" s="203"/>
      <c r="AK76" s="203"/>
      <c r="AL76" s="167"/>
      <c r="AM76" s="68"/>
      <c r="AN76" s="68"/>
      <c r="AO76" s="68"/>
      <c r="AP76" s="68"/>
      <c r="AQ76" s="68">
        <v>0</v>
      </c>
      <c r="AR76" s="68">
        <v>0</v>
      </c>
      <c r="AS76" s="68" t="s">
        <v>307</v>
      </c>
      <c r="AT76" s="68"/>
      <c r="AU76" s="69" t="s">
        <v>277</v>
      </c>
      <c r="AV76" s="69" t="s">
        <v>277</v>
      </c>
      <c r="AW76" s="69" t="s">
        <v>277</v>
      </c>
      <c r="AX76" s="69"/>
      <c r="AY76" s="68">
        <v>0</v>
      </c>
      <c r="AZ76" s="68">
        <v>0</v>
      </c>
      <c r="BA76" s="68" t="s">
        <v>307</v>
      </c>
      <c r="BB76" s="68"/>
      <c r="BC76" s="69" t="s">
        <v>864</v>
      </c>
      <c r="BD76" s="69" t="s">
        <v>277</v>
      </c>
      <c r="BE76" s="56" t="s">
        <v>277</v>
      </c>
      <c r="BF76" s="56" t="s">
        <v>277</v>
      </c>
      <c r="BG76" s="56" t="s">
        <v>277</v>
      </c>
      <c r="BH76" s="56" t="s">
        <v>277</v>
      </c>
      <c r="BI76" s="69">
        <v>0</v>
      </c>
      <c r="BJ76" s="69">
        <v>0</v>
      </c>
      <c r="BK76" s="69">
        <v>0</v>
      </c>
      <c r="BL76" s="69">
        <v>0</v>
      </c>
      <c r="BM76" s="69">
        <v>0</v>
      </c>
      <c r="BN76" s="69">
        <v>0</v>
      </c>
      <c r="BO76" s="69">
        <v>0</v>
      </c>
      <c r="BP76" s="69">
        <v>0</v>
      </c>
      <c r="BQ76" s="69"/>
      <c r="BR76" s="69" t="s">
        <v>382</v>
      </c>
      <c r="BS76" s="69" t="s">
        <v>798</v>
      </c>
      <c r="BT76" s="68">
        <v>0</v>
      </c>
      <c r="BU76" s="68">
        <v>0</v>
      </c>
      <c r="BV76" s="68">
        <v>0</v>
      </c>
      <c r="BW76" s="94">
        <v>0</v>
      </c>
      <c r="BX76" s="94">
        <v>0</v>
      </c>
      <c r="BY76" s="94">
        <v>3000000000</v>
      </c>
      <c r="BZ76" s="94">
        <v>0</v>
      </c>
      <c r="CA76" s="94">
        <v>0</v>
      </c>
      <c r="CB76" s="94">
        <v>0</v>
      </c>
      <c r="CC76" s="94">
        <v>0</v>
      </c>
      <c r="CD76" s="94">
        <v>0</v>
      </c>
      <c r="CE76" s="94">
        <v>0</v>
      </c>
      <c r="CF76" s="108">
        <f>SUM(BT76:CE76)</f>
        <v>3000000000</v>
      </c>
      <c r="CG76" s="108">
        <f>$CF76-$AF76</f>
        <v>0</v>
      </c>
      <c r="CH76" s="37" t="s">
        <v>289</v>
      </c>
      <c r="CI76" s="37" t="s">
        <v>290</v>
      </c>
      <c r="CJ76" s="37" t="s">
        <v>277</v>
      </c>
      <c r="CK76" s="37" t="s">
        <v>290</v>
      </c>
      <c r="CL76" s="37" t="s">
        <v>277</v>
      </c>
      <c r="CM76" s="37" t="s">
        <v>277</v>
      </c>
      <c r="CN76" s="37" t="s">
        <v>290</v>
      </c>
      <c r="CO76" s="37" t="s">
        <v>621</v>
      </c>
      <c r="CP76" s="41">
        <v>46023</v>
      </c>
      <c r="CQ76" s="41">
        <v>46387</v>
      </c>
      <c r="CR76" s="37" t="s">
        <v>577</v>
      </c>
      <c r="CS76" s="37" t="s">
        <v>454</v>
      </c>
      <c r="CT76" s="37" t="s">
        <v>295</v>
      </c>
      <c r="CU76" s="37" t="s">
        <v>296</v>
      </c>
      <c r="CV76" s="37" t="s">
        <v>323</v>
      </c>
      <c r="CW76" s="37" t="s">
        <v>277</v>
      </c>
      <c r="CX76" s="37" t="s">
        <v>277</v>
      </c>
      <c r="CY76" s="37">
        <v>0</v>
      </c>
      <c r="CZ76" s="123" t="s">
        <v>277</v>
      </c>
      <c r="DA76" s="123" t="s">
        <v>277</v>
      </c>
      <c r="DB76" s="37" t="s">
        <v>277</v>
      </c>
      <c r="DC76" s="37" t="s">
        <v>455</v>
      </c>
      <c r="DD76" s="68">
        <v>0</v>
      </c>
      <c r="DE76" s="68">
        <v>0</v>
      </c>
      <c r="DF76" s="68">
        <v>0</v>
      </c>
      <c r="DG76" s="68">
        <v>0</v>
      </c>
      <c r="DH76" s="68">
        <v>0</v>
      </c>
      <c r="DI76" s="68">
        <v>0</v>
      </c>
      <c r="DJ76" s="68">
        <v>0</v>
      </c>
      <c r="DK76" s="68">
        <v>0</v>
      </c>
      <c r="DL76" s="68">
        <v>0</v>
      </c>
      <c r="DM76" s="68">
        <v>0</v>
      </c>
      <c r="DN76" s="68">
        <v>0</v>
      </c>
      <c r="DO76" s="68">
        <v>800000000</v>
      </c>
      <c r="DP76" s="68">
        <f>SUM(DD76:DO76)</f>
        <v>800000000</v>
      </c>
      <c r="DQ76" s="68">
        <f>DP76-AB76</f>
        <v>0</v>
      </c>
      <c r="DR76" s="68">
        <f>$DD76</f>
        <v>0</v>
      </c>
      <c r="DS76" s="68">
        <f>DR76+DE76</f>
        <v>0</v>
      </c>
      <c r="DT76" s="68">
        <f>DS76+DF76</f>
        <v>0</v>
      </c>
      <c r="DU76" s="68">
        <f>DT76+DG76</f>
        <v>0</v>
      </c>
      <c r="DV76" s="68">
        <f>DU76+DH76</f>
        <v>0</v>
      </c>
      <c r="DW76" s="68">
        <f>DV76+DI76</f>
        <v>0</v>
      </c>
      <c r="DX76" s="68">
        <f>DW76+DJ76</f>
        <v>0</v>
      </c>
      <c r="DY76" s="68">
        <f>DX76+DK76</f>
        <v>0</v>
      </c>
      <c r="DZ76" s="68">
        <f>DY76+DL76</f>
        <v>0</v>
      </c>
      <c r="EA76" s="68">
        <f>DZ76+DM76</f>
        <v>0</v>
      </c>
      <c r="EB76" s="68">
        <f>EA76+DN76</f>
        <v>0</v>
      </c>
      <c r="EC76" s="68">
        <f>EB76+DO76</f>
        <v>800000000</v>
      </c>
      <c r="ED76" s="68">
        <f>$EC76-$AB76</f>
        <v>0</v>
      </c>
    </row>
    <row r="77" spans="1:134" ht="150">
      <c r="A77" s="74"/>
      <c r="B77" s="50">
        <v>100</v>
      </c>
      <c r="C77" s="50" t="s">
        <v>269</v>
      </c>
      <c r="D77" s="50" t="s">
        <v>297</v>
      </c>
      <c r="E77" s="50"/>
      <c r="F77" s="50" t="s">
        <v>272</v>
      </c>
      <c r="G77" s="50" t="s">
        <v>273</v>
      </c>
      <c r="H77" s="37" t="s">
        <v>151</v>
      </c>
      <c r="I77" s="37" t="s">
        <v>326</v>
      </c>
      <c r="J77" s="37" t="s">
        <v>327</v>
      </c>
      <c r="K77" s="50" t="s">
        <v>3</v>
      </c>
      <c r="L77" s="50" t="s">
        <v>14</v>
      </c>
      <c r="M77" s="50" t="s">
        <v>16</v>
      </c>
      <c r="N77" s="50" t="s">
        <v>276</v>
      </c>
      <c r="O77" s="37" t="s">
        <v>3</v>
      </c>
      <c r="P77" s="37" t="s">
        <v>14</v>
      </c>
      <c r="Q77" s="37" t="s">
        <v>16</v>
      </c>
      <c r="R77" s="37" t="s">
        <v>276</v>
      </c>
      <c r="S77" s="50" t="s">
        <v>865</v>
      </c>
      <c r="T77" s="50" t="s">
        <v>866</v>
      </c>
      <c r="U77" s="50" t="s">
        <v>867</v>
      </c>
      <c r="V77" s="56" t="s">
        <v>868</v>
      </c>
      <c r="W77" s="56" t="s">
        <v>868</v>
      </c>
      <c r="X77" s="38" t="s">
        <v>869</v>
      </c>
      <c r="Y77" s="60">
        <v>129745301886</v>
      </c>
      <c r="Z77" s="60">
        <v>25538056537</v>
      </c>
      <c r="AA77" s="60">
        <v>-22746062830</v>
      </c>
      <c r="AB77" s="60">
        <f>Z77+AA77</f>
        <v>2791993707</v>
      </c>
      <c r="AC77" s="61" t="s">
        <v>414</v>
      </c>
      <c r="AD77" s="61" t="s">
        <v>870</v>
      </c>
      <c r="AE77" s="112">
        <v>13959968532</v>
      </c>
      <c r="AF77" s="112">
        <v>2791993706</v>
      </c>
      <c r="AG77" s="110">
        <f>$AR77+$AZ77+$BQ77+$BT77+$BU77+$BV77</f>
        <v>0</v>
      </c>
      <c r="AH77" s="121">
        <f>AF77-AG77</f>
        <v>2791993706</v>
      </c>
      <c r="AI77" s="39" t="s">
        <v>871</v>
      </c>
      <c r="AJ77" s="198"/>
      <c r="AK77" s="198"/>
      <c r="AL77" s="42"/>
      <c r="AM77" s="68"/>
      <c r="AN77" s="68"/>
      <c r="AO77" s="68"/>
      <c r="AP77" s="68"/>
      <c r="AQ77" s="68">
        <v>0</v>
      </c>
      <c r="AR77" s="68">
        <v>0</v>
      </c>
      <c r="AS77" s="68" t="s">
        <v>307</v>
      </c>
      <c r="AT77" s="68"/>
      <c r="AU77" s="69" t="s">
        <v>277</v>
      </c>
      <c r="AV77" s="69" t="s">
        <v>277</v>
      </c>
      <c r="AW77" s="69" t="s">
        <v>277</v>
      </c>
      <c r="AX77" s="69"/>
      <c r="AY77" s="68">
        <v>0</v>
      </c>
      <c r="AZ77" s="68">
        <v>0</v>
      </c>
      <c r="BA77" s="68" t="s">
        <v>307</v>
      </c>
      <c r="BB77" s="68"/>
      <c r="BC77" s="69" t="s">
        <v>277</v>
      </c>
      <c r="BD77" s="69" t="s">
        <v>277</v>
      </c>
      <c r="BE77" s="56" t="s">
        <v>872</v>
      </c>
      <c r="BF77" s="56" t="s">
        <v>873</v>
      </c>
      <c r="BG77" s="56" t="s">
        <v>874</v>
      </c>
      <c r="BH77" s="56" t="s">
        <v>420</v>
      </c>
      <c r="BI77" s="69">
        <v>92506247965</v>
      </c>
      <c r="BJ77" s="69">
        <v>2791993706</v>
      </c>
      <c r="BK77" s="69">
        <v>8375981119</v>
      </c>
      <c r="BL77" s="69">
        <v>697998427</v>
      </c>
      <c r="BM77" s="69">
        <v>697998427</v>
      </c>
      <c r="BN77" s="69">
        <v>697998427</v>
      </c>
      <c r="BO77" s="69">
        <v>697998426</v>
      </c>
      <c r="BP77" s="69">
        <v>0</v>
      </c>
      <c r="BQ77" s="69"/>
      <c r="BR77" s="69" t="s">
        <v>156</v>
      </c>
      <c r="BS77" s="69" t="s">
        <v>317</v>
      </c>
      <c r="BT77" s="68">
        <v>0</v>
      </c>
      <c r="BU77" s="68">
        <v>0</v>
      </c>
      <c r="BV77" s="68"/>
      <c r="BW77" s="94">
        <v>0</v>
      </c>
      <c r="BX77" s="94">
        <v>0</v>
      </c>
      <c r="BY77" s="94">
        <v>0</v>
      </c>
      <c r="BZ77" s="94">
        <v>0</v>
      </c>
      <c r="CA77" s="94">
        <v>0</v>
      </c>
      <c r="CB77" s="109">
        <v>2791993706</v>
      </c>
      <c r="CC77" s="109">
        <v>0</v>
      </c>
      <c r="CD77" s="109">
        <v>0</v>
      </c>
      <c r="CE77" s="109">
        <v>0</v>
      </c>
      <c r="CF77" s="108">
        <f>SUM(BT77:CE77)</f>
        <v>2791993706</v>
      </c>
      <c r="CG77" s="108">
        <f>$CF77-$AF77</f>
        <v>0</v>
      </c>
      <c r="CH77" s="37" t="s">
        <v>421</v>
      </c>
      <c r="CI77" s="37" t="s">
        <v>291</v>
      </c>
      <c r="CJ77" s="37" t="s">
        <v>319</v>
      </c>
      <c r="CK77" s="37" t="s">
        <v>290</v>
      </c>
      <c r="CL77" s="37" t="s">
        <v>875</v>
      </c>
      <c r="CM77" s="37" t="s">
        <v>321</v>
      </c>
      <c r="CN77" s="37" t="s">
        <v>290</v>
      </c>
      <c r="CO77" s="37" t="s">
        <v>277</v>
      </c>
      <c r="CP77" s="41">
        <v>46023</v>
      </c>
      <c r="CQ77" s="41">
        <v>48183</v>
      </c>
      <c r="CR77" s="37" t="s">
        <v>293</v>
      </c>
      <c r="CS77" s="37" t="s">
        <v>322</v>
      </c>
      <c r="CT77" s="37" t="s">
        <v>295</v>
      </c>
      <c r="CU77" s="37" t="s">
        <v>296</v>
      </c>
      <c r="CV77" s="37" t="s">
        <v>323</v>
      </c>
      <c r="CW77" s="37">
        <v>0</v>
      </c>
      <c r="CX77" s="37">
        <v>0</v>
      </c>
      <c r="CY77" s="37">
        <v>0</v>
      </c>
      <c r="CZ77" s="123" t="s">
        <v>277</v>
      </c>
      <c r="DA77" s="123" t="s">
        <v>277</v>
      </c>
      <c r="DB77" s="37" t="s">
        <v>422</v>
      </c>
      <c r="DC77" s="37" t="s">
        <v>876</v>
      </c>
      <c r="DD77" s="68">
        <v>0</v>
      </c>
      <c r="DE77" s="68">
        <v>0</v>
      </c>
      <c r="DF77" s="68">
        <v>0</v>
      </c>
      <c r="DG77" s="68">
        <v>0</v>
      </c>
      <c r="DH77" s="68">
        <v>0</v>
      </c>
      <c r="DI77" s="68">
        <v>0</v>
      </c>
      <c r="DJ77" s="68">
        <v>0</v>
      </c>
      <c r="DK77" s="68">
        <f>25538056537-22746062830</f>
        <v>2791993707</v>
      </c>
      <c r="DL77" s="68">
        <v>0</v>
      </c>
      <c r="DM77" s="68">
        <v>0</v>
      </c>
      <c r="DN77" s="68">
        <v>0</v>
      </c>
      <c r="DO77" s="68">
        <v>0</v>
      </c>
      <c r="DP77" s="68">
        <f>SUM(DD77:DO77)</f>
        <v>2791993707</v>
      </c>
      <c r="DQ77" s="68">
        <f>DP77-AB77</f>
        <v>0</v>
      </c>
      <c r="DR77" s="68">
        <f>$DD77</f>
        <v>0</v>
      </c>
      <c r="DS77" s="68">
        <f>DR77+DE77</f>
        <v>0</v>
      </c>
      <c r="DT77" s="68">
        <f>DS77+DF77</f>
        <v>0</v>
      </c>
      <c r="DU77" s="68">
        <f>DT77+DG77</f>
        <v>0</v>
      </c>
      <c r="DV77" s="68">
        <f>DU77+DH77</f>
        <v>0</v>
      </c>
      <c r="DW77" s="68">
        <f>DV77+DI77</f>
        <v>0</v>
      </c>
      <c r="DX77" s="68">
        <f>DW77+DJ77</f>
        <v>0</v>
      </c>
      <c r="DY77" s="68">
        <f>DX77+DK77</f>
        <v>2791993707</v>
      </c>
      <c r="DZ77" s="68">
        <f>DY77+DL77</f>
        <v>2791993707</v>
      </c>
      <c r="EA77" s="68">
        <f>DZ77+DM77</f>
        <v>2791993707</v>
      </c>
      <c r="EB77" s="68">
        <f>EA77+DN77</f>
        <v>2791993707</v>
      </c>
      <c r="EC77" s="68">
        <f>EB77+DO77</f>
        <v>2791993707</v>
      </c>
      <c r="ED77" s="68">
        <f>$EC77-$AB77</f>
        <v>0</v>
      </c>
    </row>
    <row r="78" spans="1:134" ht="30">
      <c r="A78" s="74"/>
      <c r="B78" s="50">
        <v>99</v>
      </c>
      <c r="C78" s="50" t="s">
        <v>269</v>
      </c>
      <c r="D78" s="50" t="s">
        <v>297</v>
      </c>
      <c r="E78" s="50"/>
      <c r="F78" s="50" t="s">
        <v>272</v>
      </c>
      <c r="G78" s="50" t="s">
        <v>273</v>
      </c>
      <c r="H78" s="37" t="s">
        <v>151</v>
      </c>
      <c r="I78" s="37" t="s">
        <v>674</v>
      </c>
      <c r="J78" s="37" t="s">
        <v>877</v>
      </c>
      <c r="K78" s="50" t="s">
        <v>3</v>
      </c>
      <c r="L78" s="50" t="s">
        <v>14</v>
      </c>
      <c r="M78" s="50" t="s">
        <v>16</v>
      </c>
      <c r="N78" s="50" t="s">
        <v>276</v>
      </c>
      <c r="O78" s="37" t="s">
        <v>3</v>
      </c>
      <c r="P78" s="37" t="s">
        <v>14</v>
      </c>
      <c r="Q78" s="37" t="s">
        <v>16</v>
      </c>
      <c r="R78" s="37" t="s">
        <v>276</v>
      </c>
      <c r="S78" s="50" t="s">
        <v>878</v>
      </c>
      <c r="T78" s="50" t="s">
        <v>879</v>
      </c>
      <c r="U78" s="50" t="s">
        <v>880</v>
      </c>
      <c r="V78" s="56" t="s">
        <v>881</v>
      </c>
      <c r="W78" s="56" t="s">
        <v>881</v>
      </c>
      <c r="X78" s="38" t="s">
        <v>881</v>
      </c>
      <c r="Y78" s="60">
        <v>5500000000</v>
      </c>
      <c r="Z78" s="60">
        <v>4675000000</v>
      </c>
      <c r="AA78" s="60">
        <v>-1650000000</v>
      </c>
      <c r="AB78" s="60">
        <f>Z78+AA78</f>
        <v>3025000000</v>
      </c>
      <c r="AC78" s="61" t="s">
        <v>414</v>
      </c>
      <c r="AD78" s="61" t="s">
        <v>882</v>
      </c>
      <c r="AE78" s="112">
        <v>5500000000</v>
      </c>
      <c r="AF78" s="112">
        <v>2750000000</v>
      </c>
      <c r="AG78" s="110">
        <f>$AR78+$AZ78+$BQ78+$BT78+$BU78+$BV78</f>
        <v>0</v>
      </c>
      <c r="AH78" s="121">
        <f>AF78-AG78</f>
        <v>2750000000</v>
      </c>
      <c r="AI78" s="85" t="s">
        <v>883</v>
      </c>
      <c r="AJ78" s="199"/>
      <c r="AK78" s="199"/>
      <c r="AL78" s="86"/>
      <c r="AM78" s="68"/>
      <c r="AN78" s="68"/>
      <c r="AO78" s="68"/>
      <c r="AP78" s="68"/>
      <c r="AQ78" s="68">
        <v>0</v>
      </c>
      <c r="AR78" s="68">
        <v>0</v>
      </c>
      <c r="AS78" s="68" t="s">
        <v>307</v>
      </c>
      <c r="AT78" s="68"/>
      <c r="AU78" s="69" t="s">
        <v>277</v>
      </c>
      <c r="AV78" s="69" t="s">
        <v>277</v>
      </c>
      <c r="AW78" s="69" t="s">
        <v>277</v>
      </c>
      <c r="AX78" s="69"/>
      <c r="AY78" s="68">
        <v>0</v>
      </c>
      <c r="AZ78" s="68">
        <v>0</v>
      </c>
      <c r="BA78" s="68" t="s">
        <v>307</v>
      </c>
      <c r="BB78" s="68"/>
      <c r="BC78" s="69" t="s">
        <v>884</v>
      </c>
      <c r="BD78" s="69" t="s">
        <v>277</v>
      </c>
      <c r="BE78" s="56" t="s">
        <v>277</v>
      </c>
      <c r="BF78" s="56" t="s">
        <v>277</v>
      </c>
      <c r="BG78" s="56" t="s">
        <v>277</v>
      </c>
      <c r="BH78" s="56" t="s">
        <v>277</v>
      </c>
      <c r="BI78" s="69">
        <v>0</v>
      </c>
      <c r="BJ78" s="69">
        <v>0</v>
      </c>
      <c r="BK78" s="69">
        <v>0</v>
      </c>
      <c r="BL78" s="69">
        <v>0</v>
      </c>
      <c r="BM78" s="69">
        <v>0</v>
      </c>
      <c r="BN78" s="69">
        <v>0</v>
      </c>
      <c r="BO78" s="69">
        <v>0</v>
      </c>
      <c r="BP78" s="69">
        <v>0</v>
      </c>
      <c r="BQ78" s="69"/>
      <c r="BR78" s="69" t="s">
        <v>337</v>
      </c>
      <c r="BS78" s="69" t="s">
        <v>885</v>
      </c>
      <c r="BT78" s="68">
        <v>0</v>
      </c>
      <c r="BU78" s="68">
        <v>0</v>
      </c>
      <c r="BV78" s="68">
        <v>0</v>
      </c>
      <c r="BW78" s="94">
        <v>0</v>
      </c>
      <c r="BX78" s="94">
        <v>0</v>
      </c>
      <c r="BY78" s="111">
        <v>2750000000</v>
      </c>
      <c r="BZ78" s="94">
        <v>0</v>
      </c>
      <c r="CA78" s="94">
        <v>0</v>
      </c>
      <c r="CB78" s="94">
        <v>0</v>
      </c>
      <c r="CC78" s="94">
        <v>0</v>
      </c>
      <c r="CD78" s="94">
        <v>0</v>
      </c>
      <c r="CE78" s="94">
        <v>0</v>
      </c>
      <c r="CF78" s="108">
        <f>SUM(BT78:CE78)</f>
        <v>2750000000</v>
      </c>
      <c r="CG78" s="108">
        <f>$CF78-$AF78</f>
        <v>0</v>
      </c>
      <c r="CH78" s="37" t="s">
        <v>289</v>
      </c>
      <c r="CI78" s="37" t="s">
        <v>290</v>
      </c>
      <c r="CJ78" s="37" t="s">
        <v>277</v>
      </c>
      <c r="CK78" s="37" t="s">
        <v>290</v>
      </c>
      <c r="CL78" s="37" t="s">
        <v>277</v>
      </c>
      <c r="CM78" s="37" t="s">
        <v>277</v>
      </c>
      <c r="CN78" s="37" t="s">
        <v>290</v>
      </c>
      <c r="CO78" s="37" t="s">
        <v>433</v>
      </c>
      <c r="CP78" s="41">
        <v>46023</v>
      </c>
      <c r="CQ78" s="41">
        <v>46387</v>
      </c>
      <c r="CR78" s="37" t="s">
        <v>293</v>
      </c>
      <c r="CS78" s="37" t="s">
        <v>454</v>
      </c>
      <c r="CT78" s="37" t="s">
        <v>295</v>
      </c>
      <c r="CU78" s="37" t="s">
        <v>341</v>
      </c>
      <c r="CV78" s="37" t="s">
        <v>337</v>
      </c>
      <c r="CW78" s="37">
        <v>4200009067</v>
      </c>
      <c r="CX78" s="37" t="s">
        <v>886</v>
      </c>
      <c r="CY78" s="37">
        <v>5500000000</v>
      </c>
      <c r="CZ78" s="123">
        <v>45505</v>
      </c>
      <c r="DA78" s="123">
        <v>46235</v>
      </c>
      <c r="DB78" s="37" t="s">
        <v>277</v>
      </c>
      <c r="DC78" s="37" t="s">
        <v>887</v>
      </c>
      <c r="DD78" s="68">
        <v>0</v>
      </c>
      <c r="DE78" s="68">
        <v>2864343556</v>
      </c>
      <c r="DF78" s="68">
        <f>1810656444-1650000000</f>
        <v>160656444</v>
      </c>
      <c r="DG78" s="68">
        <v>0</v>
      </c>
      <c r="DH78" s="68">
        <v>0</v>
      </c>
      <c r="DI78" s="68">
        <v>0</v>
      </c>
      <c r="DJ78" s="68">
        <v>0</v>
      </c>
      <c r="DK78" s="68">
        <v>0</v>
      </c>
      <c r="DL78" s="68">
        <v>0</v>
      </c>
      <c r="DM78" s="68">
        <v>0</v>
      </c>
      <c r="DN78" s="68">
        <v>0</v>
      </c>
      <c r="DO78" s="68">
        <v>0</v>
      </c>
      <c r="DP78" s="68">
        <f>SUM(DD78:DO78)</f>
        <v>3025000000</v>
      </c>
      <c r="DQ78" s="68">
        <f>DP78-AB78</f>
        <v>0</v>
      </c>
      <c r="DR78" s="68">
        <f>$DD78</f>
        <v>0</v>
      </c>
      <c r="DS78" s="68">
        <f>DR78+DE78</f>
        <v>2864343556</v>
      </c>
      <c r="DT78" s="68">
        <f>DS78+DF78</f>
        <v>3025000000</v>
      </c>
      <c r="DU78" s="68">
        <f>DT78+DG78</f>
        <v>3025000000</v>
      </c>
      <c r="DV78" s="68">
        <f>DU78+DH78</f>
        <v>3025000000</v>
      </c>
      <c r="DW78" s="68">
        <f>DV78+DI78</f>
        <v>3025000000</v>
      </c>
      <c r="DX78" s="68">
        <f>DW78+DJ78</f>
        <v>3025000000</v>
      </c>
      <c r="DY78" s="68">
        <f>DX78+DK78</f>
        <v>3025000000</v>
      </c>
      <c r="DZ78" s="68">
        <f>DY78+DL78</f>
        <v>3025000000</v>
      </c>
      <c r="EA78" s="68">
        <f>DZ78+DM78</f>
        <v>3025000000</v>
      </c>
      <c r="EB78" s="68">
        <f>EA78+DN78</f>
        <v>3025000000</v>
      </c>
      <c r="EC78" s="68">
        <f>EB78+DO78</f>
        <v>3025000000</v>
      </c>
      <c r="ED78" s="68">
        <f>$EC78-$AB78</f>
        <v>0</v>
      </c>
    </row>
    <row r="79" spans="1:134" ht="90">
      <c r="A79" s="74"/>
      <c r="B79" s="50">
        <v>134</v>
      </c>
      <c r="C79" s="50" t="s">
        <v>269</v>
      </c>
      <c r="D79" s="50" t="s">
        <v>297</v>
      </c>
      <c r="E79" s="50"/>
      <c r="F79" s="50" t="s">
        <v>272</v>
      </c>
      <c r="G79" s="50" t="s">
        <v>273</v>
      </c>
      <c r="H79" s="37" t="s">
        <v>151</v>
      </c>
      <c r="I79" s="37" t="s">
        <v>686</v>
      </c>
      <c r="J79" s="37" t="s">
        <v>605</v>
      </c>
      <c r="K79" s="50" t="s">
        <v>3</v>
      </c>
      <c r="L79" s="50" t="s">
        <v>25</v>
      </c>
      <c r="M79" s="50" t="s">
        <v>52</v>
      </c>
      <c r="N79" s="50" t="s">
        <v>276</v>
      </c>
      <c r="O79" s="37" t="s">
        <v>3</v>
      </c>
      <c r="P79" s="37" t="s">
        <v>25</v>
      </c>
      <c r="Q79" s="37" t="s">
        <v>52</v>
      </c>
      <c r="R79" s="37" t="s">
        <v>512</v>
      </c>
      <c r="S79" s="50" t="s">
        <v>277</v>
      </c>
      <c r="T79" s="50" t="s">
        <v>705</v>
      </c>
      <c r="U79" s="50" t="s">
        <v>888</v>
      </c>
      <c r="V79" s="56" t="s">
        <v>889</v>
      </c>
      <c r="W79" s="56" t="s">
        <v>889</v>
      </c>
      <c r="X79" s="38" t="s">
        <v>889</v>
      </c>
      <c r="Y79" s="60">
        <v>8500000000</v>
      </c>
      <c r="Z79" s="60">
        <v>2747733333</v>
      </c>
      <c r="AA79" s="60"/>
      <c r="AB79" s="60">
        <f>Z79+AA79</f>
        <v>2747733333</v>
      </c>
      <c r="AC79" s="61"/>
      <c r="AD79" s="61"/>
      <c r="AE79" s="109">
        <v>8500000000</v>
      </c>
      <c r="AF79" s="109">
        <v>2747733334</v>
      </c>
      <c r="AG79" s="108">
        <f>$AR79+$AZ79+$BQ79+$BT79+$BU79+$BV79</f>
        <v>0</v>
      </c>
      <c r="AH79" s="121">
        <f>AF79-AG79</f>
        <v>2747733334</v>
      </c>
      <c r="AI79" s="39" t="s">
        <v>890</v>
      </c>
      <c r="AJ79" s="198"/>
      <c r="AK79" s="198"/>
      <c r="AL79" s="42"/>
      <c r="AM79" s="68"/>
      <c r="AN79" s="68"/>
      <c r="AO79" s="68"/>
      <c r="AP79" s="68"/>
      <c r="AQ79" s="68">
        <v>0</v>
      </c>
      <c r="AR79" s="68">
        <v>0</v>
      </c>
      <c r="AS79" s="68" t="s">
        <v>307</v>
      </c>
      <c r="AT79" s="68"/>
      <c r="AU79" s="69" t="s">
        <v>277</v>
      </c>
      <c r="AV79" s="69" t="s">
        <v>277</v>
      </c>
      <c r="AW79" s="69" t="s">
        <v>277</v>
      </c>
      <c r="AX79" s="69"/>
      <c r="AY79" s="68">
        <v>0</v>
      </c>
      <c r="AZ79" s="68">
        <v>0</v>
      </c>
      <c r="BA79" s="68" t="s">
        <v>307</v>
      </c>
      <c r="BB79" s="68"/>
      <c r="BC79" s="69" t="s">
        <v>891</v>
      </c>
      <c r="BD79" s="69" t="s">
        <v>277</v>
      </c>
      <c r="BE79" s="56" t="s">
        <v>277</v>
      </c>
      <c r="BF79" s="56" t="s">
        <v>277</v>
      </c>
      <c r="BG79" s="56" t="s">
        <v>277</v>
      </c>
      <c r="BH79" s="56" t="s">
        <v>277</v>
      </c>
      <c r="BI79" s="69">
        <v>0</v>
      </c>
      <c r="BJ79" s="69">
        <v>0</v>
      </c>
      <c r="BK79" s="69">
        <v>0</v>
      </c>
      <c r="BL79" s="69">
        <v>0</v>
      </c>
      <c r="BM79" s="69">
        <v>0</v>
      </c>
      <c r="BN79" s="69">
        <v>0</v>
      </c>
      <c r="BO79" s="69">
        <v>0</v>
      </c>
      <c r="BP79" s="69">
        <v>0</v>
      </c>
      <c r="BQ79" s="69"/>
      <c r="BR79" s="69" t="s">
        <v>382</v>
      </c>
      <c r="BS79" s="69" t="s">
        <v>892</v>
      </c>
      <c r="BT79" s="68">
        <v>0</v>
      </c>
      <c r="BU79" s="68">
        <v>0</v>
      </c>
      <c r="BV79" s="68"/>
      <c r="BW79" s="94">
        <v>0</v>
      </c>
      <c r="BX79" s="94">
        <v>0</v>
      </c>
      <c r="BY79" s="94">
        <v>0</v>
      </c>
      <c r="BZ79" s="94">
        <v>0</v>
      </c>
      <c r="CA79" s="94">
        <v>0</v>
      </c>
      <c r="CB79" s="94">
        <v>0</v>
      </c>
      <c r="CC79" s="94">
        <v>0</v>
      </c>
      <c r="CD79" s="94">
        <v>0</v>
      </c>
      <c r="CE79" s="109">
        <v>2747733333</v>
      </c>
      <c r="CF79" s="108">
        <f>SUM(BT79:CE79)</f>
        <v>2747733333</v>
      </c>
      <c r="CG79" s="108">
        <f>$CF79-$AF79</f>
        <v>-1</v>
      </c>
      <c r="CH79" s="37" t="s">
        <v>289</v>
      </c>
      <c r="CI79" s="37" t="s">
        <v>290</v>
      </c>
      <c r="CJ79" s="37" t="s">
        <v>277</v>
      </c>
      <c r="CK79" s="37" t="s">
        <v>651</v>
      </c>
      <c r="CL79" s="37" t="s">
        <v>608</v>
      </c>
      <c r="CM79" s="37" t="s">
        <v>608</v>
      </c>
      <c r="CN79" s="37" t="s">
        <v>291</v>
      </c>
      <c r="CO79" s="37" t="s">
        <v>893</v>
      </c>
      <c r="CP79" s="41">
        <v>45306</v>
      </c>
      <c r="CQ79" s="41">
        <v>46401</v>
      </c>
      <c r="CR79" s="37" t="s">
        <v>577</v>
      </c>
      <c r="CS79" s="37" t="s">
        <v>454</v>
      </c>
      <c r="CT79" s="37" t="s">
        <v>524</v>
      </c>
      <c r="CU79" s="37" t="s">
        <v>341</v>
      </c>
      <c r="CV79" s="37" t="s">
        <v>382</v>
      </c>
      <c r="CW79" s="37" t="s">
        <v>894</v>
      </c>
      <c r="CX79" s="37" t="s">
        <v>889</v>
      </c>
      <c r="CY79" s="37">
        <v>8500000000</v>
      </c>
      <c r="CZ79" s="123">
        <v>45261</v>
      </c>
      <c r="DA79" s="123">
        <v>46357</v>
      </c>
      <c r="DB79" s="37" t="s">
        <v>277</v>
      </c>
      <c r="DC79" s="37" t="s">
        <v>388</v>
      </c>
      <c r="DD79" s="68">
        <v>0</v>
      </c>
      <c r="DE79" s="68">
        <v>0</v>
      </c>
      <c r="DF79" s="68">
        <v>2747733333</v>
      </c>
      <c r="DG79" s="68">
        <v>0</v>
      </c>
      <c r="DH79" s="68">
        <v>0</v>
      </c>
      <c r="DI79" s="68">
        <v>0</v>
      </c>
      <c r="DJ79" s="68">
        <v>0</v>
      </c>
      <c r="DK79" s="68">
        <v>0</v>
      </c>
      <c r="DL79" s="68">
        <v>0</v>
      </c>
      <c r="DM79" s="68">
        <v>0</v>
      </c>
      <c r="DN79" s="68">
        <v>0</v>
      </c>
      <c r="DO79" s="68">
        <v>0</v>
      </c>
      <c r="DP79" s="68">
        <f>SUM(DD79:DO79)</f>
        <v>2747733333</v>
      </c>
      <c r="DQ79" s="68">
        <f>DP79-AB79</f>
        <v>0</v>
      </c>
      <c r="DR79" s="68">
        <f>$DD79</f>
        <v>0</v>
      </c>
      <c r="DS79" s="68">
        <f>DR79+DE79</f>
        <v>0</v>
      </c>
      <c r="DT79" s="68">
        <f>DS79+DF79</f>
        <v>2747733333</v>
      </c>
      <c r="DU79" s="68">
        <f>DT79+DG79</f>
        <v>2747733333</v>
      </c>
      <c r="DV79" s="68">
        <f>DU79+DH79</f>
        <v>2747733333</v>
      </c>
      <c r="DW79" s="68">
        <f>DV79+DI79</f>
        <v>2747733333</v>
      </c>
      <c r="DX79" s="68">
        <f>DW79+DJ79</f>
        <v>2747733333</v>
      </c>
      <c r="DY79" s="68">
        <f>DX79+DK79</f>
        <v>2747733333</v>
      </c>
      <c r="DZ79" s="68">
        <f>DY79+DL79</f>
        <v>2747733333</v>
      </c>
      <c r="EA79" s="68">
        <f>DZ79+DM79</f>
        <v>2747733333</v>
      </c>
      <c r="EB79" s="68">
        <f>EA79+DN79</f>
        <v>2747733333</v>
      </c>
      <c r="EC79" s="68">
        <f>EB79+DO79</f>
        <v>2747733333</v>
      </c>
      <c r="ED79" s="68">
        <f>$EC79-$AB79</f>
        <v>0</v>
      </c>
    </row>
    <row r="80" spans="1:134" ht="30">
      <c r="A80" s="74"/>
      <c r="B80" s="50">
        <v>151</v>
      </c>
      <c r="C80" s="50" t="s">
        <v>269</v>
      </c>
      <c r="D80" s="50" t="s">
        <v>297</v>
      </c>
      <c r="E80" s="50"/>
      <c r="F80" s="50" t="s">
        <v>272</v>
      </c>
      <c r="G80" s="50" t="s">
        <v>273</v>
      </c>
      <c r="H80" s="37" t="s">
        <v>151</v>
      </c>
      <c r="I80" s="37" t="s">
        <v>604</v>
      </c>
      <c r="J80" s="37" t="s">
        <v>852</v>
      </c>
      <c r="K80" s="50" t="s">
        <v>3</v>
      </c>
      <c r="L80" s="50" t="s">
        <v>25</v>
      </c>
      <c r="M80" s="50" t="s">
        <v>52</v>
      </c>
      <c r="N80" s="50" t="s">
        <v>276</v>
      </c>
      <c r="O80" s="37" t="s">
        <v>3</v>
      </c>
      <c r="P80" s="37" t="s">
        <v>25</v>
      </c>
      <c r="Q80" s="37" t="s">
        <v>52</v>
      </c>
      <c r="R80" s="37" t="s">
        <v>512</v>
      </c>
      <c r="S80" s="50" t="s">
        <v>895</v>
      </c>
      <c r="T80" s="50" t="s">
        <v>896</v>
      </c>
      <c r="U80" s="50" t="s">
        <v>897</v>
      </c>
      <c r="V80" s="56" t="s">
        <v>898</v>
      </c>
      <c r="W80" s="56" t="s">
        <v>898</v>
      </c>
      <c r="X80" s="38" t="s">
        <v>898</v>
      </c>
      <c r="Y80" s="60">
        <v>13698510000</v>
      </c>
      <c r="Z80" s="60">
        <v>2739702000</v>
      </c>
      <c r="AA80" s="60"/>
      <c r="AB80" s="60">
        <f>Z80+AA80</f>
        <v>2739702000</v>
      </c>
      <c r="AC80" s="61"/>
      <c r="AD80" s="61"/>
      <c r="AE80" s="109">
        <v>13698510000</v>
      </c>
      <c r="AF80" s="109">
        <v>2739702000</v>
      </c>
      <c r="AG80" s="108">
        <f>$AR80+$AZ80+$BQ80+$BT80+$BU80+$BV80</f>
        <v>0</v>
      </c>
      <c r="AH80" s="121">
        <f>AF80-AG80</f>
        <v>2739702000</v>
      </c>
      <c r="AI80" s="39" t="s">
        <v>899</v>
      </c>
      <c r="AJ80" s="198"/>
      <c r="AK80" s="198"/>
      <c r="AL80" s="42"/>
      <c r="AM80" s="68"/>
      <c r="AN80" s="68"/>
      <c r="AO80" s="68"/>
      <c r="AP80" s="68"/>
      <c r="AQ80" s="68">
        <v>0</v>
      </c>
      <c r="AR80" s="68">
        <v>0</v>
      </c>
      <c r="AS80" s="68" t="s">
        <v>307</v>
      </c>
      <c r="AT80" s="68"/>
      <c r="AU80" s="69" t="s">
        <v>277</v>
      </c>
      <c r="AV80" s="69" t="s">
        <v>277</v>
      </c>
      <c r="AW80" s="69" t="s">
        <v>277</v>
      </c>
      <c r="AX80" s="69"/>
      <c r="AY80" s="68">
        <v>0</v>
      </c>
      <c r="AZ80" s="68">
        <v>0</v>
      </c>
      <c r="BA80" s="68" t="s">
        <v>307</v>
      </c>
      <c r="BB80" s="68"/>
      <c r="BC80" s="69" t="s">
        <v>900</v>
      </c>
      <c r="BD80" s="69" t="s">
        <v>277</v>
      </c>
      <c r="BE80" s="56" t="s">
        <v>277</v>
      </c>
      <c r="BF80" s="56" t="s">
        <v>277</v>
      </c>
      <c r="BG80" s="56" t="s">
        <v>277</v>
      </c>
      <c r="BH80" s="56" t="s">
        <v>277</v>
      </c>
      <c r="BI80" s="69">
        <v>0</v>
      </c>
      <c r="BJ80" s="69">
        <v>0</v>
      </c>
      <c r="BK80" s="69">
        <v>0</v>
      </c>
      <c r="BL80" s="69">
        <v>0</v>
      </c>
      <c r="BM80" s="69">
        <v>0</v>
      </c>
      <c r="BN80" s="69">
        <v>0</v>
      </c>
      <c r="BO80" s="69">
        <v>0</v>
      </c>
      <c r="BP80" s="69">
        <v>0</v>
      </c>
      <c r="BQ80" s="69"/>
      <c r="BR80" s="69" t="s">
        <v>382</v>
      </c>
      <c r="BS80" s="69" t="s">
        <v>901</v>
      </c>
      <c r="BT80" s="68">
        <v>0</v>
      </c>
      <c r="BU80" s="68">
        <v>0</v>
      </c>
      <c r="BV80" s="68">
        <v>0</v>
      </c>
      <c r="BW80" s="94">
        <v>0</v>
      </c>
      <c r="BX80" s="94">
        <v>0</v>
      </c>
      <c r="BY80" s="94">
        <v>0</v>
      </c>
      <c r="BZ80" s="94">
        <v>0</v>
      </c>
      <c r="CA80" s="94">
        <v>0</v>
      </c>
      <c r="CB80" s="94">
        <v>0</v>
      </c>
      <c r="CC80" s="94">
        <v>0</v>
      </c>
      <c r="CD80" s="94">
        <v>0</v>
      </c>
      <c r="CE80" s="109">
        <v>2739702000</v>
      </c>
      <c r="CF80" s="108">
        <f>SUM(BT80:CE80)</f>
        <v>2739702000</v>
      </c>
      <c r="CG80" s="108">
        <f>$CF80-$AF80</f>
        <v>0</v>
      </c>
      <c r="CH80" s="37" t="s">
        <v>289</v>
      </c>
      <c r="CI80" s="37" t="s">
        <v>290</v>
      </c>
      <c r="CJ80" s="37" t="s">
        <v>277</v>
      </c>
      <c r="CK80" s="37" t="s">
        <v>290</v>
      </c>
      <c r="CL80" s="37" t="s">
        <v>277</v>
      </c>
      <c r="CM80" s="37" t="s">
        <v>277</v>
      </c>
      <c r="CN80" s="37" t="s">
        <v>290</v>
      </c>
      <c r="CO80" s="37" t="s">
        <v>902</v>
      </c>
      <c r="CP80" s="41">
        <v>46023</v>
      </c>
      <c r="CQ80" s="41">
        <v>46387</v>
      </c>
      <c r="CR80" s="37" t="s">
        <v>293</v>
      </c>
      <c r="CS80" s="37" t="s">
        <v>454</v>
      </c>
      <c r="CT80" s="37" t="s">
        <v>295</v>
      </c>
      <c r="CU80" s="37" t="s">
        <v>341</v>
      </c>
      <c r="CV80" s="37" t="s">
        <v>384</v>
      </c>
      <c r="CW80" s="37" t="s">
        <v>903</v>
      </c>
      <c r="CX80" s="37" t="s">
        <v>904</v>
      </c>
      <c r="CY80" s="37">
        <v>23855010000</v>
      </c>
      <c r="CZ80" s="123">
        <v>45444</v>
      </c>
      <c r="DA80" s="123">
        <v>46539</v>
      </c>
      <c r="DB80" s="37" t="s">
        <v>277</v>
      </c>
      <c r="DC80" s="37" t="s">
        <v>485</v>
      </c>
      <c r="DD80" s="68">
        <v>0</v>
      </c>
      <c r="DE80" s="68">
        <v>0</v>
      </c>
      <c r="DF80" s="68">
        <v>0</v>
      </c>
      <c r="DG80" s="68">
        <v>1468746944</v>
      </c>
      <c r="DH80" s="68">
        <v>1270955056</v>
      </c>
      <c r="DI80" s="68">
        <v>0</v>
      </c>
      <c r="DJ80" s="68">
        <v>0</v>
      </c>
      <c r="DK80" s="68">
        <v>0</v>
      </c>
      <c r="DL80" s="68">
        <v>0</v>
      </c>
      <c r="DM80" s="68">
        <v>0</v>
      </c>
      <c r="DN80" s="68">
        <v>0</v>
      </c>
      <c r="DO80" s="68">
        <v>0</v>
      </c>
      <c r="DP80" s="68">
        <f>SUM(DD80:DO80)</f>
        <v>2739702000</v>
      </c>
      <c r="DQ80" s="68">
        <f>DP80-AB80</f>
        <v>0</v>
      </c>
      <c r="DR80" s="68">
        <f>$DD80</f>
        <v>0</v>
      </c>
      <c r="DS80" s="68">
        <f>DR80+DE80</f>
        <v>0</v>
      </c>
      <c r="DT80" s="68">
        <f>DS80+DF80</f>
        <v>0</v>
      </c>
      <c r="DU80" s="68">
        <f>DT80+DG80</f>
        <v>1468746944</v>
      </c>
      <c r="DV80" s="68">
        <f>DU80+DH80</f>
        <v>2739702000</v>
      </c>
      <c r="DW80" s="68">
        <f>DV80+DI80</f>
        <v>2739702000</v>
      </c>
      <c r="DX80" s="68">
        <f>DW80+DJ80</f>
        <v>2739702000</v>
      </c>
      <c r="DY80" s="68">
        <f>DX80+DK80</f>
        <v>2739702000</v>
      </c>
      <c r="DZ80" s="68">
        <f>DY80+DL80</f>
        <v>2739702000</v>
      </c>
      <c r="EA80" s="68">
        <f>DZ80+DM80</f>
        <v>2739702000</v>
      </c>
      <c r="EB80" s="68">
        <f>EA80+DN80</f>
        <v>2739702000</v>
      </c>
      <c r="EC80" s="68">
        <f>EB80+DO80</f>
        <v>2739702000</v>
      </c>
      <c r="ED80" s="68">
        <f>$EC80-$AB80</f>
        <v>0</v>
      </c>
    </row>
    <row r="81" spans="1:134" ht="45">
      <c r="A81" s="74"/>
      <c r="B81" s="50">
        <v>111</v>
      </c>
      <c r="C81" s="50" t="s">
        <v>269</v>
      </c>
      <c r="D81" s="50" t="s">
        <v>297</v>
      </c>
      <c r="E81" s="50"/>
      <c r="F81" s="50" t="s">
        <v>272</v>
      </c>
      <c r="G81" s="50" t="s">
        <v>273</v>
      </c>
      <c r="H81" s="37" t="s">
        <v>151</v>
      </c>
      <c r="I81" s="37" t="s">
        <v>496</v>
      </c>
      <c r="J81" s="37" t="s">
        <v>497</v>
      </c>
      <c r="K81" s="50" t="s">
        <v>3</v>
      </c>
      <c r="L81" s="50" t="s">
        <v>14</v>
      </c>
      <c r="M81" s="50" t="s">
        <v>16</v>
      </c>
      <c r="N81" s="50" t="s">
        <v>276</v>
      </c>
      <c r="O81" s="37" t="s">
        <v>3</v>
      </c>
      <c r="P81" s="37" t="s">
        <v>14</v>
      </c>
      <c r="Q81" s="37" t="s">
        <v>16</v>
      </c>
      <c r="R81" s="37" t="s">
        <v>276</v>
      </c>
      <c r="S81" s="50" t="s">
        <v>905</v>
      </c>
      <c r="T81" s="50" t="s">
        <v>906</v>
      </c>
      <c r="U81" s="50" t="s">
        <v>907</v>
      </c>
      <c r="V81" s="56" t="s">
        <v>908</v>
      </c>
      <c r="W81" s="56" t="s">
        <v>908</v>
      </c>
      <c r="X81" s="38" t="s">
        <v>908</v>
      </c>
      <c r="Y81" s="60">
        <v>3248905000</v>
      </c>
      <c r="Z81" s="60">
        <v>2662577500</v>
      </c>
      <c r="AA81" s="60"/>
      <c r="AB81" s="60">
        <f>Z81+AA81</f>
        <v>2662577500</v>
      </c>
      <c r="AC81" s="61"/>
      <c r="AD81" s="61"/>
      <c r="AE81" s="109">
        <v>3248905000</v>
      </c>
      <c r="AF81" s="109">
        <v>2662577500</v>
      </c>
      <c r="AG81" s="108">
        <f>$AR81+$AZ81+$BQ81+$BT81+$BU81+$BV81</f>
        <v>0</v>
      </c>
      <c r="AH81" s="121">
        <f>AF81-AG81</f>
        <v>2662577500</v>
      </c>
      <c r="AI81" s="176" t="s">
        <v>909</v>
      </c>
      <c r="AJ81" s="204"/>
      <c r="AK81" s="204"/>
      <c r="AL81" s="176"/>
      <c r="AM81" s="68"/>
      <c r="AN81" s="68"/>
      <c r="AO81" s="68"/>
      <c r="AP81" s="68"/>
      <c r="AQ81" s="68">
        <v>0</v>
      </c>
      <c r="AR81" s="68">
        <v>0</v>
      </c>
      <c r="AS81" s="68" t="s">
        <v>307</v>
      </c>
      <c r="AT81" s="68"/>
      <c r="AU81" s="69" t="s">
        <v>277</v>
      </c>
      <c r="AV81" s="69" t="s">
        <v>277</v>
      </c>
      <c r="AW81" s="69" t="s">
        <v>277</v>
      </c>
      <c r="AX81" s="69"/>
      <c r="AY81" s="68">
        <v>0</v>
      </c>
      <c r="AZ81" s="68">
        <v>0</v>
      </c>
      <c r="BA81" s="68" t="s">
        <v>307</v>
      </c>
      <c r="BB81" s="68"/>
      <c r="BC81" s="69" t="s">
        <v>910</v>
      </c>
      <c r="BD81" s="69" t="s">
        <v>277</v>
      </c>
      <c r="BE81" s="56" t="s">
        <v>277</v>
      </c>
      <c r="BF81" s="56" t="s">
        <v>277</v>
      </c>
      <c r="BG81" s="56" t="s">
        <v>277</v>
      </c>
      <c r="BH81" s="56" t="s">
        <v>277</v>
      </c>
      <c r="BI81" s="69">
        <v>0</v>
      </c>
      <c r="BJ81" s="69">
        <v>0</v>
      </c>
      <c r="BK81" s="69">
        <v>0</v>
      </c>
      <c r="BL81" s="69">
        <v>0</v>
      </c>
      <c r="BM81" s="69">
        <v>0</v>
      </c>
      <c r="BN81" s="69">
        <v>0</v>
      </c>
      <c r="BO81" s="69">
        <v>0</v>
      </c>
      <c r="BP81" s="69">
        <v>0</v>
      </c>
      <c r="BQ81" s="69"/>
      <c r="BR81" s="69" t="s">
        <v>382</v>
      </c>
      <c r="BS81" s="69" t="s">
        <v>911</v>
      </c>
      <c r="BT81" s="68">
        <v>0</v>
      </c>
      <c r="BU81" s="68">
        <v>0</v>
      </c>
      <c r="BV81" s="68">
        <v>0</v>
      </c>
      <c r="BW81" s="94">
        <v>0</v>
      </c>
      <c r="BX81" s="94">
        <v>0</v>
      </c>
      <c r="BY81" s="94">
        <v>0</v>
      </c>
      <c r="BZ81" s="94">
        <v>0</v>
      </c>
      <c r="CA81" s="94">
        <v>0</v>
      </c>
      <c r="CB81" s="94">
        <v>0</v>
      </c>
      <c r="CC81" s="109">
        <v>2662577500</v>
      </c>
      <c r="CD81" s="94">
        <v>0</v>
      </c>
      <c r="CE81" s="94">
        <v>0</v>
      </c>
      <c r="CF81" s="108">
        <f>SUM(BT81:CE81)</f>
        <v>2662577500</v>
      </c>
      <c r="CG81" s="108">
        <f>$CF81-$AF81</f>
        <v>0</v>
      </c>
      <c r="CH81" s="37" t="s">
        <v>289</v>
      </c>
      <c r="CI81" s="37" t="s">
        <v>290</v>
      </c>
      <c r="CJ81" s="37" t="s">
        <v>277</v>
      </c>
      <c r="CK81" s="37" t="s">
        <v>290</v>
      </c>
      <c r="CL81" s="37" t="s">
        <v>277</v>
      </c>
      <c r="CM81" s="37" t="s">
        <v>277</v>
      </c>
      <c r="CN81" s="37" t="s">
        <v>290</v>
      </c>
      <c r="CO81" s="37" t="s">
        <v>497</v>
      </c>
      <c r="CP81" s="41">
        <v>46023</v>
      </c>
      <c r="CQ81" s="41">
        <v>46387</v>
      </c>
      <c r="CR81" s="37" t="s">
        <v>293</v>
      </c>
      <c r="CS81" s="37" t="s">
        <v>454</v>
      </c>
      <c r="CT81" s="37" t="s">
        <v>295</v>
      </c>
      <c r="CU81" s="37" t="s">
        <v>341</v>
      </c>
      <c r="CV81" s="37" t="s">
        <v>384</v>
      </c>
      <c r="CW81" s="37" t="s">
        <v>277</v>
      </c>
      <c r="CX81" s="37" t="s">
        <v>277</v>
      </c>
      <c r="CY81" s="37">
        <v>0</v>
      </c>
      <c r="CZ81" s="123" t="s">
        <v>277</v>
      </c>
      <c r="DA81" s="123" t="s">
        <v>277</v>
      </c>
      <c r="DB81" s="37" t="s">
        <v>277</v>
      </c>
      <c r="DC81" s="37" t="s">
        <v>912</v>
      </c>
      <c r="DD81" s="68">
        <v>0</v>
      </c>
      <c r="DE81" s="68">
        <v>0</v>
      </c>
      <c r="DF81" s="68">
        <v>2662577500</v>
      </c>
      <c r="DG81" s="68">
        <v>0</v>
      </c>
      <c r="DH81" s="68">
        <v>0</v>
      </c>
      <c r="DI81" s="68">
        <v>0</v>
      </c>
      <c r="DJ81" s="68">
        <v>0</v>
      </c>
      <c r="DK81" s="68">
        <v>0</v>
      </c>
      <c r="DL81" s="68">
        <v>0</v>
      </c>
      <c r="DM81" s="68">
        <v>0</v>
      </c>
      <c r="DN81" s="68">
        <v>0</v>
      </c>
      <c r="DO81" s="68">
        <v>0</v>
      </c>
      <c r="DP81" s="68">
        <f>SUM(DD81:DO81)</f>
        <v>2662577500</v>
      </c>
      <c r="DQ81" s="68">
        <f>DP81-AB81</f>
        <v>0</v>
      </c>
      <c r="DR81" s="68">
        <f>$DD81</f>
        <v>0</v>
      </c>
      <c r="DS81" s="68">
        <f>DR81+DE81</f>
        <v>0</v>
      </c>
      <c r="DT81" s="68">
        <f>DS81+DF81</f>
        <v>2662577500</v>
      </c>
      <c r="DU81" s="68">
        <f>DT81+DG81</f>
        <v>2662577500</v>
      </c>
      <c r="DV81" s="68">
        <f>DU81+DH81</f>
        <v>2662577500</v>
      </c>
      <c r="DW81" s="68">
        <f>DV81+DI81</f>
        <v>2662577500</v>
      </c>
      <c r="DX81" s="68">
        <f>DW81+DJ81</f>
        <v>2662577500</v>
      </c>
      <c r="DY81" s="68">
        <f>DX81+DK81</f>
        <v>2662577500</v>
      </c>
      <c r="DZ81" s="68">
        <f>DY81+DL81</f>
        <v>2662577500</v>
      </c>
      <c r="EA81" s="68">
        <f>DZ81+DM81</f>
        <v>2662577500</v>
      </c>
      <c r="EB81" s="68">
        <f>EA81+DN81</f>
        <v>2662577500</v>
      </c>
      <c r="EC81" s="68">
        <f>EB81+DO81</f>
        <v>2662577500</v>
      </c>
      <c r="ED81" s="68">
        <f>$EC81-$AB81</f>
        <v>0</v>
      </c>
    </row>
    <row r="82" spans="1:134" ht="30">
      <c r="A82" s="74"/>
      <c r="B82" s="50">
        <v>27</v>
      </c>
      <c r="C82" s="50" t="s">
        <v>269</v>
      </c>
      <c r="D82" s="50" t="s">
        <v>297</v>
      </c>
      <c r="E82" s="50"/>
      <c r="F82" s="50" t="s">
        <v>272</v>
      </c>
      <c r="G82" s="50" t="s">
        <v>273</v>
      </c>
      <c r="H82" s="37" t="s">
        <v>151</v>
      </c>
      <c r="I82" s="37" t="s">
        <v>424</v>
      </c>
      <c r="J82" s="37" t="s">
        <v>560</v>
      </c>
      <c r="K82" s="50" t="s">
        <v>3</v>
      </c>
      <c r="L82" s="50" t="s">
        <v>14</v>
      </c>
      <c r="M82" s="50" t="s">
        <v>16</v>
      </c>
      <c r="N82" s="50" t="s">
        <v>276</v>
      </c>
      <c r="O82" s="37" t="s">
        <v>3</v>
      </c>
      <c r="P82" s="37" t="s">
        <v>14</v>
      </c>
      <c r="Q82" s="37" t="s">
        <v>16</v>
      </c>
      <c r="R82" s="37" t="s">
        <v>276</v>
      </c>
      <c r="S82" s="50" t="s">
        <v>277</v>
      </c>
      <c r="T82" s="50" t="s">
        <v>913</v>
      </c>
      <c r="U82" s="50" t="s">
        <v>914</v>
      </c>
      <c r="V82" s="56" t="s">
        <v>915</v>
      </c>
      <c r="W82" s="56" t="s">
        <v>915</v>
      </c>
      <c r="X82" s="38" t="s">
        <v>915</v>
      </c>
      <c r="Y82" s="60">
        <v>2500000000</v>
      </c>
      <c r="Z82" s="60">
        <v>2500000000</v>
      </c>
      <c r="AA82" s="60">
        <v>-2500000000</v>
      </c>
      <c r="AB82" s="60">
        <f>Z82+AA82</f>
        <v>0</v>
      </c>
      <c r="AC82" s="61" t="s">
        <v>414</v>
      </c>
      <c r="AD82" s="61" t="s">
        <v>916</v>
      </c>
      <c r="AE82" s="112">
        <v>2500000000</v>
      </c>
      <c r="AF82" s="112">
        <v>2500000000</v>
      </c>
      <c r="AG82" s="110">
        <f>$AR82+$AZ82+$BQ82+$BT82+$BU82+$BV82</f>
        <v>0</v>
      </c>
      <c r="AH82" s="121">
        <f>AF82-AG82</f>
        <v>2500000000</v>
      </c>
      <c r="AI82" s="39" t="s">
        <v>277</v>
      </c>
      <c r="AJ82" s="198"/>
      <c r="AK82" s="198"/>
      <c r="AL82" s="42"/>
      <c r="AM82" s="68"/>
      <c r="AN82" s="68"/>
      <c r="AO82" s="68"/>
      <c r="AP82" s="68"/>
      <c r="AQ82" s="68">
        <v>0</v>
      </c>
      <c r="AR82" s="68">
        <v>0</v>
      </c>
      <c r="AS82" s="68" t="s">
        <v>307</v>
      </c>
      <c r="AT82" s="68"/>
      <c r="AU82" s="69" t="s">
        <v>277</v>
      </c>
      <c r="AV82" s="69" t="s">
        <v>277</v>
      </c>
      <c r="AW82" s="69" t="s">
        <v>277</v>
      </c>
      <c r="AX82" s="69"/>
      <c r="AY82" s="68">
        <v>0</v>
      </c>
      <c r="AZ82" s="68">
        <v>0</v>
      </c>
      <c r="BA82" s="68" t="s">
        <v>307</v>
      </c>
      <c r="BB82" s="68"/>
      <c r="BC82" s="69" t="s">
        <v>917</v>
      </c>
      <c r="BD82" s="69" t="s">
        <v>277</v>
      </c>
      <c r="BE82" s="56" t="s">
        <v>277</v>
      </c>
      <c r="BF82" s="56" t="s">
        <v>277</v>
      </c>
      <c r="BG82" s="56" t="s">
        <v>277</v>
      </c>
      <c r="BH82" s="56" t="s">
        <v>277</v>
      </c>
      <c r="BI82" s="69">
        <v>0</v>
      </c>
      <c r="BJ82" s="69">
        <v>0</v>
      </c>
      <c r="BK82" s="69">
        <v>0</v>
      </c>
      <c r="BL82" s="69">
        <v>0</v>
      </c>
      <c r="BM82" s="69">
        <v>0</v>
      </c>
      <c r="BN82" s="69">
        <v>0</v>
      </c>
      <c r="BO82" s="69">
        <v>0</v>
      </c>
      <c r="BP82" s="69">
        <v>0</v>
      </c>
      <c r="BQ82" s="69"/>
      <c r="BR82" s="69" t="s">
        <v>156</v>
      </c>
      <c r="BS82" s="69" t="s">
        <v>918</v>
      </c>
      <c r="BT82" s="68">
        <v>0</v>
      </c>
      <c r="BU82" s="68">
        <v>0</v>
      </c>
      <c r="BV82" s="68">
        <v>0</v>
      </c>
      <c r="BW82" s="94">
        <v>0</v>
      </c>
      <c r="BX82" s="94">
        <v>0</v>
      </c>
      <c r="BY82" s="94">
        <v>0</v>
      </c>
      <c r="BZ82" s="94">
        <v>0</v>
      </c>
      <c r="CA82" s="94">
        <v>0</v>
      </c>
      <c r="CB82" s="109">
        <v>500000000</v>
      </c>
      <c r="CC82" s="109">
        <v>0</v>
      </c>
      <c r="CD82" s="109">
        <v>0</v>
      </c>
      <c r="CE82" s="109">
        <v>2000000000</v>
      </c>
      <c r="CF82" s="108">
        <f>SUM(BT82:CE82)</f>
        <v>2500000000</v>
      </c>
      <c r="CG82" s="108">
        <f>$CF82-$AF82</f>
        <v>0</v>
      </c>
      <c r="CH82" s="37" t="s">
        <v>289</v>
      </c>
      <c r="CI82" s="37" t="s">
        <v>290</v>
      </c>
      <c r="CJ82" s="37" t="s">
        <v>277</v>
      </c>
      <c r="CK82" s="37" t="s">
        <v>290</v>
      </c>
      <c r="CL82" s="37" t="s">
        <v>277</v>
      </c>
      <c r="CM82" s="37" t="s">
        <v>277</v>
      </c>
      <c r="CN82" s="37" t="s">
        <v>290</v>
      </c>
      <c r="CO82" s="37" t="s">
        <v>739</v>
      </c>
      <c r="CP82" s="41">
        <v>46023</v>
      </c>
      <c r="CQ82" s="41">
        <v>46387</v>
      </c>
      <c r="CR82" s="37" t="s">
        <v>293</v>
      </c>
      <c r="CS82" s="37" t="s">
        <v>454</v>
      </c>
      <c r="CT82" s="37" t="s">
        <v>295</v>
      </c>
      <c r="CU82" s="37" t="s">
        <v>296</v>
      </c>
      <c r="CV82" s="37" t="s">
        <v>323</v>
      </c>
      <c r="CW82" s="37" t="s">
        <v>277</v>
      </c>
      <c r="CX82" s="37" t="s">
        <v>277</v>
      </c>
      <c r="CY82" s="37">
        <v>0</v>
      </c>
      <c r="CZ82" s="123" t="s">
        <v>277</v>
      </c>
      <c r="DA82" s="123" t="s">
        <v>277</v>
      </c>
      <c r="DB82" s="37" t="s">
        <v>277</v>
      </c>
      <c r="DC82" s="37" t="s">
        <v>455</v>
      </c>
      <c r="DD82" s="68">
        <v>0</v>
      </c>
      <c r="DE82" s="68">
        <v>0</v>
      </c>
      <c r="DF82" s="68">
        <v>0</v>
      </c>
      <c r="DG82" s="68">
        <v>0</v>
      </c>
      <c r="DH82" s="68">
        <v>0</v>
      </c>
      <c r="DI82" s="68">
        <v>0</v>
      </c>
      <c r="DJ82" s="68">
        <v>0</v>
      </c>
      <c r="DK82" s="68">
        <v>0</v>
      </c>
      <c r="DL82" s="68">
        <v>0</v>
      </c>
      <c r="DM82" s="68">
        <v>0</v>
      </c>
      <c r="DN82" s="68">
        <v>0</v>
      </c>
      <c r="DO82" s="68">
        <f>2500000000-2500000000</f>
        <v>0</v>
      </c>
      <c r="DP82" s="68">
        <f>SUM(DD82:DO82)</f>
        <v>0</v>
      </c>
      <c r="DQ82" s="68">
        <f>DP82-AB82</f>
        <v>0</v>
      </c>
      <c r="DR82" s="68">
        <f>$DD82</f>
        <v>0</v>
      </c>
      <c r="DS82" s="68">
        <f>DR82+DE82</f>
        <v>0</v>
      </c>
      <c r="DT82" s="68">
        <f>DS82+DF82</f>
        <v>0</v>
      </c>
      <c r="DU82" s="68">
        <f>DT82+DG82</f>
        <v>0</v>
      </c>
      <c r="DV82" s="68">
        <f>DU82+DH82</f>
        <v>0</v>
      </c>
      <c r="DW82" s="68">
        <f>DV82+DI82</f>
        <v>0</v>
      </c>
      <c r="DX82" s="68">
        <f>DW82+DJ82</f>
        <v>0</v>
      </c>
      <c r="DY82" s="68">
        <f>DX82+DK82</f>
        <v>0</v>
      </c>
      <c r="DZ82" s="68">
        <f>DY82+DL82</f>
        <v>0</v>
      </c>
      <c r="EA82" s="68">
        <f>DZ82+DM82</f>
        <v>0</v>
      </c>
      <c r="EB82" s="68">
        <f>EA82+DN82</f>
        <v>0</v>
      </c>
      <c r="EC82" s="68">
        <f>EB82+DO82</f>
        <v>0</v>
      </c>
      <c r="ED82" s="68">
        <f>$EC82-$AB82</f>
        <v>0</v>
      </c>
    </row>
    <row r="83" spans="1:134" ht="195">
      <c r="A83" s="74"/>
      <c r="B83" s="50">
        <v>104</v>
      </c>
      <c r="C83" s="50" t="s">
        <v>269</v>
      </c>
      <c r="D83" s="50" t="s">
        <v>297</v>
      </c>
      <c r="E83" s="50"/>
      <c r="F83" s="50" t="s">
        <v>272</v>
      </c>
      <c r="G83" s="50" t="s">
        <v>273</v>
      </c>
      <c r="H83" s="37" t="s">
        <v>151</v>
      </c>
      <c r="I83" s="37" t="s">
        <v>326</v>
      </c>
      <c r="J83" s="37" t="s">
        <v>327</v>
      </c>
      <c r="K83" s="50" t="s">
        <v>3</v>
      </c>
      <c r="L83" s="50" t="s">
        <v>14</v>
      </c>
      <c r="M83" s="50" t="s">
        <v>16</v>
      </c>
      <c r="N83" s="50" t="s">
        <v>276</v>
      </c>
      <c r="O83" s="37" t="s">
        <v>3</v>
      </c>
      <c r="P83" s="37" t="s">
        <v>14</v>
      </c>
      <c r="Q83" s="37" t="s">
        <v>16</v>
      </c>
      <c r="R83" s="37" t="s">
        <v>276</v>
      </c>
      <c r="S83" s="50" t="s">
        <v>919</v>
      </c>
      <c r="T83" s="50" t="s">
        <v>920</v>
      </c>
      <c r="U83" s="50" t="s">
        <v>921</v>
      </c>
      <c r="V83" s="56" t="s">
        <v>922</v>
      </c>
      <c r="W83" s="56" t="s">
        <v>922</v>
      </c>
      <c r="X83" s="38" t="s">
        <v>923</v>
      </c>
      <c r="Y83" s="60">
        <v>402130610856</v>
      </c>
      <c r="Z83" s="60">
        <v>78817599728</v>
      </c>
      <c r="AA83" s="60">
        <v>-76378975010</v>
      </c>
      <c r="AB83" s="60">
        <f>Z83+AA83</f>
        <v>2438624718</v>
      </c>
      <c r="AC83" s="61" t="s">
        <v>414</v>
      </c>
      <c r="AD83" s="61" t="s">
        <v>924</v>
      </c>
      <c r="AE83" s="112">
        <v>12193123588</v>
      </c>
      <c r="AF83" s="112">
        <v>2438624718</v>
      </c>
      <c r="AG83" s="110">
        <f>$AR83+$AZ83+$BQ83+$BT83+$BU83+$BV83</f>
        <v>0</v>
      </c>
      <c r="AH83" s="121">
        <f>AF83-AG83</f>
        <v>2438624718</v>
      </c>
      <c r="AI83" s="39" t="s">
        <v>925</v>
      </c>
      <c r="AJ83" s="198"/>
      <c r="AK83" s="198"/>
      <c r="AL83" s="42"/>
      <c r="AM83" s="68"/>
      <c r="AN83" s="68"/>
      <c r="AO83" s="68"/>
      <c r="AP83" s="68"/>
      <c r="AQ83" s="68">
        <v>0</v>
      </c>
      <c r="AR83" s="68">
        <v>0</v>
      </c>
      <c r="AS83" s="68" t="s">
        <v>307</v>
      </c>
      <c r="AT83" s="68"/>
      <c r="AU83" s="69" t="s">
        <v>277</v>
      </c>
      <c r="AV83" s="69" t="s">
        <v>277</v>
      </c>
      <c r="AW83" s="69" t="s">
        <v>277</v>
      </c>
      <c r="AX83" s="69"/>
      <c r="AY83" s="68">
        <v>0</v>
      </c>
      <c r="AZ83" s="68">
        <v>0</v>
      </c>
      <c r="BA83" s="68" t="s">
        <v>307</v>
      </c>
      <c r="BB83" s="68"/>
      <c r="BC83" s="69" t="s">
        <v>277</v>
      </c>
      <c r="BD83" s="69" t="s">
        <v>277</v>
      </c>
      <c r="BE83" s="56" t="s">
        <v>926</v>
      </c>
      <c r="BF83" s="56" t="s">
        <v>927</v>
      </c>
      <c r="BG83" s="56" t="s">
        <v>928</v>
      </c>
      <c r="BH83" s="56" t="s">
        <v>420</v>
      </c>
      <c r="BI83" s="69">
        <v>12193123588</v>
      </c>
      <c r="BJ83" s="69">
        <v>2438624718</v>
      </c>
      <c r="BK83" s="69">
        <v>7315874154</v>
      </c>
      <c r="BL83" s="69">
        <v>609656179</v>
      </c>
      <c r="BM83" s="69">
        <v>609656179</v>
      </c>
      <c r="BN83" s="69">
        <v>609656179</v>
      </c>
      <c r="BO83" s="69">
        <v>609656179</v>
      </c>
      <c r="BP83" s="69">
        <v>0</v>
      </c>
      <c r="BQ83" s="69"/>
      <c r="BR83" s="69" t="s">
        <v>156</v>
      </c>
      <c r="BS83" s="69" t="s">
        <v>317</v>
      </c>
      <c r="BT83" s="68">
        <v>0</v>
      </c>
      <c r="BU83" s="68">
        <v>0</v>
      </c>
      <c r="BV83" s="68"/>
      <c r="BW83" s="94">
        <v>0</v>
      </c>
      <c r="BX83" s="94">
        <v>0</v>
      </c>
      <c r="BY83" s="94">
        <v>0</v>
      </c>
      <c r="BZ83" s="94">
        <v>0</v>
      </c>
      <c r="CA83" s="94">
        <v>0</v>
      </c>
      <c r="CB83" s="109">
        <v>2438624718</v>
      </c>
      <c r="CC83" s="109">
        <v>0</v>
      </c>
      <c r="CD83" s="109">
        <v>0</v>
      </c>
      <c r="CE83" s="109">
        <v>0</v>
      </c>
      <c r="CF83" s="108">
        <f>SUM(BT83:CE83)</f>
        <v>2438624718</v>
      </c>
      <c r="CG83" s="108">
        <f>$CF83-$AF83</f>
        <v>0</v>
      </c>
      <c r="CH83" s="37" t="s">
        <v>421</v>
      </c>
      <c r="CI83" s="37" t="s">
        <v>291</v>
      </c>
      <c r="CJ83" s="37" t="s">
        <v>319</v>
      </c>
      <c r="CK83" s="37" t="s">
        <v>290</v>
      </c>
      <c r="CL83" s="37" t="s">
        <v>320</v>
      </c>
      <c r="CM83" s="37" t="s">
        <v>321</v>
      </c>
      <c r="CN83" s="37" t="s">
        <v>290</v>
      </c>
      <c r="CO83" s="37" t="s">
        <v>277</v>
      </c>
      <c r="CP83" s="41">
        <v>46023</v>
      </c>
      <c r="CQ83" s="41">
        <v>47453</v>
      </c>
      <c r="CR83" s="37" t="s">
        <v>293</v>
      </c>
      <c r="CS83" s="37" t="s">
        <v>322</v>
      </c>
      <c r="CT83" s="37" t="s">
        <v>295</v>
      </c>
      <c r="CU83" s="37" t="s">
        <v>296</v>
      </c>
      <c r="CV83" s="37" t="s">
        <v>323</v>
      </c>
      <c r="CW83" s="37">
        <v>0</v>
      </c>
      <c r="CX83" s="37">
        <v>0</v>
      </c>
      <c r="CY83" s="37">
        <v>0</v>
      </c>
      <c r="CZ83" s="123" t="s">
        <v>277</v>
      </c>
      <c r="DA83" s="123" t="s">
        <v>277</v>
      </c>
      <c r="DB83" s="37" t="s">
        <v>929</v>
      </c>
      <c r="DC83" s="37" t="s">
        <v>537</v>
      </c>
      <c r="DD83" s="68">
        <v>0</v>
      </c>
      <c r="DE83" s="68">
        <v>0</v>
      </c>
      <c r="DF83" s="68">
        <f>26126140114-26126140114</f>
        <v>0</v>
      </c>
      <c r="DG83" s="68">
        <f>6241250000-6241250000</f>
        <v>0</v>
      </c>
      <c r="DH83" s="68">
        <f>6241250000-6241250000</f>
        <v>0</v>
      </c>
      <c r="DI83" s="68">
        <f>5429385287-5429385287</f>
        <v>0</v>
      </c>
      <c r="DJ83" s="68">
        <f>34779574327-32340949609</f>
        <v>2438624718</v>
      </c>
      <c r="DK83" s="68">
        <v>0</v>
      </c>
      <c r="DL83" s="68">
        <v>0</v>
      </c>
      <c r="DM83" s="68">
        <v>0</v>
      </c>
      <c r="DN83" s="68">
        <v>0</v>
      </c>
      <c r="DO83" s="68">
        <v>0</v>
      </c>
      <c r="DP83" s="68">
        <f>SUM(DD83:DO83)</f>
        <v>2438624718</v>
      </c>
      <c r="DQ83" s="68">
        <f>DP83-AB83</f>
        <v>0</v>
      </c>
      <c r="DR83" s="68">
        <f>$DD83</f>
        <v>0</v>
      </c>
      <c r="DS83" s="68">
        <f>DR83+DE83</f>
        <v>0</v>
      </c>
      <c r="DT83" s="68">
        <f>DS83+DF83</f>
        <v>0</v>
      </c>
      <c r="DU83" s="68">
        <f>DT83+DG83</f>
        <v>0</v>
      </c>
      <c r="DV83" s="68">
        <f>DU83+DH83</f>
        <v>0</v>
      </c>
      <c r="DW83" s="68">
        <f>DV83+DI83</f>
        <v>0</v>
      </c>
      <c r="DX83" s="68">
        <f>DW83+DJ83</f>
        <v>2438624718</v>
      </c>
      <c r="DY83" s="68">
        <f>DX83+DK83</f>
        <v>2438624718</v>
      </c>
      <c r="DZ83" s="68">
        <f>DY83+DL83</f>
        <v>2438624718</v>
      </c>
      <c r="EA83" s="68">
        <f>DZ83+DM83</f>
        <v>2438624718</v>
      </c>
      <c r="EB83" s="68">
        <f>EA83+DN83</f>
        <v>2438624718</v>
      </c>
      <c r="EC83" s="68">
        <f>EB83+DO83</f>
        <v>2438624718</v>
      </c>
      <c r="ED83" s="68">
        <f>$EC83-$AB83</f>
        <v>0</v>
      </c>
    </row>
    <row r="84" spans="1:134" ht="45">
      <c r="A84" s="74"/>
      <c r="B84" s="50">
        <v>125</v>
      </c>
      <c r="C84" s="50" t="s">
        <v>269</v>
      </c>
      <c r="D84" s="50" t="s">
        <v>297</v>
      </c>
      <c r="E84" s="50"/>
      <c r="F84" s="50" t="s">
        <v>272</v>
      </c>
      <c r="G84" s="50" t="s">
        <v>273</v>
      </c>
      <c r="H84" s="37" t="s">
        <v>151</v>
      </c>
      <c r="I84" s="37" t="s">
        <v>732</v>
      </c>
      <c r="J84" s="37" t="s">
        <v>560</v>
      </c>
      <c r="K84" s="50" t="s">
        <v>3</v>
      </c>
      <c r="L84" s="50" t="s">
        <v>14</v>
      </c>
      <c r="M84" s="50" t="s">
        <v>16</v>
      </c>
      <c r="N84" s="50" t="s">
        <v>276</v>
      </c>
      <c r="O84" s="37" t="s">
        <v>3</v>
      </c>
      <c r="P84" s="37" t="s">
        <v>14</v>
      </c>
      <c r="Q84" s="37" t="s">
        <v>16</v>
      </c>
      <c r="R84" s="37" t="s">
        <v>276</v>
      </c>
      <c r="S84" s="50" t="s">
        <v>930</v>
      </c>
      <c r="T84" s="50" t="s">
        <v>931</v>
      </c>
      <c r="U84" s="50" t="s">
        <v>932</v>
      </c>
      <c r="V84" s="56" t="s">
        <v>933</v>
      </c>
      <c r="W84" s="56" t="s">
        <v>933</v>
      </c>
      <c r="X84" s="38" t="s">
        <v>933</v>
      </c>
      <c r="Y84" s="60">
        <v>4800000000</v>
      </c>
      <c r="Z84" s="60">
        <v>2352000000</v>
      </c>
      <c r="AA84" s="60">
        <v>-2352000000</v>
      </c>
      <c r="AB84" s="60">
        <f>Z84+AA84</f>
        <v>0</v>
      </c>
      <c r="AC84" s="61" t="s">
        <v>414</v>
      </c>
      <c r="AD84" s="61" t="s">
        <v>934</v>
      </c>
      <c r="AE84" s="112">
        <v>4800000000</v>
      </c>
      <c r="AF84" s="112">
        <v>2352000000</v>
      </c>
      <c r="AG84" s="110">
        <f>$AR84+$AZ84+$BQ84+$BT84+$BU84+$BV84</f>
        <v>0</v>
      </c>
      <c r="AH84" s="121">
        <f>AF84-AG84</f>
        <v>2352000000</v>
      </c>
      <c r="AI84" s="39" t="s">
        <v>935</v>
      </c>
      <c r="AJ84" s="198"/>
      <c r="AK84" s="198"/>
      <c r="AL84" s="42"/>
      <c r="AM84" s="68"/>
      <c r="AN84" s="68"/>
      <c r="AO84" s="68"/>
      <c r="AP84" s="68"/>
      <c r="AQ84" s="68">
        <v>0</v>
      </c>
      <c r="AR84" s="68">
        <v>0</v>
      </c>
      <c r="AS84" s="68" t="s">
        <v>307</v>
      </c>
      <c r="AT84" s="68"/>
      <c r="AU84" s="69" t="s">
        <v>277</v>
      </c>
      <c r="AV84" s="69" t="s">
        <v>277</v>
      </c>
      <c r="AW84" s="69" t="s">
        <v>277</v>
      </c>
      <c r="AX84" s="69"/>
      <c r="AY84" s="68">
        <v>0</v>
      </c>
      <c r="AZ84" s="68">
        <v>0</v>
      </c>
      <c r="BA84" s="68" t="s">
        <v>307</v>
      </c>
      <c r="BB84" s="68"/>
      <c r="BC84" s="69" t="s">
        <v>936</v>
      </c>
      <c r="BD84" s="69" t="s">
        <v>277</v>
      </c>
      <c r="BE84" s="56" t="s">
        <v>277</v>
      </c>
      <c r="BF84" s="56" t="s">
        <v>277</v>
      </c>
      <c r="BG84" s="56" t="s">
        <v>277</v>
      </c>
      <c r="BH84" s="56" t="s">
        <v>277</v>
      </c>
      <c r="BI84" s="69">
        <v>0</v>
      </c>
      <c r="BJ84" s="69">
        <v>0</v>
      </c>
      <c r="BK84" s="69">
        <v>0</v>
      </c>
      <c r="BL84" s="69">
        <v>0</v>
      </c>
      <c r="BM84" s="69">
        <v>0</v>
      </c>
      <c r="BN84" s="69">
        <v>0</v>
      </c>
      <c r="BO84" s="69">
        <v>0</v>
      </c>
      <c r="BP84" s="69">
        <v>0</v>
      </c>
      <c r="BQ84" s="69"/>
      <c r="BR84" s="69" t="s">
        <v>156</v>
      </c>
      <c r="BS84" s="69" t="s">
        <v>937</v>
      </c>
      <c r="BT84" s="68">
        <v>0</v>
      </c>
      <c r="BU84" s="68">
        <v>0</v>
      </c>
      <c r="BV84" s="68">
        <v>0</v>
      </c>
      <c r="BW84" s="94">
        <v>0</v>
      </c>
      <c r="BX84" s="94">
        <v>0</v>
      </c>
      <c r="BY84" s="94">
        <v>0</v>
      </c>
      <c r="BZ84" s="94">
        <v>0</v>
      </c>
      <c r="CA84" s="94">
        <v>2352000000</v>
      </c>
      <c r="CB84" s="94">
        <v>0</v>
      </c>
      <c r="CC84" s="94">
        <v>0</v>
      </c>
      <c r="CD84" s="94">
        <v>0</v>
      </c>
      <c r="CE84" s="94">
        <v>0</v>
      </c>
      <c r="CF84" s="108">
        <f>SUM(BT84:CE84)</f>
        <v>2352000000</v>
      </c>
      <c r="CG84" s="108">
        <f>$CF84-$AF84</f>
        <v>0</v>
      </c>
      <c r="CH84" s="37" t="s">
        <v>289</v>
      </c>
      <c r="CI84" s="37" t="s">
        <v>290</v>
      </c>
      <c r="CJ84" s="37" t="s">
        <v>277</v>
      </c>
      <c r="CK84" s="37" t="s">
        <v>290</v>
      </c>
      <c r="CL84" s="37" t="s">
        <v>277</v>
      </c>
      <c r="CM84" s="37" t="s">
        <v>277</v>
      </c>
      <c r="CN84" s="37" t="s">
        <v>290</v>
      </c>
      <c r="CO84" s="37" t="s">
        <v>739</v>
      </c>
      <c r="CP84" s="41">
        <v>46023</v>
      </c>
      <c r="CQ84" s="41">
        <v>47515</v>
      </c>
      <c r="CR84" s="37" t="s">
        <v>293</v>
      </c>
      <c r="CS84" s="37" t="s">
        <v>454</v>
      </c>
      <c r="CT84" s="37" t="s">
        <v>295</v>
      </c>
      <c r="CU84" s="37" t="s">
        <v>296</v>
      </c>
      <c r="CV84" s="37" t="s">
        <v>323</v>
      </c>
      <c r="CW84" s="37" t="s">
        <v>277</v>
      </c>
      <c r="CX84" s="37" t="s">
        <v>277</v>
      </c>
      <c r="CY84" s="37">
        <v>0</v>
      </c>
      <c r="CZ84" s="123" t="s">
        <v>277</v>
      </c>
      <c r="DA84" s="123" t="s">
        <v>277</v>
      </c>
      <c r="DB84" s="37" t="s">
        <v>277</v>
      </c>
      <c r="DC84" s="37" t="s">
        <v>455</v>
      </c>
      <c r="DD84" s="68">
        <v>0</v>
      </c>
      <c r="DE84" s="68">
        <v>0</v>
      </c>
      <c r="DF84" s="68">
        <v>0</v>
      </c>
      <c r="DG84" s="68">
        <v>0</v>
      </c>
      <c r="DH84" s="68">
        <v>0</v>
      </c>
      <c r="DI84" s="68">
        <v>0</v>
      </c>
      <c r="DJ84" s="68">
        <v>0</v>
      </c>
      <c r="DK84" s="68">
        <v>0</v>
      </c>
      <c r="DL84" s="68">
        <v>0</v>
      </c>
      <c r="DM84" s="68">
        <v>0</v>
      </c>
      <c r="DN84" s="68">
        <v>0</v>
      </c>
      <c r="DO84" s="68">
        <f>2352000000-2352000000</f>
        <v>0</v>
      </c>
      <c r="DP84" s="68">
        <f>SUM(DD84:DO84)</f>
        <v>0</v>
      </c>
      <c r="DQ84" s="68">
        <f>DP84-AB84</f>
        <v>0</v>
      </c>
      <c r="DR84" s="68">
        <f>$DD84</f>
        <v>0</v>
      </c>
      <c r="DS84" s="68">
        <f>DR84+DE84</f>
        <v>0</v>
      </c>
      <c r="DT84" s="68">
        <f>DS84+DF84</f>
        <v>0</v>
      </c>
      <c r="DU84" s="68">
        <f>DT84+DG84</f>
        <v>0</v>
      </c>
      <c r="DV84" s="68">
        <f>DU84+DH84</f>
        <v>0</v>
      </c>
      <c r="DW84" s="68">
        <f>DV84+DI84</f>
        <v>0</v>
      </c>
      <c r="DX84" s="68">
        <f>DW84+DJ84</f>
        <v>0</v>
      </c>
      <c r="DY84" s="68">
        <f>DX84+DK84</f>
        <v>0</v>
      </c>
      <c r="DZ84" s="68">
        <f>DY84+DL84</f>
        <v>0</v>
      </c>
      <c r="EA84" s="68">
        <f>DZ84+DM84</f>
        <v>0</v>
      </c>
      <c r="EB84" s="68">
        <f>EA84+DN84</f>
        <v>0</v>
      </c>
      <c r="EC84" s="68">
        <f>EB84+DO84</f>
        <v>0</v>
      </c>
      <c r="ED84" s="68">
        <f>$EC84-$AB84</f>
        <v>0</v>
      </c>
    </row>
    <row r="85" spans="1:134" ht="30">
      <c r="A85" s="74"/>
      <c r="B85" s="50">
        <v>44</v>
      </c>
      <c r="C85" s="50" t="s">
        <v>269</v>
      </c>
      <c r="D85" s="50" t="s">
        <v>297</v>
      </c>
      <c r="E85" s="50"/>
      <c r="F85" s="50" t="s">
        <v>272</v>
      </c>
      <c r="G85" s="50" t="s">
        <v>273</v>
      </c>
      <c r="H85" s="37" t="s">
        <v>151</v>
      </c>
      <c r="I85" s="37" t="s">
        <v>702</v>
      </c>
      <c r="J85" s="37" t="s">
        <v>703</v>
      </c>
      <c r="K85" s="50" t="s">
        <v>3</v>
      </c>
      <c r="L85" s="50" t="s">
        <v>14</v>
      </c>
      <c r="M85" s="50" t="s">
        <v>16</v>
      </c>
      <c r="N85" s="50" t="s">
        <v>276</v>
      </c>
      <c r="O85" s="37" t="s">
        <v>3</v>
      </c>
      <c r="P85" s="37" t="s">
        <v>14</v>
      </c>
      <c r="Q85" s="37" t="s">
        <v>16</v>
      </c>
      <c r="R85" s="37" t="s">
        <v>276</v>
      </c>
      <c r="S85" s="50" t="s">
        <v>277</v>
      </c>
      <c r="T85" s="50" t="s">
        <v>938</v>
      </c>
      <c r="U85" s="50" t="s">
        <v>939</v>
      </c>
      <c r="V85" s="56" t="s">
        <v>940</v>
      </c>
      <c r="W85" s="56" t="s">
        <v>940</v>
      </c>
      <c r="X85" s="38" t="s">
        <v>940</v>
      </c>
      <c r="Y85" s="60">
        <v>18500000000</v>
      </c>
      <c r="Z85" s="60">
        <v>1320000000</v>
      </c>
      <c r="AA85" s="60"/>
      <c r="AB85" s="60">
        <f>Z85+AA85</f>
        <v>1320000000</v>
      </c>
      <c r="AC85" s="61"/>
      <c r="AD85" s="61"/>
      <c r="AE85" s="109">
        <v>18500000000</v>
      </c>
      <c r="AF85" s="109">
        <v>2310000000</v>
      </c>
      <c r="AG85" s="108">
        <f>$AR85+$AZ85+$BQ85+$BT85+$BU85+$BV85</f>
        <v>0</v>
      </c>
      <c r="AH85" s="121">
        <f>AF85-AG85</f>
        <v>2310000000</v>
      </c>
      <c r="AI85" s="39" t="s">
        <v>941</v>
      </c>
      <c r="AJ85" s="198"/>
      <c r="AK85" s="198"/>
      <c r="AL85" s="42"/>
      <c r="AM85" s="68"/>
      <c r="AN85" s="68"/>
      <c r="AO85" s="68"/>
      <c r="AP85" s="68"/>
      <c r="AQ85" s="68">
        <v>0</v>
      </c>
      <c r="AR85" s="68">
        <v>0</v>
      </c>
      <c r="AS85" s="68" t="s">
        <v>307</v>
      </c>
      <c r="AT85" s="68"/>
      <c r="AU85" s="69" t="s">
        <v>277</v>
      </c>
      <c r="AV85" s="69" t="s">
        <v>277</v>
      </c>
      <c r="AW85" s="69" t="s">
        <v>277</v>
      </c>
      <c r="AX85" s="69"/>
      <c r="AY85" s="68">
        <v>0</v>
      </c>
      <c r="AZ85" s="68">
        <v>0</v>
      </c>
      <c r="BA85" s="68" t="s">
        <v>307</v>
      </c>
      <c r="BB85" s="68"/>
      <c r="BC85" s="69" t="s">
        <v>942</v>
      </c>
      <c r="BD85" s="69" t="s">
        <v>277</v>
      </c>
      <c r="BE85" s="56" t="s">
        <v>277</v>
      </c>
      <c r="BF85" s="56" t="s">
        <v>277</v>
      </c>
      <c r="BG85" s="56" t="s">
        <v>277</v>
      </c>
      <c r="BH85" s="56" t="s">
        <v>277</v>
      </c>
      <c r="BI85" s="69">
        <v>0</v>
      </c>
      <c r="BJ85" s="69">
        <v>0</v>
      </c>
      <c r="BK85" s="69">
        <v>0</v>
      </c>
      <c r="BL85" s="69">
        <v>0</v>
      </c>
      <c r="BM85" s="69">
        <v>0</v>
      </c>
      <c r="BN85" s="69">
        <v>0</v>
      </c>
      <c r="BO85" s="69">
        <v>0</v>
      </c>
      <c r="BP85" s="69">
        <v>0</v>
      </c>
      <c r="BQ85" s="69"/>
      <c r="BR85" s="69" t="s">
        <v>382</v>
      </c>
      <c r="BS85" s="69" t="s">
        <v>943</v>
      </c>
      <c r="BT85" s="68">
        <v>0</v>
      </c>
      <c r="BU85" s="68">
        <v>0</v>
      </c>
      <c r="BV85" s="68">
        <v>0</v>
      </c>
      <c r="BW85" s="94">
        <v>0</v>
      </c>
      <c r="BX85" s="94">
        <v>0</v>
      </c>
      <c r="BY85" s="94">
        <v>0</v>
      </c>
      <c r="BZ85" s="94">
        <v>2310000000</v>
      </c>
      <c r="CA85" s="94">
        <v>0</v>
      </c>
      <c r="CB85" s="94">
        <v>0</v>
      </c>
      <c r="CC85" s="94">
        <v>0</v>
      </c>
      <c r="CD85" s="94">
        <v>0</v>
      </c>
      <c r="CE85" s="94">
        <v>0</v>
      </c>
      <c r="CF85" s="108">
        <f>SUM(BT85:CE85)</f>
        <v>2310000000</v>
      </c>
      <c r="CG85" s="108">
        <f>$CF85-$AF85</f>
        <v>0</v>
      </c>
      <c r="CH85" s="37" t="s">
        <v>289</v>
      </c>
      <c r="CI85" s="37" t="s">
        <v>290</v>
      </c>
      <c r="CJ85" s="37" t="s">
        <v>277</v>
      </c>
      <c r="CK85" s="37" t="s">
        <v>290</v>
      </c>
      <c r="CL85" s="37" t="s">
        <v>277</v>
      </c>
      <c r="CM85" s="37" t="s">
        <v>277</v>
      </c>
      <c r="CN85" s="37" t="s">
        <v>290</v>
      </c>
      <c r="CO85" s="37" t="s">
        <v>497</v>
      </c>
      <c r="CP85" s="41">
        <v>45200</v>
      </c>
      <c r="CQ85" s="41">
        <v>45536</v>
      </c>
      <c r="CR85" s="37" t="s">
        <v>293</v>
      </c>
      <c r="CS85" s="37" t="s">
        <v>322</v>
      </c>
      <c r="CT85" s="37" t="s">
        <v>295</v>
      </c>
      <c r="CU85" s="37" t="s">
        <v>341</v>
      </c>
      <c r="CV85" s="37" t="s">
        <v>382</v>
      </c>
      <c r="CW85" s="37" t="s">
        <v>944</v>
      </c>
      <c r="CX85" s="37" t="s">
        <v>940</v>
      </c>
      <c r="CY85" s="37">
        <v>18500000000</v>
      </c>
      <c r="CZ85" s="123">
        <v>45352</v>
      </c>
      <c r="DA85" s="123">
        <v>46447</v>
      </c>
      <c r="DB85" s="37" t="s">
        <v>277</v>
      </c>
      <c r="DC85" s="37" t="s">
        <v>388</v>
      </c>
      <c r="DD85" s="68">
        <v>0</v>
      </c>
      <c r="DE85" s="68">
        <v>0</v>
      </c>
      <c r="DF85" s="68">
        <v>1320000000</v>
      </c>
      <c r="DG85" s="68">
        <v>0</v>
      </c>
      <c r="DH85" s="68">
        <v>0</v>
      </c>
      <c r="DI85" s="68">
        <v>0</v>
      </c>
      <c r="DJ85" s="68">
        <v>0</v>
      </c>
      <c r="DK85" s="68">
        <v>0</v>
      </c>
      <c r="DL85" s="68">
        <v>0</v>
      </c>
      <c r="DM85" s="68">
        <v>0</v>
      </c>
      <c r="DN85" s="68">
        <v>0</v>
      </c>
      <c r="DO85" s="68">
        <v>0</v>
      </c>
      <c r="DP85" s="68">
        <f>SUM(DD85:DO85)</f>
        <v>1320000000</v>
      </c>
      <c r="DQ85" s="68">
        <f>DP85-AB85</f>
        <v>0</v>
      </c>
      <c r="DR85" s="68">
        <f>$DD85</f>
        <v>0</v>
      </c>
      <c r="DS85" s="68">
        <f>DR85+DE85</f>
        <v>0</v>
      </c>
      <c r="DT85" s="68">
        <f>DS85+DF85</f>
        <v>1320000000</v>
      </c>
      <c r="DU85" s="68">
        <f>DT85+DG85</f>
        <v>1320000000</v>
      </c>
      <c r="DV85" s="68">
        <f>DU85+DH85</f>
        <v>1320000000</v>
      </c>
      <c r="DW85" s="68">
        <f>DV85+DI85</f>
        <v>1320000000</v>
      </c>
      <c r="DX85" s="68">
        <f>DW85+DJ85</f>
        <v>1320000000</v>
      </c>
      <c r="DY85" s="68">
        <f>DX85+DK85</f>
        <v>1320000000</v>
      </c>
      <c r="DZ85" s="68">
        <f>DY85+DL85</f>
        <v>1320000000</v>
      </c>
      <c r="EA85" s="68">
        <f>DZ85+DM85</f>
        <v>1320000000</v>
      </c>
      <c r="EB85" s="68">
        <f>EA85+DN85</f>
        <v>1320000000</v>
      </c>
      <c r="EC85" s="68">
        <f>EB85+DO85</f>
        <v>1320000000</v>
      </c>
      <c r="ED85" s="68">
        <f>$EC85-$AB85</f>
        <v>0</v>
      </c>
    </row>
    <row r="86" spans="1:134" ht="165">
      <c r="A86" s="74"/>
      <c r="B86" s="50">
        <v>103</v>
      </c>
      <c r="C86" s="50" t="s">
        <v>269</v>
      </c>
      <c r="D86" s="50" t="s">
        <v>297</v>
      </c>
      <c r="E86" s="50"/>
      <c r="F86" s="50" t="s">
        <v>272</v>
      </c>
      <c r="G86" s="50" t="s">
        <v>273</v>
      </c>
      <c r="H86" s="37" t="s">
        <v>151</v>
      </c>
      <c r="I86" s="37" t="s">
        <v>326</v>
      </c>
      <c r="J86" s="37" t="s">
        <v>327</v>
      </c>
      <c r="K86" s="50" t="s">
        <v>3</v>
      </c>
      <c r="L86" s="50" t="s">
        <v>14</v>
      </c>
      <c r="M86" s="50" t="s">
        <v>16</v>
      </c>
      <c r="N86" s="50" t="s">
        <v>276</v>
      </c>
      <c r="O86" s="37" t="s">
        <v>3</v>
      </c>
      <c r="P86" s="37" t="s">
        <v>14</v>
      </c>
      <c r="Q86" s="37" t="s">
        <v>16</v>
      </c>
      <c r="R86" s="37" t="s">
        <v>276</v>
      </c>
      <c r="S86" s="50" t="s">
        <v>945</v>
      </c>
      <c r="T86" s="50" t="s">
        <v>946</v>
      </c>
      <c r="U86" s="50" t="s">
        <v>947</v>
      </c>
      <c r="V86" s="56" t="s">
        <v>948</v>
      </c>
      <c r="W86" s="56" t="s">
        <v>948</v>
      </c>
      <c r="X86" s="38" t="s">
        <v>949</v>
      </c>
      <c r="Y86" s="60">
        <v>55557554832</v>
      </c>
      <c r="Z86" s="60">
        <v>10889280747</v>
      </c>
      <c r="AA86" s="62">
        <f>-876777470.6-4490517227-4017865173</f>
        <v>-9385159870.6000004</v>
      </c>
      <c r="AB86" s="60">
        <f>Z86+AA86</f>
        <v>1504120876.3999996</v>
      </c>
      <c r="AC86" s="183" t="s">
        <v>950</v>
      </c>
      <c r="AD86" s="61" t="s">
        <v>951</v>
      </c>
      <c r="AE86" s="112">
        <v>10689131308</v>
      </c>
      <c r="AF86" s="112">
        <v>2137826262</v>
      </c>
      <c r="AG86" s="110">
        <f>$AR86+$AZ86+$BQ86+$BT86+$BU86+$BV86</f>
        <v>0</v>
      </c>
      <c r="AH86" s="121">
        <f>AF86-AG86</f>
        <v>2137826262</v>
      </c>
      <c r="AI86" s="39" t="s">
        <v>952</v>
      </c>
      <c r="AJ86" s="198"/>
      <c r="AK86" s="198"/>
      <c r="AL86" s="42"/>
      <c r="AM86" s="68"/>
      <c r="AN86" s="68"/>
      <c r="AO86" s="68"/>
      <c r="AP86" s="68"/>
      <c r="AQ86" s="68">
        <v>0</v>
      </c>
      <c r="AR86" s="68">
        <v>0</v>
      </c>
      <c r="AS86" s="68" t="s">
        <v>307</v>
      </c>
      <c r="AT86" s="68"/>
      <c r="AU86" s="69" t="s">
        <v>277</v>
      </c>
      <c r="AV86" s="69" t="s">
        <v>277</v>
      </c>
      <c r="AW86" s="69" t="s">
        <v>277</v>
      </c>
      <c r="AX86" s="69"/>
      <c r="AY86" s="68">
        <v>0</v>
      </c>
      <c r="AZ86" s="68">
        <v>0</v>
      </c>
      <c r="BA86" s="68" t="s">
        <v>307</v>
      </c>
      <c r="BB86" s="68"/>
      <c r="BC86" s="69" t="s">
        <v>277</v>
      </c>
      <c r="BD86" s="69" t="s">
        <v>277</v>
      </c>
      <c r="BE86" s="56" t="s">
        <v>953</v>
      </c>
      <c r="BF86" s="56" t="s">
        <v>954</v>
      </c>
      <c r="BG86" s="56" t="s">
        <v>955</v>
      </c>
      <c r="BH86" s="56" t="s">
        <v>420</v>
      </c>
      <c r="BI86" s="69">
        <v>59245244368</v>
      </c>
      <c r="BJ86" s="69">
        <v>2137826262</v>
      </c>
      <c r="BK86" s="69">
        <v>6413478785</v>
      </c>
      <c r="BL86" s="69">
        <v>534456566</v>
      </c>
      <c r="BM86" s="69">
        <v>534456566</v>
      </c>
      <c r="BN86" s="69">
        <v>534456566</v>
      </c>
      <c r="BO86" s="69">
        <v>534456566</v>
      </c>
      <c r="BP86" s="69">
        <v>0</v>
      </c>
      <c r="BQ86" s="69"/>
      <c r="BR86" s="69" t="s">
        <v>156</v>
      </c>
      <c r="BS86" s="69" t="s">
        <v>317</v>
      </c>
      <c r="BT86" s="68">
        <v>0</v>
      </c>
      <c r="BU86" s="68">
        <v>0</v>
      </c>
      <c r="BV86" s="68"/>
      <c r="BW86" s="94">
        <v>0</v>
      </c>
      <c r="BX86" s="94">
        <v>0</v>
      </c>
      <c r="BY86" s="94">
        <v>0</v>
      </c>
      <c r="BZ86" s="94">
        <v>0</v>
      </c>
      <c r="CA86" s="94">
        <v>0</v>
      </c>
      <c r="CB86" s="109">
        <v>2137826262</v>
      </c>
      <c r="CC86" s="109">
        <v>0</v>
      </c>
      <c r="CD86" s="109">
        <v>0</v>
      </c>
      <c r="CE86" s="109">
        <v>0</v>
      </c>
      <c r="CF86" s="108">
        <f>SUM(BT86:CE86)</f>
        <v>2137826262</v>
      </c>
      <c r="CG86" s="108">
        <f>$CF86-$AF86</f>
        <v>0</v>
      </c>
      <c r="CH86" s="37" t="s">
        <v>421</v>
      </c>
      <c r="CI86" s="37" t="s">
        <v>291</v>
      </c>
      <c r="CJ86" s="37" t="s">
        <v>319</v>
      </c>
      <c r="CK86" s="37" t="s">
        <v>290</v>
      </c>
      <c r="CL86" s="37" t="s">
        <v>320</v>
      </c>
      <c r="CM86" s="37" t="s">
        <v>321</v>
      </c>
      <c r="CN86" s="37" t="s">
        <v>290</v>
      </c>
      <c r="CO86" s="37" t="s">
        <v>277</v>
      </c>
      <c r="CP86" s="41">
        <v>46023</v>
      </c>
      <c r="CQ86" s="41">
        <v>47453</v>
      </c>
      <c r="CR86" s="37" t="s">
        <v>293</v>
      </c>
      <c r="CS86" s="37" t="s">
        <v>322</v>
      </c>
      <c r="CT86" s="37" t="s">
        <v>295</v>
      </c>
      <c r="CU86" s="37" t="s">
        <v>296</v>
      </c>
      <c r="CV86" s="37" t="s">
        <v>323</v>
      </c>
      <c r="CW86" s="37" t="s">
        <v>277</v>
      </c>
      <c r="CX86" s="37" t="s">
        <v>277</v>
      </c>
      <c r="CY86" s="37">
        <v>0</v>
      </c>
      <c r="CZ86" s="123" t="s">
        <v>277</v>
      </c>
      <c r="DA86" s="123" t="s">
        <v>277</v>
      </c>
      <c r="DB86" s="37" t="s">
        <v>509</v>
      </c>
      <c r="DC86" s="37" t="s">
        <v>956</v>
      </c>
      <c r="DD86" s="68">
        <v>0</v>
      </c>
      <c r="DE86" s="68">
        <v>0</v>
      </c>
      <c r="DF86" s="68">
        <v>0</v>
      </c>
      <c r="DG86" s="68">
        <v>0</v>
      </c>
      <c r="DH86" s="68">
        <v>0</v>
      </c>
      <c r="DI86" s="68">
        <v>0</v>
      </c>
      <c r="DJ86" s="68">
        <v>0</v>
      </c>
      <c r="DK86" s="68">
        <v>0</v>
      </c>
      <c r="DL86" s="68">
        <v>0</v>
      </c>
      <c r="DM86" s="68">
        <f>10889280747-876777470.6-4490517227-4017865173</f>
        <v>1504120876.3999996</v>
      </c>
      <c r="DN86" s="68">
        <v>0</v>
      </c>
      <c r="DO86" s="68">
        <v>0</v>
      </c>
      <c r="DP86" s="68">
        <f>SUM(DD86:DO86)</f>
        <v>1504120876.3999996</v>
      </c>
      <c r="DQ86" s="68">
        <f>DP86-AB86</f>
        <v>0</v>
      </c>
      <c r="DR86" s="68">
        <f>$DD86</f>
        <v>0</v>
      </c>
      <c r="DS86" s="68">
        <f>DR86+DE86</f>
        <v>0</v>
      </c>
      <c r="DT86" s="68">
        <f>DS86+DF86</f>
        <v>0</v>
      </c>
      <c r="DU86" s="68">
        <f>DT86+DG86</f>
        <v>0</v>
      </c>
      <c r="DV86" s="68">
        <f>DU86+DH86</f>
        <v>0</v>
      </c>
      <c r="DW86" s="68">
        <f>DV86+DI86</f>
        <v>0</v>
      </c>
      <c r="DX86" s="68">
        <f>DW86+DJ86</f>
        <v>0</v>
      </c>
      <c r="DY86" s="68">
        <f>DX86+DK86</f>
        <v>0</v>
      </c>
      <c r="DZ86" s="68">
        <f>DY86+DL86</f>
        <v>0</v>
      </c>
      <c r="EA86" s="68">
        <f>DZ86+DM86</f>
        <v>1504120876.3999996</v>
      </c>
      <c r="EB86" s="68">
        <f>EA86+DN86</f>
        <v>1504120876.3999996</v>
      </c>
      <c r="EC86" s="68">
        <f>EB86+DO86</f>
        <v>1504120876.3999996</v>
      </c>
      <c r="ED86" s="68">
        <f>$EC86-$AB86</f>
        <v>0</v>
      </c>
    </row>
    <row r="87" spans="1:134" ht="45">
      <c r="B87" s="54"/>
      <c r="C87" s="50" t="s">
        <v>269</v>
      </c>
      <c r="D87" s="50" t="s">
        <v>270</v>
      </c>
      <c r="E87" s="55" t="s">
        <v>957</v>
      </c>
      <c r="F87" s="50" t="s">
        <v>272</v>
      </c>
      <c r="G87" s="50" t="s">
        <v>273</v>
      </c>
      <c r="H87" s="37" t="s">
        <v>151</v>
      </c>
      <c r="I87" s="37" t="s">
        <v>424</v>
      </c>
      <c r="J87" s="37" t="s">
        <v>694</v>
      </c>
      <c r="K87" s="50" t="s">
        <v>3</v>
      </c>
      <c r="L87" s="50" t="s">
        <v>14</v>
      </c>
      <c r="M87" s="50" t="s">
        <v>16</v>
      </c>
      <c r="N87" s="50" t="s">
        <v>276</v>
      </c>
      <c r="O87" s="37" t="s">
        <v>3</v>
      </c>
      <c r="P87" s="37" t="s">
        <v>14</v>
      </c>
      <c r="Q87" s="37" t="s">
        <v>16</v>
      </c>
      <c r="R87" s="37" t="s">
        <v>276</v>
      </c>
      <c r="S87" s="50" t="s">
        <v>277</v>
      </c>
      <c r="T87" s="50">
        <v>164</v>
      </c>
      <c r="U87" s="50" t="s">
        <v>958</v>
      </c>
      <c r="V87" s="56" t="s">
        <v>277</v>
      </c>
      <c r="W87" s="57" t="s">
        <v>959</v>
      </c>
      <c r="X87" s="46" t="s">
        <v>959</v>
      </c>
      <c r="Y87" s="64">
        <v>2116983120</v>
      </c>
      <c r="Z87" s="65">
        <v>0</v>
      </c>
      <c r="AA87" s="65">
        <v>0</v>
      </c>
      <c r="AB87" s="65">
        <f>Z87+AA87</f>
        <v>0</v>
      </c>
      <c r="AC87" s="66"/>
      <c r="AD87" s="66"/>
      <c r="AE87" s="119">
        <v>2116983120</v>
      </c>
      <c r="AF87" s="119">
        <v>2116983120</v>
      </c>
      <c r="AG87" s="64">
        <f>$AR87+$AZ87+$BQ87+$BT87+$BU87+$BV87</f>
        <v>0</v>
      </c>
      <c r="AH87" s="121">
        <f>AF87-AG87</f>
        <v>2116983120</v>
      </c>
      <c r="AI87" s="47" t="s">
        <v>156</v>
      </c>
      <c r="AJ87" s="202"/>
      <c r="AK87" s="202"/>
      <c r="AL87" s="47"/>
      <c r="AM87" s="54"/>
      <c r="AN87" s="54"/>
      <c r="AO87" s="54"/>
      <c r="AP87" s="54"/>
      <c r="AQ87" s="72"/>
      <c r="AR87" s="72"/>
      <c r="AS87" s="54"/>
      <c r="AT87" s="54"/>
      <c r="AU87" s="54"/>
      <c r="AV87" s="54"/>
      <c r="AW87" s="54"/>
      <c r="AX87" s="54"/>
      <c r="AY87" s="72"/>
      <c r="AZ87" s="72"/>
      <c r="BA87" s="54"/>
      <c r="BB87" s="54"/>
      <c r="BC87" s="54"/>
      <c r="BD87" s="54"/>
      <c r="BE87" s="57" t="s">
        <v>277</v>
      </c>
      <c r="BF87" s="57" t="s">
        <v>277</v>
      </c>
      <c r="BG87" s="57" t="s">
        <v>277</v>
      </c>
      <c r="BH87" s="57" t="s">
        <v>277</v>
      </c>
      <c r="BI87" s="54">
        <v>0</v>
      </c>
      <c r="BJ87" s="54">
        <v>0</v>
      </c>
      <c r="BK87" s="54">
        <v>0</v>
      </c>
      <c r="BL87" s="54">
        <v>0</v>
      </c>
      <c r="BM87" s="54">
        <v>0</v>
      </c>
      <c r="BN87" s="54">
        <v>0</v>
      </c>
      <c r="BO87" s="54">
        <v>0</v>
      </c>
      <c r="BP87" s="54">
        <v>0</v>
      </c>
      <c r="BQ87" s="54"/>
      <c r="BR87" s="69" t="s">
        <v>156</v>
      </c>
      <c r="BS87" s="69"/>
      <c r="BT87" s="72">
        <v>0</v>
      </c>
      <c r="BU87" s="72">
        <v>0</v>
      </c>
      <c r="BV87" s="72">
        <v>0</v>
      </c>
      <c r="BW87" s="94">
        <v>0</v>
      </c>
      <c r="BX87" s="94">
        <v>0</v>
      </c>
      <c r="BY87" s="94">
        <v>0</v>
      </c>
      <c r="BZ87" s="94">
        <v>0</v>
      </c>
      <c r="CA87" s="94">
        <v>0</v>
      </c>
      <c r="CB87" s="94">
        <v>0</v>
      </c>
      <c r="CC87" s="94">
        <v>0</v>
      </c>
      <c r="CD87" s="119">
        <v>2116983120</v>
      </c>
      <c r="CE87" s="94">
        <v>0</v>
      </c>
      <c r="CF87" s="64">
        <f>SUM(BT87:CE87)</f>
        <v>2116983120</v>
      </c>
      <c r="CG87" s="64">
        <f>$CF87-$AF87</f>
        <v>0</v>
      </c>
      <c r="CH87" s="87" t="s">
        <v>289</v>
      </c>
      <c r="CI87" s="87" t="s">
        <v>290</v>
      </c>
      <c r="CJ87" s="87" t="s">
        <v>277</v>
      </c>
      <c r="CK87" s="87" t="s">
        <v>290</v>
      </c>
      <c r="CL87" s="87" t="s">
        <v>277</v>
      </c>
      <c r="CM87" s="87" t="s">
        <v>277</v>
      </c>
      <c r="CN87" s="87" t="s">
        <v>290</v>
      </c>
      <c r="CO87" s="87" t="s">
        <v>277</v>
      </c>
      <c r="CP87" s="87" t="s">
        <v>277</v>
      </c>
      <c r="CQ87" s="87" t="s">
        <v>277</v>
      </c>
      <c r="CR87" s="87" t="s">
        <v>293</v>
      </c>
      <c r="CS87" s="87" t="s">
        <v>322</v>
      </c>
      <c r="CT87" s="87" t="s">
        <v>295</v>
      </c>
      <c r="CU87" s="89" t="s">
        <v>296</v>
      </c>
      <c r="CV87" s="91" t="s">
        <v>156</v>
      </c>
      <c r="CW87" s="87" t="s">
        <v>277</v>
      </c>
      <c r="CX87" s="87" t="s">
        <v>277</v>
      </c>
      <c r="CY87" s="87" t="s">
        <v>277</v>
      </c>
      <c r="CZ87" s="45" t="s">
        <v>277</v>
      </c>
      <c r="DA87" s="45" t="s">
        <v>277</v>
      </c>
      <c r="DB87" s="45" t="s">
        <v>277</v>
      </c>
      <c r="DC87" s="45" t="s">
        <v>277</v>
      </c>
      <c r="DD87" s="54"/>
      <c r="DE87" s="54"/>
      <c r="DF87" s="54"/>
      <c r="DG87" s="54"/>
      <c r="DH87" s="54"/>
      <c r="DI87" s="54"/>
      <c r="DJ87" s="54"/>
      <c r="DK87" s="54"/>
      <c r="DL87" s="54"/>
      <c r="DM87" s="54"/>
      <c r="DN87" s="54"/>
      <c r="DO87" s="54"/>
      <c r="DP87" s="54">
        <f>SUM(DD87:DO87)</f>
        <v>0</v>
      </c>
      <c r="DQ87" s="54">
        <f>DP87-AB87</f>
        <v>0</v>
      </c>
      <c r="DR87" s="54">
        <f>$DD87</f>
        <v>0</v>
      </c>
      <c r="DS87" s="54">
        <f>DR87+DE87</f>
        <v>0</v>
      </c>
      <c r="DT87" s="54">
        <f>DS87+DF87</f>
        <v>0</v>
      </c>
      <c r="DU87" s="54">
        <f>DT87+DG87</f>
        <v>0</v>
      </c>
      <c r="DV87" s="54">
        <f>DU87+DH87</f>
        <v>0</v>
      </c>
      <c r="DW87" s="54">
        <f>DV87+DI87</f>
        <v>0</v>
      </c>
      <c r="DX87" s="54">
        <f>DW87+DJ87</f>
        <v>0</v>
      </c>
      <c r="DY87" s="54">
        <f>DX87+DK87</f>
        <v>0</v>
      </c>
      <c r="DZ87" s="54">
        <f>DY87+DL87</f>
        <v>0</v>
      </c>
      <c r="EA87" s="54">
        <f>DZ87+DM87</f>
        <v>0</v>
      </c>
      <c r="EB87" s="54">
        <f>EA87+DN87</f>
        <v>0</v>
      </c>
      <c r="EC87" s="54">
        <f>EB87+DO87</f>
        <v>0</v>
      </c>
      <c r="ED87" s="54">
        <f>$EC87-$AB87</f>
        <v>0</v>
      </c>
    </row>
    <row r="88" spans="1:134" ht="60">
      <c r="A88" s="74"/>
      <c r="B88" s="50">
        <v>59</v>
      </c>
      <c r="C88" s="50" t="s">
        <v>269</v>
      </c>
      <c r="D88" s="50" t="s">
        <v>297</v>
      </c>
      <c r="E88" s="50"/>
      <c r="F88" s="50" t="s">
        <v>272</v>
      </c>
      <c r="G88" s="50" t="s">
        <v>273</v>
      </c>
      <c r="H88" s="37" t="s">
        <v>151</v>
      </c>
      <c r="I88" s="37" t="s">
        <v>702</v>
      </c>
      <c r="J88" s="37" t="s">
        <v>740</v>
      </c>
      <c r="K88" s="50" t="s">
        <v>3</v>
      </c>
      <c r="L88" s="50" t="s">
        <v>14</v>
      </c>
      <c r="M88" s="50" t="s">
        <v>16</v>
      </c>
      <c r="N88" s="50" t="s">
        <v>276</v>
      </c>
      <c r="O88" s="37" t="s">
        <v>3</v>
      </c>
      <c r="P88" s="37" t="s">
        <v>14</v>
      </c>
      <c r="Q88" s="37" t="s">
        <v>16</v>
      </c>
      <c r="R88" s="37" t="s">
        <v>276</v>
      </c>
      <c r="S88" s="50" t="s">
        <v>960</v>
      </c>
      <c r="T88" s="50" t="s">
        <v>961</v>
      </c>
      <c r="U88" s="50" t="s">
        <v>962</v>
      </c>
      <c r="V88" s="56" t="s">
        <v>963</v>
      </c>
      <c r="W88" s="56" t="s">
        <v>963</v>
      </c>
      <c r="X88" s="38" t="s">
        <v>963</v>
      </c>
      <c r="Y88" s="60">
        <v>29000000000</v>
      </c>
      <c r="Z88" s="60">
        <v>1305333333</v>
      </c>
      <c r="AA88" s="60"/>
      <c r="AB88" s="60">
        <f>Z88+AA88</f>
        <v>1305333333</v>
      </c>
      <c r="AC88" s="61"/>
      <c r="AD88" s="61"/>
      <c r="AE88" s="107">
        <v>29000000000</v>
      </c>
      <c r="AF88" s="109">
        <v>2055511321</v>
      </c>
      <c r="AG88" s="108">
        <f>$AR88+$AZ88+$BQ88+$BT88+$BU88+$BV88</f>
        <v>0</v>
      </c>
      <c r="AH88" s="121">
        <f>AF88-AG88</f>
        <v>2055511321</v>
      </c>
      <c r="AI88" s="39" t="s">
        <v>964</v>
      </c>
      <c r="AJ88" s="198"/>
      <c r="AK88" s="198"/>
      <c r="AL88" s="42"/>
      <c r="AM88" s="68"/>
      <c r="AN88" s="68"/>
      <c r="AO88" s="68"/>
      <c r="AP88" s="68"/>
      <c r="AQ88" s="68">
        <v>0</v>
      </c>
      <c r="AR88" s="68">
        <v>0</v>
      </c>
      <c r="AS88" s="68" t="s">
        <v>307</v>
      </c>
      <c r="AT88" s="68"/>
      <c r="AU88" s="69" t="s">
        <v>277</v>
      </c>
      <c r="AV88" s="69" t="s">
        <v>277</v>
      </c>
      <c r="AW88" s="69" t="s">
        <v>277</v>
      </c>
      <c r="AX88" s="69"/>
      <c r="AY88" s="68">
        <v>0</v>
      </c>
      <c r="AZ88" s="68">
        <v>0</v>
      </c>
      <c r="BA88" s="68" t="s">
        <v>307</v>
      </c>
      <c r="BB88" s="68"/>
      <c r="BC88" s="69" t="s">
        <v>965</v>
      </c>
      <c r="BD88" s="69" t="s">
        <v>277</v>
      </c>
      <c r="BE88" s="56" t="s">
        <v>277</v>
      </c>
      <c r="BF88" s="56" t="s">
        <v>277</v>
      </c>
      <c r="BG88" s="56" t="s">
        <v>277</v>
      </c>
      <c r="BH88" s="56" t="s">
        <v>277</v>
      </c>
      <c r="BI88" s="69">
        <v>0</v>
      </c>
      <c r="BJ88" s="69">
        <v>0</v>
      </c>
      <c r="BK88" s="69">
        <v>0</v>
      </c>
      <c r="BL88" s="69">
        <v>0</v>
      </c>
      <c r="BM88" s="69">
        <v>0</v>
      </c>
      <c r="BN88" s="69">
        <v>0</v>
      </c>
      <c r="BO88" s="69">
        <v>0</v>
      </c>
      <c r="BP88" s="69">
        <v>0</v>
      </c>
      <c r="BQ88" s="69"/>
      <c r="BR88" s="69" t="s">
        <v>382</v>
      </c>
      <c r="BS88" s="69" t="s">
        <v>966</v>
      </c>
      <c r="BT88" s="68">
        <v>0</v>
      </c>
      <c r="BU88" s="68">
        <v>0</v>
      </c>
      <c r="BV88" s="68">
        <v>0</v>
      </c>
      <c r="BW88" s="94">
        <v>0</v>
      </c>
      <c r="BX88" s="94">
        <v>0</v>
      </c>
      <c r="BY88" s="94">
        <v>0</v>
      </c>
      <c r="BZ88" s="94">
        <v>0</v>
      </c>
      <c r="CA88" s="107">
        <v>2055511321</v>
      </c>
      <c r="CB88" s="94">
        <v>0</v>
      </c>
      <c r="CC88" s="94">
        <v>0</v>
      </c>
      <c r="CD88" s="94">
        <v>0</v>
      </c>
      <c r="CE88" s="94">
        <v>0</v>
      </c>
      <c r="CF88" s="108">
        <f>SUM(BT88:CE88)</f>
        <v>2055511321</v>
      </c>
      <c r="CG88" s="108">
        <f>$CF88-$AF88</f>
        <v>0</v>
      </c>
      <c r="CH88" s="37" t="s">
        <v>289</v>
      </c>
      <c r="CI88" s="37" t="s">
        <v>290</v>
      </c>
      <c r="CJ88" s="37" t="s">
        <v>277</v>
      </c>
      <c r="CK88" s="37" t="s">
        <v>290</v>
      </c>
      <c r="CL88" s="37" t="s">
        <v>277</v>
      </c>
      <c r="CM88" s="37" t="s">
        <v>277</v>
      </c>
      <c r="CN88" s="37" t="s">
        <v>290</v>
      </c>
      <c r="CO88" s="37" t="s">
        <v>340</v>
      </c>
      <c r="CP88" s="41">
        <v>46023</v>
      </c>
      <c r="CQ88" s="41">
        <v>46387</v>
      </c>
      <c r="CR88" s="37" t="s">
        <v>293</v>
      </c>
      <c r="CS88" s="37" t="s">
        <v>454</v>
      </c>
      <c r="CT88" s="37" t="s">
        <v>524</v>
      </c>
      <c r="CU88" s="37" t="s">
        <v>341</v>
      </c>
      <c r="CV88" s="37" t="s">
        <v>382</v>
      </c>
      <c r="CW88" s="37">
        <v>4200003329</v>
      </c>
      <c r="CX88" s="37" t="s">
        <v>967</v>
      </c>
      <c r="CY88" s="37">
        <v>64800000000</v>
      </c>
      <c r="CZ88" s="123">
        <v>45108</v>
      </c>
      <c r="DA88" s="123">
        <v>46204</v>
      </c>
      <c r="DB88" s="37" t="s">
        <v>277</v>
      </c>
      <c r="DC88" s="37" t="s">
        <v>968</v>
      </c>
      <c r="DD88" s="68">
        <v>0</v>
      </c>
      <c r="DE88" s="68">
        <v>0</v>
      </c>
      <c r="DF88" s="68">
        <v>1305333333</v>
      </c>
      <c r="DG88" s="68">
        <v>0</v>
      </c>
      <c r="DH88" s="68">
        <v>0</v>
      </c>
      <c r="DI88" s="68">
        <v>0</v>
      </c>
      <c r="DJ88" s="68">
        <v>0</v>
      </c>
      <c r="DK88" s="68">
        <v>0</v>
      </c>
      <c r="DL88" s="68">
        <v>0</v>
      </c>
      <c r="DM88" s="68">
        <v>0</v>
      </c>
      <c r="DN88" s="68">
        <v>0</v>
      </c>
      <c r="DO88" s="68">
        <v>0</v>
      </c>
      <c r="DP88" s="68">
        <f>SUM(DD88:DO88)</f>
        <v>1305333333</v>
      </c>
      <c r="DQ88" s="68">
        <f>DP88-AB88</f>
        <v>0</v>
      </c>
      <c r="DR88" s="68">
        <f>$DD88</f>
        <v>0</v>
      </c>
      <c r="DS88" s="68">
        <f>DR88+DE88</f>
        <v>0</v>
      </c>
      <c r="DT88" s="68">
        <f>DS88+DF88</f>
        <v>1305333333</v>
      </c>
      <c r="DU88" s="68">
        <f>DT88+DG88</f>
        <v>1305333333</v>
      </c>
      <c r="DV88" s="68">
        <f>DU88+DH88</f>
        <v>1305333333</v>
      </c>
      <c r="DW88" s="68">
        <f>DV88+DI88</f>
        <v>1305333333</v>
      </c>
      <c r="DX88" s="68">
        <f>DW88+DJ88</f>
        <v>1305333333</v>
      </c>
      <c r="DY88" s="68">
        <f>DX88+DK88</f>
        <v>1305333333</v>
      </c>
      <c r="DZ88" s="68">
        <f>DY88+DL88</f>
        <v>1305333333</v>
      </c>
      <c r="EA88" s="68">
        <f>DZ88+DM88</f>
        <v>1305333333</v>
      </c>
      <c r="EB88" s="68">
        <f>EA88+DN88</f>
        <v>1305333333</v>
      </c>
      <c r="EC88" s="68">
        <f>EB88+DO88</f>
        <v>1305333333</v>
      </c>
      <c r="ED88" s="68">
        <f>$EC88-$AB88</f>
        <v>0</v>
      </c>
    </row>
    <row r="89" spans="1:134" ht="45">
      <c r="B89" s="159"/>
      <c r="C89" s="160" t="s">
        <v>269</v>
      </c>
      <c r="D89" s="160" t="s">
        <v>270</v>
      </c>
      <c r="E89" s="160"/>
      <c r="F89" s="160" t="s">
        <v>272</v>
      </c>
      <c r="G89" s="160" t="s">
        <v>273</v>
      </c>
      <c r="H89" s="160" t="s">
        <v>151</v>
      </c>
      <c r="I89" s="160" t="s">
        <v>326</v>
      </c>
      <c r="J89" s="160" t="s">
        <v>327</v>
      </c>
      <c r="K89" s="160" t="s">
        <v>277</v>
      </c>
      <c r="L89" s="160" t="s">
        <v>277</v>
      </c>
      <c r="M89" s="160" t="s">
        <v>277</v>
      </c>
      <c r="N89" s="160" t="s">
        <v>277</v>
      </c>
      <c r="O89" s="160" t="s">
        <v>3</v>
      </c>
      <c r="P89" s="160" t="s">
        <v>14</v>
      </c>
      <c r="Q89" s="160" t="s">
        <v>16</v>
      </c>
      <c r="R89" s="158" t="s">
        <v>276</v>
      </c>
      <c r="S89" s="159" t="s">
        <v>277</v>
      </c>
      <c r="T89" s="159" t="s">
        <v>277</v>
      </c>
      <c r="U89" s="160" t="s">
        <v>277</v>
      </c>
      <c r="V89" s="159" t="s">
        <v>277</v>
      </c>
      <c r="W89" s="159" t="s">
        <v>277</v>
      </c>
      <c r="X89" s="161" t="s">
        <v>969</v>
      </c>
      <c r="Y89" s="159"/>
      <c r="Z89" s="159"/>
      <c r="AA89" s="159"/>
      <c r="AB89" s="159"/>
      <c r="AC89" s="159"/>
      <c r="AD89" s="159"/>
      <c r="AE89" s="155">
        <v>9973882234</v>
      </c>
      <c r="AF89" s="155">
        <v>1994776447</v>
      </c>
      <c r="AG89" s="155"/>
      <c r="AH89" s="121">
        <f>AF89-AG89</f>
        <v>1994776447</v>
      </c>
      <c r="AI89" s="159" t="s">
        <v>970</v>
      </c>
      <c r="AJ89" s="206"/>
      <c r="AK89" s="206"/>
      <c r="AL89" s="161"/>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159"/>
      <c r="BS89" s="159"/>
      <c r="BT89" s="159"/>
      <c r="BU89" s="159"/>
      <c r="BV89" s="159"/>
      <c r="BW89" s="155">
        <v>0</v>
      </c>
      <c r="BX89" s="155">
        <v>0</v>
      </c>
      <c r="BY89" s="155">
        <v>0</v>
      </c>
      <c r="BZ89" s="155">
        <v>0</v>
      </c>
      <c r="CA89" s="155">
        <v>0</v>
      </c>
      <c r="CB89" s="155">
        <v>0</v>
      </c>
      <c r="CC89" s="155">
        <v>0</v>
      </c>
      <c r="CD89" s="155">
        <v>1994776447</v>
      </c>
      <c r="CE89" s="155">
        <v>0</v>
      </c>
      <c r="CF89" s="156">
        <f>SUM(BT89:CE89)</f>
        <v>1994776447</v>
      </c>
      <c r="CG89" s="156">
        <f>$CF89-$AF89</f>
        <v>0</v>
      </c>
      <c r="CH89" s="160" t="s">
        <v>421</v>
      </c>
      <c r="CI89" s="160" t="s">
        <v>651</v>
      </c>
      <c r="CJ89" s="165" t="s">
        <v>319</v>
      </c>
      <c r="CK89" s="158" t="s">
        <v>652</v>
      </c>
      <c r="CL89" s="158" t="s">
        <v>320</v>
      </c>
      <c r="CM89" s="158" t="s">
        <v>321</v>
      </c>
      <c r="CN89" s="158" t="s">
        <v>290</v>
      </c>
      <c r="CO89" s="158" t="s">
        <v>277</v>
      </c>
      <c r="CP89" s="166">
        <v>46023</v>
      </c>
      <c r="CQ89" s="166">
        <v>47453</v>
      </c>
      <c r="CR89" s="158" t="s">
        <v>293</v>
      </c>
      <c r="CS89" s="158" t="s">
        <v>322</v>
      </c>
      <c r="CT89" s="158" t="s">
        <v>295</v>
      </c>
      <c r="CU89" s="158" t="s">
        <v>296</v>
      </c>
      <c r="CV89" s="158" t="s">
        <v>323</v>
      </c>
      <c r="CW89" s="158" t="s">
        <v>277</v>
      </c>
      <c r="CX89" s="158" t="s">
        <v>277</v>
      </c>
      <c r="CY89" s="158" t="s">
        <v>277</v>
      </c>
      <c r="CZ89" s="158" t="s">
        <v>277</v>
      </c>
      <c r="DA89" s="158" t="s">
        <v>277</v>
      </c>
      <c r="DB89" s="158" t="s">
        <v>277</v>
      </c>
      <c r="DC89" s="158" t="s">
        <v>277</v>
      </c>
      <c r="DD89" s="159"/>
      <c r="DE89" s="159"/>
      <c r="DF89" s="159"/>
      <c r="DG89" s="159"/>
      <c r="DH89" s="159"/>
      <c r="DI89" s="159"/>
      <c r="DJ89" s="159"/>
      <c r="DK89" s="159"/>
      <c r="DL89" s="159"/>
      <c r="DM89" s="159"/>
      <c r="DN89" s="159"/>
      <c r="DO89" s="159"/>
      <c r="DP89" s="159"/>
      <c r="DQ89" s="159"/>
      <c r="DR89" s="159"/>
      <c r="DS89" s="159"/>
      <c r="DT89" s="159"/>
      <c r="DU89" s="159"/>
      <c r="DV89" s="159"/>
      <c r="DW89" s="159"/>
      <c r="DX89" s="159"/>
      <c r="DY89" s="159"/>
      <c r="DZ89" s="159"/>
      <c r="EA89" s="159"/>
      <c r="EB89" s="159"/>
      <c r="EC89" s="159"/>
      <c r="ED89" s="159"/>
    </row>
    <row r="90" spans="1:134" ht="45">
      <c r="B90" s="54"/>
      <c r="C90" s="50" t="s">
        <v>269</v>
      </c>
      <c r="D90" s="50" t="s">
        <v>270</v>
      </c>
      <c r="E90" s="55" t="s">
        <v>971</v>
      </c>
      <c r="F90" s="50" t="s">
        <v>272</v>
      </c>
      <c r="G90" s="50" t="s">
        <v>273</v>
      </c>
      <c r="H90" s="37" t="s">
        <v>151</v>
      </c>
      <c r="I90" s="37" t="s">
        <v>424</v>
      </c>
      <c r="J90" s="37" t="s">
        <v>972</v>
      </c>
      <c r="K90" s="50" t="s">
        <v>3</v>
      </c>
      <c r="L90" s="50" t="s">
        <v>14</v>
      </c>
      <c r="M90" s="50" t="s">
        <v>16</v>
      </c>
      <c r="N90" s="50" t="s">
        <v>276</v>
      </c>
      <c r="O90" s="37" t="s">
        <v>3</v>
      </c>
      <c r="P90" s="37" t="s">
        <v>14</v>
      </c>
      <c r="Q90" s="37" t="s">
        <v>16</v>
      </c>
      <c r="R90" s="37" t="s">
        <v>276</v>
      </c>
      <c r="S90" s="50" t="s">
        <v>277</v>
      </c>
      <c r="T90" s="50">
        <v>160</v>
      </c>
      <c r="U90" s="50" t="s">
        <v>973</v>
      </c>
      <c r="V90" s="56" t="s">
        <v>277</v>
      </c>
      <c r="W90" s="57" t="s">
        <v>974</v>
      </c>
      <c r="X90" s="46" t="s">
        <v>974</v>
      </c>
      <c r="Y90" s="64">
        <v>1926133050</v>
      </c>
      <c r="Z90" s="65">
        <v>0</v>
      </c>
      <c r="AA90" s="65">
        <v>0</v>
      </c>
      <c r="AB90" s="65">
        <f>Z90+AA90</f>
        <v>0</v>
      </c>
      <c r="AC90" s="66"/>
      <c r="AD90" s="66"/>
      <c r="AE90" s="119">
        <v>1926133050</v>
      </c>
      <c r="AF90" s="119">
        <v>1926133050</v>
      </c>
      <c r="AG90" s="64">
        <f>$AR90+$AZ90+$BQ90+$BT90+$BU90+$BV90</f>
        <v>6364000000</v>
      </c>
      <c r="AH90" s="121">
        <f>AF90-AG90</f>
        <v>-4437866950</v>
      </c>
      <c r="AI90" s="47" t="s">
        <v>975</v>
      </c>
      <c r="AJ90" s="202"/>
      <c r="AK90" s="202"/>
      <c r="AL90" s="47"/>
      <c r="AM90" s="54"/>
      <c r="AN90" s="54"/>
      <c r="AO90" s="54"/>
      <c r="AP90" s="54"/>
      <c r="AQ90" s="72"/>
      <c r="AR90" s="72"/>
      <c r="AS90" s="54"/>
      <c r="AT90" s="54"/>
      <c r="AU90" s="54"/>
      <c r="AV90" s="54"/>
      <c r="AW90" s="54"/>
      <c r="AX90" s="54"/>
      <c r="AY90" s="72"/>
      <c r="AZ90" s="72"/>
      <c r="BA90" s="54"/>
      <c r="BB90" s="54"/>
      <c r="BC90" s="54"/>
      <c r="BD90" s="54"/>
      <c r="BE90" s="57" t="s">
        <v>277</v>
      </c>
      <c r="BF90" s="57" t="s">
        <v>277</v>
      </c>
      <c r="BG90" s="57" t="s">
        <v>277</v>
      </c>
      <c r="BH90" s="57" t="s">
        <v>277</v>
      </c>
      <c r="BI90" s="54">
        <v>0</v>
      </c>
      <c r="BJ90" s="54">
        <v>0</v>
      </c>
      <c r="BK90" s="54">
        <v>0</v>
      </c>
      <c r="BL90" s="54">
        <v>0</v>
      </c>
      <c r="BM90" s="54">
        <v>0</v>
      </c>
      <c r="BN90" s="54">
        <v>0</v>
      </c>
      <c r="BO90" s="54">
        <v>0</v>
      </c>
      <c r="BP90" s="54">
        <v>0</v>
      </c>
      <c r="BQ90" s="54"/>
      <c r="BR90" s="69" t="s">
        <v>156</v>
      </c>
      <c r="BS90" s="69" t="s">
        <v>976</v>
      </c>
      <c r="BT90" s="72">
        <v>0</v>
      </c>
      <c r="BU90" s="72">
        <v>0</v>
      </c>
      <c r="BV90" s="72">
        <v>6364000000</v>
      </c>
      <c r="BW90" s="94">
        <v>0</v>
      </c>
      <c r="BX90" s="94">
        <v>0</v>
      </c>
      <c r="BY90" s="94">
        <v>0</v>
      </c>
      <c r="BZ90" s="94">
        <v>0</v>
      </c>
      <c r="CA90" s="94">
        <v>0</v>
      </c>
      <c r="CB90" s="94">
        <v>0</v>
      </c>
      <c r="CC90" s="94">
        <v>0</v>
      </c>
      <c r="CD90" s="119">
        <v>1926133050</v>
      </c>
      <c r="CE90" s="94">
        <v>0</v>
      </c>
      <c r="CF90" s="64">
        <f>SUM(BT90:CE90)</f>
        <v>8290133050</v>
      </c>
      <c r="CG90" s="64">
        <f>$CF90-$AF90</f>
        <v>6364000000</v>
      </c>
      <c r="CH90" s="87" t="s">
        <v>289</v>
      </c>
      <c r="CI90" s="87" t="s">
        <v>290</v>
      </c>
      <c r="CJ90" s="87" t="s">
        <v>277</v>
      </c>
      <c r="CK90" s="87" t="s">
        <v>290</v>
      </c>
      <c r="CL90" s="87" t="s">
        <v>277</v>
      </c>
      <c r="CM90" s="87" t="s">
        <v>277</v>
      </c>
      <c r="CN90" s="87" t="s">
        <v>290</v>
      </c>
      <c r="CO90" s="87" t="s">
        <v>277</v>
      </c>
      <c r="CP90" s="87" t="s">
        <v>277</v>
      </c>
      <c r="CQ90" s="87" t="s">
        <v>277</v>
      </c>
      <c r="CR90" s="87" t="s">
        <v>293</v>
      </c>
      <c r="CS90" s="87" t="s">
        <v>322</v>
      </c>
      <c r="CT90" s="87" t="s">
        <v>295</v>
      </c>
      <c r="CU90" s="87" t="s">
        <v>296</v>
      </c>
      <c r="CV90" s="91" t="s">
        <v>156</v>
      </c>
      <c r="CW90" s="87" t="s">
        <v>277</v>
      </c>
      <c r="CX90" s="87" t="s">
        <v>277</v>
      </c>
      <c r="CY90" s="87" t="s">
        <v>277</v>
      </c>
      <c r="CZ90" s="87" t="s">
        <v>277</v>
      </c>
      <c r="DA90" s="87" t="s">
        <v>277</v>
      </c>
      <c r="DB90" s="87" t="s">
        <v>277</v>
      </c>
      <c r="DC90" s="87" t="s">
        <v>277</v>
      </c>
      <c r="DD90" s="54"/>
      <c r="DE90" s="54"/>
      <c r="DF90" s="54"/>
      <c r="DG90" s="54"/>
      <c r="DH90" s="54"/>
      <c r="DI90" s="54"/>
      <c r="DJ90" s="54"/>
      <c r="DK90" s="54"/>
      <c r="DL90" s="54"/>
      <c r="DM90" s="54"/>
      <c r="DN90" s="54"/>
      <c r="DO90" s="54"/>
      <c r="DP90" s="54">
        <f>SUM(DD90:DO90)</f>
        <v>0</v>
      </c>
      <c r="DQ90" s="54">
        <f>DP90-AB90</f>
        <v>0</v>
      </c>
      <c r="DR90" s="54">
        <f>$DD90</f>
        <v>0</v>
      </c>
      <c r="DS90" s="54">
        <f>DR90+DE90</f>
        <v>0</v>
      </c>
      <c r="DT90" s="54">
        <f>DS90+DF90</f>
        <v>0</v>
      </c>
      <c r="DU90" s="54">
        <f>DT90+DG90</f>
        <v>0</v>
      </c>
      <c r="DV90" s="54">
        <f>DU90+DH90</f>
        <v>0</v>
      </c>
      <c r="DW90" s="54">
        <f>DV90+DI90</f>
        <v>0</v>
      </c>
      <c r="DX90" s="54">
        <f>DW90+DJ90</f>
        <v>0</v>
      </c>
      <c r="DY90" s="54">
        <f>DX90+DK90</f>
        <v>0</v>
      </c>
      <c r="DZ90" s="54">
        <f>DY90+DL90</f>
        <v>0</v>
      </c>
      <c r="EA90" s="54">
        <f>DZ90+DM90</f>
        <v>0</v>
      </c>
      <c r="EB90" s="54">
        <f>EA90+DN90</f>
        <v>0</v>
      </c>
      <c r="EC90" s="54">
        <f>EB90+DO90</f>
        <v>0</v>
      </c>
      <c r="ED90" s="54">
        <f>$EC90-$AB90</f>
        <v>0</v>
      </c>
    </row>
    <row r="91" spans="1:134" ht="45">
      <c r="B91" s="159"/>
      <c r="C91" s="160" t="s">
        <v>269</v>
      </c>
      <c r="D91" s="160" t="s">
        <v>270</v>
      </c>
      <c r="E91" s="160"/>
      <c r="F91" s="160" t="s">
        <v>272</v>
      </c>
      <c r="G91" s="160" t="s">
        <v>273</v>
      </c>
      <c r="H91" s="160" t="s">
        <v>151</v>
      </c>
      <c r="I91" s="160" t="s">
        <v>326</v>
      </c>
      <c r="J91" s="160" t="s">
        <v>327</v>
      </c>
      <c r="K91" s="160" t="s">
        <v>277</v>
      </c>
      <c r="L91" s="160" t="s">
        <v>277</v>
      </c>
      <c r="M91" s="160" t="s">
        <v>277</v>
      </c>
      <c r="N91" s="160" t="s">
        <v>277</v>
      </c>
      <c r="O91" s="160" t="s">
        <v>3</v>
      </c>
      <c r="P91" s="160" t="s">
        <v>14</v>
      </c>
      <c r="Q91" s="160" t="s">
        <v>16</v>
      </c>
      <c r="R91" s="158" t="s">
        <v>276</v>
      </c>
      <c r="S91" s="159" t="s">
        <v>277</v>
      </c>
      <c r="T91" s="159" t="s">
        <v>277</v>
      </c>
      <c r="U91" s="160" t="s">
        <v>277</v>
      </c>
      <c r="V91" s="159" t="s">
        <v>277</v>
      </c>
      <c r="W91" s="159" t="s">
        <v>277</v>
      </c>
      <c r="X91" s="161" t="s">
        <v>977</v>
      </c>
      <c r="Y91" s="159"/>
      <c r="Z91" s="159"/>
      <c r="AA91" s="159"/>
      <c r="AB91" s="159"/>
      <c r="AC91" s="159"/>
      <c r="AD91" s="159"/>
      <c r="AE91" s="155">
        <v>9365344581</v>
      </c>
      <c r="AF91" s="155">
        <v>1873068916</v>
      </c>
      <c r="AG91" s="155"/>
      <c r="AH91" s="121">
        <f>AF91-AG91</f>
        <v>1873068916</v>
      </c>
      <c r="AI91" s="159" t="s">
        <v>978</v>
      </c>
      <c r="AJ91" s="206"/>
      <c r="AK91" s="206"/>
      <c r="AL91" s="161"/>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159"/>
      <c r="BS91" s="159"/>
      <c r="BT91" s="159"/>
      <c r="BU91" s="159"/>
      <c r="BV91" s="159"/>
      <c r="BW91" s="155">
        <v>0</v>
      </c>
      <c r="BX91" s="155">
        <v>0</v>
      </c>
      <c r="BY91" s="155">
        <v>0</v>
      </c>
      <c r="BZ91" s="155">
        <v>0</v>
      </c>
      <c r="CA91" s="155">
        <v>0</v>
      </c>
      <c r="CB91" s="155">
        <v>0</v>
      </c>
      <c r="CC91" s="155">
        <v>0</v>
      </c>
      <c r="CD91" s="155">
        <v>1873068916</v>
      </c>
      <c r="CE91" s="155">
        <v>0</v>
      </c>
      <c r="CF91" s="156">
        <f>SUM(BT91:CE91)</f>
        <v>1873068916</v>
      </c>
      <c r="CG91" s="156">
        <f>$CF91-$AF91</f>
        <v>0</v>
      </c>
      <c r="CH91" s="160" t="s">
        <v>421</v>
      </c>
      <c r="CI91" s="160" t="s">
        <v>651</v>
      </c>
      <c r="CJ91" s="165" t="s">
        <v>319</v>
      </c>
      <c r="CK91" s="158" t="s">
        <v>652</v>
      </c>
      <c r="CL91" s="158" t="s">
        <v>320</v>
      </c>
      <c r="CM91" s="158" t="s">
        <v>321</v>
      </c>
      <c r="CN91" s="158" t="s">
        <v>290</v>
      </c>
      <c r="CO91" s="158" t="s">
        <v>277</v>
      </c>
      <c r="CP91" s="166">
        <v>46023</v>
      </c>
      <c r="CQ91" s="166">
        <v>47453</v>
      </c>
      <c r="CR91" s="158" t="s">
        <v>293</v>
      </c>
      <c r="CS91" s="158" t="s">
        <v>322</v>
      </c>
      <c r="CT91" s="158" t="s">
        <v>295</v>
      </c>
      <c r="CU91" s="158" t="s">
        <v>296</v>
      </c>
      <c r="CV91" s="158" t="s">
        <v>323</v>
      </c>
      <c r="CW91" s="158" t="s">
        <v>277</v>
      </c>
      <c r="CX91" s="158" t="s">
        <v>277</v>
      </c>
      <c r="CY91" s="158" t="s">
        <v>277</v>
      </c>
      <c r="CZ91" s="158" t="s">
        <v>277</v>
      </c>
      <c r="DA91" s="158" t="s">
        <v>277</v>
      </c>
      <c r="DB91" s="158" t="s">
        <v>277</v>
      </c>
      <c r="DC91" s="158" t="s">
        <v>277</v>
      </c>
      <c r="DD91" s="159"/>
      <c r="DE91" s="159"/>
      <c r="DF91" s="159"/>
      <c r="DG91" s="159"/>
      <c r="DH91" s="159"/>
      <c r="DI91" s="159"/>
      <c r="DJ91" s="159"/>
      <c r="DK91" s="159"/>
      <c r="DL91" s="159"/>
      <c r="DM91" s="159"/>
      <c r="DN91" s="159"/>
      <c r="DO91" s="159"/>
      <c r="DP91" s="159"/>
      <c r="DQ91" s="159"/>
      <c r="DR91" s="159"/>
      <c r="DS91" s="159"/>
      <c r="DT91" s="159"/>
      <c r="DU91" s="159"/>
      <c r="DV91" s="159"/>
      <c r="DW91" s="159"/>
      <c r="DX91" s="159"/>
      <c r="DY91" s="159"/>
      <c r="DZ91" s="159"/>
      <c r="EA91" s="159"/>
      <c r="EB91" s="159"/>
      <c r="EC91" s="159"/>
      <c r="ED91" s="159"/>
    </row>
    <row r="92" spans="1:134" ht="45">
      <c r="A92" s="74"/>
      <c r="B92" s="50">
        <v>68</v>
      </c>
      <c r="C92" s="50" t="s">
        <v>269</v>
      </c>
      <c r="D92" s="50" t="s">
        <v>297</v>
      </c>
      <c r="E92" s="50"/>
      <c r="F92" s="50" t="s">
        <v>272</v>
      </c>
      <c r="G92" s="50" t="s">
        <v>273</v>
      </c>
      <c r="H92" s="37" t="s">
        <v>151</v>
      </c>
      <c r="I92" s="37" t="s">
        <v>326</v>
      </c>
      <c r="J92" s="37" t="s">
        <v>979</v>
      </c>
      <c r="K92" s="50" t="s">
        <v>3</v>
      </c>
      <c r="L92" s="50" t="s">
        <v>14</v>
      </c>
      <c r="M92" s="50" t="s">
        <v>16</v>
      </c>
      <c r="N92" s="50" t="s">
        <v>276</v>
      </c>
      <c r="O92" s="37" t="s">
        <v>3</v>
      </c>
      <c r="P92" s="37" t="s">
        <v>14</v>
      </c>
      <c r="Q92" s="37" t="s">
        <v>16</v>
      </c>
      <c r="R92" s="37" t="s">
        <v>276</v>
      </c>
      <c r="S92" s="50" t="s">
        <v>980</v>
      </c>
      <c r="T92" s="50" t="s">
        <v>981</v>
      </c>
      <c r="U92" s="50" t="s">
        <v>982</v>
      </c>
      <c r="V92" s="56" t="s">
        <v>983</v>
      </c>
      <c r="W92" s="56" t="s">
        <v>983</v>
      </c>
      <c r="X92" s="38" t="s">
        <v>983</v>
      </c>
      <c r="Y92" s="60">
        <v>27935148000</v>
      </c>
      <c r="Z92" s="60">
        <v>181577500</v>
      </c>
      <c r="AA92" s="60"/>
      <c r="AB92" s="60">
        <f>Z92+AA92</f>
        <v>181577500</v>
      </c>
      <c r="AC92" s="61"/>
      <c r="AD92" s="61"/>
      <c r="AE92" s="109">
        <v>27935148000</v>
      </c>
      <c r="AF92" s="109">
        <v>1815775000</v>
      </c>
      <c r="AG92" s="108">
        <f>$AR92+$AZ92+$BQ92+$BT92+$BU92+$BV92</f>
        <v>45135375</v>
      </c>
      <c r="AH92" s="121">
        <f>AF92-AG92</f>
        <v>1770639625</v>
      </c>
      <c r="AI92" s="85" t="s">
        <v>984</v>
      </c>
      <c r="AJ92" s="199"/>
      <c r="AK92" s="199"/>
      <c r="AL92" s="86"/>
      <c r="AM92" s="68"/>
      <c r="AN92" s="68"/>
      <c r="AO92" s="68"/>
      <c r="AP92" s="68"/>
      <c r="AQ92" s="68">
        <v>0</v>
      </c>
      <c r="AR92" s="68">
        <v>0</v>
      </c>
      <c r="AS92" s="68" t="s">
        <v>307</v>
      </c>
      <c r="AT92" s="68"/>
      <c r="AU92" s="69" t="s">
        <v>277</v>
      </c>
      <c r="AV92" s="69" t="s">
        <v>277</v>
      </c>
      <c r="AW92" s="69" t="s">
        <v>277</v>
      </c>
      <c r="AX92" s="69"/>
      <c r="AY92" s="68">
        <v>0</v>
      </c>
      <c r="AZ92" s="68">
        <v>0</v>
      </c>
      <c r="BA92" s="68" t="s">
        <v>307</v>
      </c>
      <c r="BB92" s="68"/>
      <c r="BC92" s="69" t="s">
        <v>985</v>
      </c>
      <c r="BD92" s="69" t="s">
        <v>277</v>
      </c>
      <c r="BE92" s="56" t="s">
        <v>277</v>
      </c>
      <c r="BF92" s="56" t="s">
        <v>277</v>
      </c>
      <c r="BG92" s="56" t="s">
        <v>277</v>
      </c>
      <c r="BH92" s="56" t="s">
        <v>277</v>
      </c>
      <c r="BI92" s="69">
        <v>0</v>
      </c>
      <c r="BJ92" s="69">
        <v>0</v>
      </c>
      <c r="BK92" s="69">
        <v>0</v>
      </c>
      <c r="BL92" s="69">
        <v>0</v>
      </c>
      <c r="BM92" s="69">
        <v>0</v>
      </c>
      <c r="BN92" s="69">
        <v>0</v>
      </c>
      <c r="BO92" s="69">
        <v>0</v>
      </c>
      <c r="BP92" s="69">
        <v>0</v>
      </c>
      <c r="BQ92" s="69"/>
      <c r="BR92" s="69" t="s">
        <v>382</v>
      </c>
      <c r="BS92" s="69" t="s">
        <v>798</v>
      </c>
      <c r="BT92" s="68">
        <v>0</v>
      </c>
      <c r="BU92" s="68">
        <v>0</v>
      </c>
      <c r="BV92" s="68">
        <v>45135375</v>
      </c>
      <c r="BW92" s="94">
        <v>0</v>
      </c>
      <c r="BX92" s="94">
        <v>1815775000</v>
      </c>
      <c r="BY92" s="94">
        <v>0</v>
      </c>
      <c r="BZ92" s="94">
        <v>0</v>
      </c>
      <c r="CA92" s="94">
        <v>0</v>
      </c>
      <c r="CB92" s="94">
        <v>0</v>
      </c>
      <c r="CC92" s="94">
        <v>0</v>
      </c>
      <c r="CD92" s="94">
        <v>0</v>
      </c>
      <c r="CE92" s="94">
        <v>0</v>
      </c>
      <c r="CF92" s="108">
        <f>SUM(BT92:CE92)</f>
        <v>1860910375</v>
      </c>
      <c r="CG92" s="108">
        <f>$CF92-$AF92</f>
        <v>45135375</v>
      </c>
      <c r="CH92" s="37" t="s">
        <v>289</v>
      </c>
      <c r="CI92" s="37" t="s">
        <v>290</v>
      </c>
      <c r="CJ92" s="37" t="s">
        <v>277</v>
      </c>
      <c r="CK92" s="37" t="s">
        <v>290</v>
      </c>
      <c r="CL92" s="37" t="s">
        <v>277</v>
      </c>
      <c r="CM92" s="37" t="s">
        <v>277</v>
      </c>
      <c r="CN92" s="37" t="s">
        <v>290</v>
      </c>
      <c r="CO92" s="37" t="s">
        <v>340</v>
      </c>
      <c r="CP92" s="41">
        <v>46023</v>
      </c>
      <c r="CQ92" s="41">
        <v>46387</v>
      </c>
      <c r="CR92" s="37" t="s">
        <v>293</v>
      </c>
      <c r="CS92" s="37" t="s">
        <v>454</v>
      </c>
      <c r="CT92" s="37" t="s">
        <v>295</v>
      </c>
      <c r="CU92" s="37" t="s">
        <v>341</v>
      </c>
      <c r="CV92" s="37" t="s">
        <v>382</v>
      </c>
      <c r="CW92" s="37">
        <v>4200003850</v>
      </c>
      <c r="CX92" s="37" t="s">
        <v>986</v>
      </c>
      <c r="CY92" s="37">
        <v>27935148000</v>
      </c>
      <c r="CZ92" s="123">
        <v>45413</v>
      </c>
      <c r="DA92" s="123">
        <v>46508</v>
      </c>
      <c r="DB92" s="37" t="s">
        <v>277</v>
      </c>
      <c r="DC92" s="37" t="s">
        <v>987</v>
      </c>
      <c r="DD92" s="68">
        <v>0</v>
      </c>
      <c r="DE92" s="68">
        <v>181577500</v>
      </c>
      <c r="DF92" s="68">
        <v>0</v>
      </c>
      <c r="DG92" s="68">
        <v>0</v>
      </c>
      <c r="DH92" s="68">
        <v>0</v>
      </c>
      <c r="DI92" s="68">
        <v>0</v>
      </c>
      <c r="DJ92" s="68">
        <v>0</v>
      </c>
      <c r="DK92" s="68">
        <v>0</v>
      </c>
      <c r="DL92" s="68">
        <v>0</v>
      </c>
      <c r="DM92" s="68">
        <v>0</v>
      </c>
      <c r="DN92" s="68">
        <v>0</v>
      </c>
      <c r="DO92" s="68">
        <v>0</v>
      </c>
      <c r="DP92" s="68">
        <f>SUM(DD92:DO92)</f>
        <v>181577500</v>
      </c>
      <c r="DQ92" s="68">
        <f>DP92-AB92</f>
        <v>0</v>
      </c>
      <c r="DR92" s="68">
        <f>$DD92</f>
        <v>0</v>
      </c>
      <c r="DS92" s="68">
        <f>DR92+DE92</f>
        <v>181577500</v>
      </c>
      <c r="DT92" s="68">
        <f>DS92+DF92</f>
        <v>181577500</v>
      </c>
      <c r="DU92" s="68">
        <f>DT92+DG92</f>
        <v>181577500</v>
      </c>
      <c r="DV92" s="68">
        <f>DU92+DH92</f>
        <v>181577500</v>
      </c>
      <c r="DW92" s="68">
        <f>DV92+DI92</f>
        <v>181577500</v>
      </c>
      <c r="DX92" s="68">
        <f>DW92+DJ92</f>
        <v>181577500</v>
      </c>
      <c r="DY92" s="68">
        <f>DX92+DK92</f>
        <v>181577500</v>
      </c>
      <c r="DZ92" s="68">
        <f>DY92+DL92</f>
        <v>181577500</v>
      </c>
      <c r="EA92" s="68">
        <f>DZ92+DM92</f>
        <v>181577500</v>
      </c>
      <c r="EB92" s="68">
        <f>EA92+DN92</f>
        <v>181577500</v>
      </c>
      <c r="EC92" s="68">
        <f>EB92+DO92</f>
        <v>181577500</v>
      </c>
      <c r="ED92" s="68">
        <f>$EC92-$AB92</f>
        <v>0</v>
      </c>
    </row>
    <row r="93" spans="1:134" ht="75">
      <c r="B93" s="159"/>
      <c r="C93" s="160" t="s">
        <v>269</v>
      </c>
      <c r="D93" s="160" t="s">
        <v>270</v>
      </c>
      <c r="E93" s="160"/>
      <c r="F93" s="160" t="s">
        <v>272</v>
      </c>
      <c r="G93" s="160" t="s">
        <v>273</v>
      </c>
      <c r="H93" s="160" t="s">
        <v>151</v>
      </c>
      <c r="I93" s="160" t="s">
        <v>604</v>
      </c>
      <c r="J93" s="160" t="s">
        <v>605</v>
      </c>
      <c r="K93" s="160" t="s">
        <v>3</v>
      </c>
      <c r="L93" s="160" t="s">
        <v>25</v>
      </c>
      <c r="M93" s="160" t="s">
        <v>52</v>
      </c>
      <c r="N93" s="160"/>
      <c r="O93" s="160" t="s">
        <v>3</v>
      </c>
      <c r="P93" s="160" t="s">
        <v>25</v>
      </c>
      <c r="Q93" s="160" t="s">
        <v>52</v>
      </c>
      <c r="R93" s="158" t="s">
        <v>512</v>
      </c>
      <c r="S93" s="159" t="s">
        <v>277</v>
      </c>
      <c r="T93" s="159" t="s">
        <v>277</v>
      </c>
      <c r="U93" s="160" t="s">
        <v>277</v>
      </c>
      <c r="V93" s="159" t="s">
        <v>277</v>
      </c>
      <c r="W93" s="159" t="s">
        <v>277</v>
      </c>
      <c r="X93" s="161" t="s">
        <v>988</v>
      </c>
      <c r="Y93" s="159"/>
      <c r="Z93" s="159"/>
      <c r="AA93" s="159"/>
      <c r="AB93" s="159"/>
      <c r="AC93" s="159"/>
      <c r="AD93" s="159"/>
      <c r="AE93" s="155">
        <v>25777000000</v>
      </c>
      <c r="AF93" s="155">
        <v>1789552656</v>
      </c>
      <c r="AG93" s="155"/>
      <c r="AH93" s="121">
        <f>AF93-AG93</f>
        <v>1789552656</v>
      </c>
      <c r="AI93" s="159" t="s">
        <v>989</v>
      </c>
      <c r="AJ93" s="206"/>
      <c r="AK93" s="206"/>
      <c r="AL93" s="161"/>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159"/>
      <c r="BS93" s="159"/>
      <c r="BT93" s="159"/>
      <c r="BU93" s="159"/>
      <c r="BV93" s="159"/>
      <c r="BW93" s="155">
        <v>0</v>
      </c>
      <c r="BX93" s="155">
        <v>0</v>
      </c>
      <c r="BY93" s="155">
        <v>0</v>
      </c>
      <c r="BZ93" s="155">
        <v>0</v>
      </c>
      <c r="CA93" s="155">
        <v>0</v>
      </c>
      <c r="CB93" s="155">
        <v>1789552656</v>
      </c>
      <c r="CC93" s="155">
        <v>0</v>
      </c>
      <c r="CD93" s="155">
        <v>0</v>
      </c>
      <c r="CE93" s="155">
        <v>0</v>
      </c>
      <c r="CF93" s="156">
        <f>SUM(BT93:CE93)</f>
        <v>1789552656</v>
      </c>
      <c r="CG93" s="156">
        <f>$CF93-$AF93</f>
        <v>0</v>
      </c>
      <c r="CH93" s="160" t="s">
        <v>289</v>
      </c>
      <c r="CI93" s="160" t="s">
        <v>290</v>
      </c>
      <c r="CJ93" s="158" t="s">
        <v>277</v>
      </c>
      <c r="CK93" s="160" t="s">
        <v>291</v>
      </c>
      <c r="CL93" s="160" t="s">
        <v>608</v>
      </c>
      <c r="CM93" s="160" t="s">
        <v>608</v>
      </c>
      <c r="CN93" s="160" t="s">
        <v>290</v>
      </c>
      <c r="CO93" s="160" t="s">
        <v>277</v>
      </c>
      <c r="CP93" s="164">
        <v>46113</v>
      </c>
      <c r="CQ93" s="164">
        <v>46478</v>
      </c>
      <c r="CR93" s="158" t="s">
        <v>293</v>
      </c>
      <c r="CS93" s="160" t="s">
        <v>294</v>
      </c>
      <c r="CT93" s="158" t="s">
        <v>295</v>
      </c>
      <c r="CU93" s="160" t="s">
        <v>296</v>
      </c>
      <c r="CV93" s="158" t="s">
        <v>337</v>
      </c>
      <c r="CW93" s="160" t="s">
        <v>990</v>
      </c>
      <c r="CX93" s="160" t="s">
        <v>988</v>
      </c>
      <c r="CY93" s="160">
        <v>25777000000</v>
      </c>
      <c r="CZ93" s="164">
        <v>46113</v>
      </c>
      <c r="DA93" s="164">
        <v>46478</v>
      </c>
      <c r="DB93" s="160" t="s">
        <v>277</v>
      </c>
      <c r="DC93" s="160" t="s">
        <v>277</v>
      </c>
      <c r="DD93" s="159"/>
      <c r="DE93" s="159"/>
      <c r="DF93" s="159"/>
      <c r="DG93" s="159"/>
      <c r="DH93" s="159"/>
      <c r="DI93" s="159"/>
      <c r="DJ93" s="159"/>
      <c r="DK93" s="159"/>
      <c r="DL93" s="159"/>
      <c r="DM93" s="159"/>
      <c r="DN93" s="159"/>
      <c r="DO93" s="159"/>
      <c r="DP93" s="159"/>
      <c r="DQ93" s="159"/>
      <c r="DR93" s="159"/>
      <c r="DS93" s="159"/>
      <c r="DT93" s="159"/>
      <c r="DU93" s="159"/>
      <c r="DV93" s="159"/>
      <c r="DW93" s="159"/>
      <c r="DX93" s="159"/>
      <c r="DY93" s="159"/>
      <c r="DZ93" s="159"/>
      <c r="EA93" s="159"/>
      <c r="EB93" s="159"/>
      <c r="EC93" s="159"/>
      <c r="ED93" s="159"/>
    </row>
    <row r="94" spans="1:134" ht="30">
      <c r="A94" s="74"/>
      <c r="B94" s="50">
        <v>56</v>
      </c>
      <c r="C94" s="50" t="s">
        <v>269</v>
      </c>
      <c r="D94" s="50" t="s">
        <v>297</v>
      </c>
      <c r="E94" s="50"/>
      <c r="F94" s="50" t="s">
        <v>272</v>
      </c>
      <c r="G94" s="50" t="s">
        <v>273</v>
      </c>
      <c r="H94" s="37" t="s">
        <v>151</v>
      </c>
      <c r="I94" s="37" t="s">
        <v>496</v>
      </c>
      <c r="J94" s="37" t="s">
        <v>703</v>
      </c>
      <c r="K94" s="50" t="s">
        <v>3</v>
      </c>
      <c r="L94" s="50" t="s">
        <v>14</v>
      </c>
      <c r="M94" s="50" t="s">
        <v>16</v>
      </c>
      <c r="N94" s="50" t="s">
        <v>276</v>
      </c>
      <c r="O94" s="37" t="s">
        <v>3</v>
      </c>
      <c r="P94" s="37" t="s">
        <v>14</v>
      </c>
      <c r="Q94" s="37" t="s">
        <v>16</v>
      </c>
      <c r="R94" s="37" t="s">
        <v>276</v>
      </c>
      <c r="S94" s="50" t="s">
        <v>277</v>
      </c>
      <c r="T94" s="50" t="s">
        <v>991</v>
      </c>
      <c r="U94" s="50" t="s">
        <v>992</v>
      </c>
      <c r="V94" s="56" t="s">
        <v>993</v>
      </c>
      <c r="W94" s="56" t="s">
        <v>993</v>
      </c>
      <c r="X94" s="38" t="s">
        <v>993</v>
      </c>
      <c r="Y94" s="60">
        <v>22700000000</v>
      </c>
      <c r="Z94" s="60">
        <v>700000000</v>
      </c>
      <c r="AA94" s="60"/>
      <c r="AB94" s="60">
        <f>Z94+AA94</f>
        <v>700000000</v>
      </c>
      <c r="AC94" s="61"/>
      <c r="AD94" s="61"/>
      <c r="AE94" s="109">
        <v>22700000000</v>
      </c>
      <c r="AF94" s="109">
        <v>1575000000</v>
      </c>
      <c r="AG94" s="108">
        <f>$AR94+$AZ94+$BQ94+$BT94+$BU94+$BV94</f>
        <v>0</v>
      </c>
      <c r="AH94" s="121">
        <f>AF94-AG94</f>
        <v>1575000000</v>
      </c>
      <c r="AI94" s="39" t="s">
        <v>994</v>
      </c>
      <c r="AJ94" s="200"/>
      <c r="AK94" s="200"/>
      <c r="AL94" s="39"/>
      <c r="AM94" s="68"/>
      <c r="AN94" s="68"/>
      <c r="AO94" s="68"/>
      <c r="AP94" s="68"/>
      <c r="AQ94" s="68">
        <v>0</v>
      </c>
      <c r="AR94" s="68">
        <v>0</v>
      </c>
      <c r="AS94" s="68" t="s">
        <v>307</v>
      </c>
      <c r="AT94" s="68"/>
      <c r="AU94" s="69" t="s">
        <v>277</v>
      </c>
      <c r="AV94" s="69" t="s">
        <v>277</v>
      </c>
      <c r="AW94" s="69" t="s">
        <v>277</v>
      </c>
      <c r="AX94" s="69"/>
      <c r="AY94" s="68">
        <v>0</v>
      </c>
      <c r="AZ94" s="68">
        <v>0</v>
      </c>
      <c r="BA94" s="68" t="s">
        <v>307</v>
      </c>
      <c r="BB94" s="68"/>
      <c r="BC94" s="69" t="s">
        <v>995</v>
      </c>
      <c r="BD94" s="69" t="s">
        <v>277</v>
      </c>
      <c r="BE94" s="56" t="s">
        <v>277</v>
      </c>
      <c r="BF94" s="56" t="s">
        <v>277</v>
      </c>
      <c r="BG94" s="56" t="s">
        <v>277</v>
      </c>
      <c r="BH94" s="56" t="s">
        <v>277</v>
      </c>
      <c r="BI94" s="69">
        <v>0</v>
      </c>
      <c r="BJ94" s="69">
        <v>0</v>
      </c>
      <c r="BK94" s="69">
        <v>0</v>
      </c>
      <c r="BL94" s="69">
        <v>0</v>
      </c>
      <c r="BM94" s="69">
        <v>0</v>
      </c>
      <c r="BN94" s="69">
        <v>0</v>
      </c>
      <c r="BO94" s="69">
        <v>0</v>
      </c>
      <c r="BP94" s="69">
        <v>0</v>
      </c>
      <c r="BQ94" s="69"/>
      <c r="BR94" s="69" t="s">
        <v>382</v>
      </c>
      <c r="BS94" s="69" t="s">
        <v>798</v>
      </c>
      <c r="BT94" s="68">
        <v>0</v>
      </c>
      <c r="BU94" s="68">
        <v>0</v>
      </c>
      <c r="BV94" s="68"/>
      <c r="BW94" s="94">
        <v>0</v>
      </c>
      <c r="BX94" s="94">
        <v>0</v>
      </c>
      <c r="BY94" s="94">
        <v>0</v>
      </c>
      <c r="BZ94" s="94">
        <v>0</v>
      </c>
      <c r="CA94" s="94">
        <v>0</v>
      </c>
      <c r="CB94" s="94">
        <v>0</v>
      </c>
      <c r="CC94" s="94">
        <v>0</v>
      </c>
      <c r="CD94" s="109">
        <v>1575000000</v>
      </c>
      <c r="CE94" s="94">
        <v>0</v>
      </c>
      <c r="CF94" s="108">
        <f>SUM(BT94:CE94)</f>
        <v>1575000000</v>
      </c>
      <c r="CG94" s="108">
        <f>$CF94-$AF94</f>
        <v>0</v>
      </c>
      <c r="CH94" s="37" t="s">
        <v>289</v>
      </c>
      <c r="CI94" s="37" t="s">
        <v>291</v>
      </c>
      <c r="CJ94" s="37" t="s">
        <v>996</v>
      </c>
      <c r="CK94" s="37" t="s">
        <v>290</v>
      </c>
      <c r="CL94" s="37" t="s">
        <v>277</v>
      </c>
      <c r="CM94" s="37" t="s">
        <v>277</v>
      </c>
      <c r="CN94" s="37" t="s">
        <v>290</v>
      </c>
      <c r="CO94" s="37" t="s">
        <v>497</v>
      </c>
      <c r="CP94" s="41">
        <v>45292</v>
      </c>
      <c r="CQ94" s="41">
        <v>45717</v>
      </c>
      <c r="CR94" s="37" t="s">
        <v>293</v>
      </c>
      <c r="CS94" s="37" t="s">
        <v>322</v>
      </c>
      <c r="CT94" s="37" t="s">
        <v>295</v>
      </c>
      <c r="CU94" s="37" t="s">
        <v>341</v>
      </c>
      <c r="CV94" s="37" t="s">
        <v>382</v>
      </c>
      <c r="CW94" s="37" t="s">
        <v>997</v>
      </c>
      <c r="CX94" s="37" t="s">
        <v>998</v>
      </c>
      <c r="CY94" s="37">
        <v>22700000000</v>
      </c>
      <c r="CZ94" s="123">
        <v>45566</v>
      </c>
      <c r="DA94" s="123">
        <v>46661</v>
      </c>
      <c r="DB94" s="37" t="s">
        <v>277</v>
      </c>
      <c r="DC94" s="37" t="s">
        <v>388</v>
      </c>
      <c r="DD94" s="68">
        <v>0</v>
      </c>
      <c r="DE94" s="68">
        <v>700000000</v>
      </c>
      <c r="DF94" s="68">
        <v>0</v>
      </c>
      <c r="DG94" s="68">
        <v>0</v>
      </c>
      <c r="DH94" s="68">
        <v>0</v>
      </c>
      <c r="DI94" s="68">
        <v>0</v>
      </c>
      <c r="DJ94" s="68">
        <v>0</v>
      </c>
      <c r="DK94" s="68">
        <v>0</v>
      </c>
      <c r="DL94" s="68">
        <v>0</v>
      </c>
      <c r="DM94" s="68">
        <v>0</v>
      </c>
      <c r="DN94" s="68">
        <v>0</v>
      </c>
      <c r="DO94" s="68">
        <v>0</v>
      </c>
      <c r="DP94" s="68">
        <f>SUM(DD94:DO94)</f>
        <v>700000000</v>
      </c>
      <c r="DQ94" s="68">
        <f>DP94-AB94</f>
        <v>0</v>
      </c>
      <c r="DR94" s="68">
        <f>$DD94</f>
        <v>0</v>
      </c>
      <c r="DS94" s="68">
        <f>DR94+DE94</f>
        <v>700000000</v>
      </c>
      <c r="DT94" s="68">
        <f>DS94+DF94</f>
        <v>700000000</v>
      </c>
      <c r="DU94" s="68">
        <f>DT94+DG94</f>
        <v>700000000</v>
      </c>
      <c r="DV94" s="68">
        <f>DU94+DH94</f>
        <v>700000000</v>
      </c>
      <c r="DW94" s="68">
        <f>DV94+DI94</f>
        <v>700000000</v>
      </c>
      <c r="DX94" s="68">
        <f>DW94+DJ94</f>
        <v>700000000</v>
      </c>
      <c r="DY94" s="68">
        <f>DX94+DK94</f>
        <v>700000000</v>
      </c>
      <c r="DZ94" s="68">
        <f>DY94+DL94</f>
        <v>700000000</v>
      </c>
      <c r="EA94" s="68">
        <f>DZ94+DM94</f>
        <v>700000000</v>
      </c>
      <c r="EB94" s="68">
        <f>EA94+DN94</f>
        <v>700000000</v>
      </c>
      <c r="EC94" s="68">
        <f>EB94+DO94</f>
        <v>700000000</v>
      </c>
      <c r="ED94" s="68">
        <f>$EC94-$AB94</f>
        <v>0</v>
      </c>
    </row>
    <row r="95" spans="1:134" ht="30">
      <c r="A95" s="74"/>
      <c r="B95" s="50">
        <v>64</v>
      </c>
      <c r="C95" s="50" t="s">
        <v>269</v>
      </c>
      <c r="D95" s="50" t="s">
        <v>297</v>
      </c>
      <c r="E95" s="50"/>
      <c r="F95" s="50" t="s">
        <v>272</v>
      </c>
      <c r="G95" s="50" t="s">
        <v>273</v>
      </c>
      <c r="H95" s="37" t="s">
        <v>151</v>
      </c>
      <c r="I95" s="37" t="s">
        <v>702</v>
      </c>
      <c r="J95" s="37" t="s">
        <v>703</v>
      </c>
      <c r="K95" s="50" t="s">
        <v>3</v>
      </c>
      <c r="L95" s="50" t="s">
        <v>14</v>
      </c>
      <c r="M95" s="50" t="s">
        <v>16</v>
      </c>
      <c r="N95" s="50" t="s">
        <v>276</v>
      </c>
      <c r="O95" s="37" t="s">
        <v>3</v>
      </c>
      <c r="P95" s="37" t="s">
        <v>14</v>
      </c>
      <c r="Q95" s="37" t="s">
        <v>16</v>
      </c>
      <c r="R95" s="37" t="s">
        <v>276</v>
      </c>
      <c r="S95" s="50" t="s">
        <v>999</v>
      </c>
      <c r="T95" s="50" t="s">
        <v>1000</v>
      </c>
      <c r="U95" s="50" t="s">
        <v>1001</v>
      </c>
      <c r="V95" s="56" t="s">
        <v>1002</v>
      </c>
      <c r="W95" s="56" t="s">
        <v>1002</v>
      </c>
      <c r="X95" s="38" t="s">
        <v>1002</v>
      </c>
      <c r="Y95" s="60">
        <v>22700000000</v>
      </c>
      <c r="Z95" s="60">
        <v>1925000000</v>
      </c>
      <c r="AA95" s="60"/>
      <c r="AB95" s="60">
        <f>Z95+AA95</f>
        <v>1925000000</v>
      </c>
      <c r="AC95" s="61"/>
      <c r="AD95" s="61"/>
      <c r="AE95" s="109">
        <v>22700000000</v>
      </c>
      <c r="AF95" s="109">
        <v>1575000000</v>
      </c>
      <c r="AG95" s="108">
        <f>$AR95+$AZ95+$BQ95+$BT95+$BU95+$BV95</f>
        <v>0</v>
      </c>
      <c r="AH95" s="121">
        <f>AF95-AG95</f>
        <v>1575000000</v>
      </c>
      <c r="AI95" s="85" t="s">
        <v>1003</v>
      </c>
      <c r="AJ95" s="199"/>
      <c r="AK95" s="199"/>
      <c r="AL95" s="86"/>
      <c r="AM95" s="68"/>
      <c r="AN95" s="68"/>
      <c r="AO95" s="68"/>
      <c r="AP95" s="68"/>
      <c r="AQ95" s="68">
        <v>0</v>
      </c>
      <c r="AR95" s="68">
        <v>0</v>
      </c>
      <c r="AS95" s="68" t="s">
        <v>307</v>
      </c>
      <c r="AT95" s="68"/>
      <c r="AU95" s="69" t="s">
        <v>277</v>
      </c>
      <c r="AV95" s="69" t="s">
        <v>277</v>
      </c>
      <c r="AW95" s="69" t="s">
        <v>277</v>
      </c>
      <c r="AX95" s="69"/>
      <c r="AY95" s="68">
        <v>0</v>
      </c>
      <c r="AZ95" s="68">
        <v>0</v>
      </c>
      <c r="BA95" s="68" t="s">
        <v>307</v>
      </c>
      <c r="BB95" s="68"/>
      <c r="BC95" s="69" t="s">
        <v>1004</v>
      </c>
      <c r="BD95" s="69" t="s">
        <v>277</v>
      </c>
      <c r="BE95" s="56" t="s">
        <v>277</v>
      </c>
      <c r="BF95" s="56" t="s">
        <v>277</v>
      </c>
      <c r="BG95" s="56" t="s">
        <v>277</v>
      </c>
      <c r="BH95" s="56" t="s">
        <v>277</v>
      </c>
      <c r="BI95" s="69">
        <v>0</v>
      </c>
      <c r="BJ95" s="69">
        <v>0</v>
      </c>
      <c r="BK95" s="69">
        <v>0</v>
      </c>
      <c r="BL95" s="69">
        <v>0</v>
      </c>
      <c r="BM95" s="69">
        <v>0</v>
      </c>
      <c r="BN95" s="69">
        <v>0</v>
      </c>
      <c r="BO95" s="69">
        <v>0</v>
      </c>
      <c r="BP95" s="69">
        <v>0</v>
      </c>
      <c r="BQ95" s="69"/>
      <c r="BR95" s="69" t="s">
        <v>382</v>
      </c>
      <c r="BS95" s="69" t="s">
        <v>1005</v>
      </c>
      <c r="BT95" s="68">
        <v>0</v>
      </c>
      <c r="BU95" s="68">
        <v>0</v>
      </c>
      <c r="BV95" s="68">
        <v>0</v>
      </c>
      <c r="BW95" s="94">
        <v>0</v>
      </c>
      <c r="BX95" s="94">
        <v>0</v>
      </c>
      <c r="BY95" s="94">
        <v>1575000000</v>
      </c>
      <c r="BZ95" s="94">
        <v>0</v>
      </c>
      <c r="CA95" s="94">
        <v>0</v>
      </c>
      <c r="CB95" s="94">
        <v>0</v>
      </c>
      <c r="CC95" s="94">
        <v>0</v>
      </c>
      <c r="CD95" s="94">
        <v>0</v>
      </c>
      <c r="CE95" s="94">
        <v>0</v>
      </c>
      <c r="CF95" s="108">
        <f>SUM(BT95:CE95)</f>
        <v>1575000000</v>
      </c>
      <c r="CG95" s="108">
        <f>$CF95-$AF95</f>
        <v>0</v>
      </c>
      <c r="CH95" s="37" t="s">
        <v>289</v>
      </c>
      <c r="CI95" s="37" t="s">
        <v>291</v>
      </c>
      <c r="CJ95" s="37" t="s">
        <v>996</v>
      </c>
      <c r="CK95" s="37" t="s">
        <v>290</v>
      </c>
      <c r="CL95" s="37" t="s">
        <v>277</v>
      </c>
      <c r="CM95" s="37" t="s">
        <v>277</v>
      </c>
      <c r="CN95" s="37" t="s">
        <v>290</v>
      </c>
      <c r="CO95" s="37" t="s">
        <v>340</v>
      </c>
      <c r="CP95" s="41">
        <v>46023</v>
      </c>
      <c r="CQ95" s="41">
        <v>46387</v>
      </c>
      <c r="CR95" s="37" t="s">
        <v>293</v>
      </c>
      <c r="CS95" s="37" t="s">
        <v>322</v>
      </c>
      <c r="CT95" s="37" t="s">
        <v>295</v>
      </c>
      <c r="CU95" s="37" t="s">
        <v>341</v>
      </c>
      <c r="CV95" s="37" t="s">
        <v>382</v>
      </c>
      <c r="CW95" s="37">
        <v>4200004307</v>
      </c>
      <c r="CX95" s="37" t="s">
        <v>1002</v>
      </c>
      <c r="CY95" s="37">
        <v>22700000000</v>
      </c>
      <c r="CZ95" s="123">
        <v>45566</v>
      </c>
      <c r="DA95" s="123">
        <v>46661</v>
      </c>
      <c r="DB95" s="37" t="s">
        <v>277</v>
      </c>
      <c r="DC95" s="37" t="s">
        <v>388</v>
      </c>
      <c r="DD95" s="68">
        <v>0</v>
      </c>
      <c r="DE95" s="68">
        <v>0</v>
      </c>
      <c r="DF95" s="68">
        <v>1925000000</v>
      </c>
      <c r="DG95" s="68">
        <v>0</v>
      </c>
      <c r="DH95" s="68">
        <v>0</v>
      </c>
      <c r="DI95" s="68">
        <v>0</v>
      </c>
      <c r="DJ95" s="68">
        <v>0</v>
      </c>
      <c r="DK95" s="68">
        <v>0</v>
      </c>
      <c r="DL95" s="68">
        <v>0</v>
      </c>
      <c r="DM95" s="68">
        <v>0</v>
      </c>
      <c r="DN95" s="68">
        <v>0</v>
      </c>
      <c r="DO95" s="68">
        <v>0</v>
      </c>
      <c r="DP95" s="68">
        <f>SUM(DD95:DO95)</f>
        <v>1925000000</v>
      </c>
      <c r="DQ95" s="68">
        <f>DP95-AB95</f>
        <v>0</v>
      </c>
      <c r="DR95" s="68">
        <f>$DD95</f>
        <v>0</v>
      </c>
      <c r="DS95" s="68">
        <f>DR95+DE95</f>
        <v>0</v>
      </c>
      <c r="DT95" s="68">
        <f>DS95+DF95</f>
        <v>1925000000</v>
      </c>
      <c r="DU95" s="68">
        <f>DT95+DG95</f>
        <v>1925000000</v>
      </c>
      <c r="DV95" s="68">
        <f>DU95+DH95</f>
        <v>1925000000</v>
      </c>
      <c r="DW95" s="68">
        <f>DV95+DI95</f>
        <v>1925000000</v>
      </c>
      <c r="DX95" s="68">
        <f>DW95+DJ95</f>
        <v>1925000000</v>
      </c>
      <c r="DY95" s="68">
        <f>DX95+DK95</f>
        <v>1925000000</v>
      </c>
      <c r="DZ95" s="68">
        <f>DY95+DL95</f>
        <v>1925000000</v>
      </c>
      <c r="EA95" s="68">
        <f>DZ95+DM95</f>
        <v>1925000000</v>
      </c>
      <c r="EB95" s="68">
        <f>EA95+DN95</f>
        <v>1925000000</v>
      </c>
      <c r="EC95" s="68">
        <f>EB95+DO95</f>
        <v>1925000000</v>
      </c>
      <c r="ED95" s="68">
        <f>$EC95-$AB95</f>
        <v>0</v>
      </c>
    </row>
    <row r="96" spans="1:134" ht="45">
      <c r="B96" s="54"/>
      <c r="C96" s="50" t="s">
        <v>269</v>
      </c>
      <c r="D96" s="50" t="s">
        <v>270</v>
      </c>
      <c r="E96" s="55" t="s">
        <v>1006</v>
      </c>
      <c r="F96" s="50" t="s">
        <v>272</v>
      </c>
      <c r="G96" s="50" t="s">
        <v>273</v>
      </c>
      <c r="H96" s="37" t="s">
        <v>151</v>
      </c>
      <c r="I96" s="37" t="s">
        <v>424</v>
      </c>
      <c r="J96" s="37" t="s">
        <v>972</v>
      </c>
      <c r="K96" s="50" t="s">
        <v>3</v>
      </c>
      <c r="L96" s="50" t="s">
        <v>14</v>
      </c>
      <c r="M96" s="50" t="s">
        <v>16</v>
      </c>
      <c r="N96" s="50" t="s">
        <v>276</v>
      </c>
      <c r="O96" s="37" t="s">
        <v>3</v>
      </c>
      <c r="P96" s="37" t="s">
        <v>14</v>
      </c>
      <c r="Q96" s="37" t="s">
        <v>16</v>
      </c>
      <c r="R96" s="37" t="s">
        <v>276</v>
      </c>
      <c r="S96" s="50" t="s">
        <v>277</v>
      </c>
      <c r="T96" s="50">
        <v>161</v>
      </c>
      <c r="U96" s="50" t="s">
        <v>1007</v>
      </c>
      <c r="V96" s="56" t="s">
        <v>277</v>
      </c>
      <c r="W96" s="57" t="s">
        <v>1008</v>
      </c>
      <c r="X96" s="46" t="s">
        <v>1008</v>
      </c>
      <c r="Y96" s="64">
        <v>1574672640</v>
      </c>
      <c r="Z96" s="65">
        <v>0</v>
      </c>
      <c r="AA96" s="65">
        <v>0</v>
      </c>
      <c r="AB96" s="65">
        <f>Z96+AA96</f>
        <v>0</v>
      </c>
      <c r="AC96" s="66"/>
      <c r="AD96" s="66"/>
      <c r="AE96" s="119">
        <v>1574672640</v>
      </c>
      <c r="AF96" s="119">
        <v>1574672640</v>
      </c>
      <c r="AG96" s="64">
        <f>$AR96+$AZ96+$BQ96+$BT96+$BU96+$BV96</f>
        <v>0</v>
      </c>
      <c r="AH96" s="121">
        <f>AF96-AG96</f>
        <v>1574672640</v>
      </c>
      <c r="AI96" s="47" t="s">
        <v>603</v>
      </c>
      <c r="AJ96" s="202"/>
      <c r="AK96" s="202"/>
      <c r="AL96" s="47"/>
      <c r="AM96" s="54"/>
      <c r="AN96" s="54"/>
      <c r="AO96" s="54"/>
      <c r="AP96" s="54"/>
      <c r="AQ96" s="72"/>
      <c r="AR96" s="72"/>
      <c r="AS96" s="54"/>
      <c r="AT96" s="54"/>
      <c r="AU96" s="54"/>
      <c r="AV96" s="54"/>
      <c r="AW96" s="54"/>
      <c r="AX96" s="54"/>
      <c r="AY96" s="72"/>
      <c r="AZ96" s="72"/>
      <c r="BA96" s="54"/>
      <c r="BB96" s="54"/>
      <c r="BC96" s="54"/>
      <c r="BD96" s="54"/>
      <c r="BE96" s="57" t="s">
        <v>277</v>
      </c>
      <c r="BF96" s="57" t="s">
        <v>277</v>
      </c>
      <c r="BG96" s="57" t="s">
        <v>277</v>
      </c>
      <c r="BH96" s="57" t="s">
        <v>277</v>
      </c>
      <c r="BI96" s="54">
        <v>0</v>
      </c>
      <c r="BJ96" s="54">
        <v>0</v>
      </c>
      <c r="BK96" s="54">
        <v>0</v>
      </c>
      <c r="BL96" s="54">
        <v>0</v>
      </c>
      <c r="BM96" s="54">
        <v>0</v>
      </c>
      <c r="BN96" s="54">
        <v>0</v>
      </c>
      <c r="BO96" s="54">
        <v>0</v>
      </c>
      <c r="BP96" s="54">
        <v>0</v>
      </c>
      <c r="BQ96" s="54"/>
      <c r="BR96" s="69" t="s">
        <v>156</v>
      </c>
      <c r="BS96" s="69" t="s">
        <v>976</v>
      </c>
      <c r="BT96" s="72">
        <v>0</v>
      </c>
      <c r="BU96" s="72">
        <v>0</v>
      </c>
      <c r="BV96" s="72">
        <v>0</v>
      </c>
      <c r="BW96" s="94">
        <v>0</v>
      </c>
      <c r="BX96" s="94">
        <v>0</v>
      </c>
      <c r="BY96" s="94">
        <v>0</v>
      </c>
      <c r="BZ96" s="94">
        <v>0</v>
      </c>
      <c r="CA96" s="94">
        <v>1574672640</v>
      </c>
      <c r="CB96" s="94">
        <v>0</v>
      </c>
      <c r="CC96" s="94">
        <v>0</v>
      </c>
      <c r="CD96" s="94">
        <v>0</v>
      </c>
      <c r="CE96" s="94">
        <v>0</v>
      </c>
      <c r="CF96" s="64">
        <f>SUM(BT96:CE96)</f>
        <v>1574672640</v>
      </c>
      <c r="CG96" s="64">
        <f>$CF96-$AF96</f>
        <v>0</v>
      </c>
      <c r="CH96" s="87" t="s">
        <v>289</v>
      </c>
      <c r="CI96" s="87" t="s">
        <v>290</v>
      </c>
      <c r="CJ96" s="87" t="s">
        <v>277</v>
      </c>
      <c r="CK96" s="87" t="s">
        <v>290</v>
      </c>
      <c r="CL96" s="87" t="s">
        <v>277</v>
      </c>
      <c r="CM96" s="87" t="s">
        <v>277</v>
      </c>
      <c r="CN96" s="87" t="s">
        <v>290</v>
      </c>
      <c r="CO96" s="87" t="s">
        <v>277</v>
      </c>
      <c r="CP96" s="87" t="s">
        <v>277</v>
      </c>
      <c r="CQ96" s="87" t="s">
        <v>277</v>
      </c>
      <c r="CR96" s="87" t="s">
        <v>293</v>
      </c>
      <c r="CS96" s="87" t="s">
        <v>322</v>
      </c>
      <c r="CT96" s="87" t="s">
        <v>295</v>
      </c>
      <c r="CU96" s="87" t="s">
        <v>296</v>
      </c>
      <c r="CV96" s="91" t="s">
        <v>156</v>
      </c>
      <c r="CW96" s="87" t="s">
        <v>277</v>
      </c>
      <c r="CX96" s="87" t="s">
        <v>277</v>
      </c>
      <c r="CY96" s="87" t="s">
        <v>277</v>
      </c>
      <c r="CZ96" s="87" t="s">
        <v>277</v>
      </c>
      <c r="DA96" s="87" t="s">
        <v>277</v>
      </c>
      <c r="DB96" s="87" t="s">
        <v>277</v>
      </c>
      <c r="DC96" s="87" t="s">
        <v>277</v>
      </c>
      <c r="DD96" s="54"/>
      <c r="DE96" s="54"/>
      <c r="DF96" s="54"/>
      <c r="DG96" s="54"/>
      <c r="DH96" s="54"/>
      <c r="DI96" s="54"/>
      <c r="DJ96" s="54"/>
      <c r="DK96" s="54"/>
      <c r="DL96" s="54"/>
      <c r="DM96" s="54"/>
      <c r="DN96" s="54"/>
      <c r="DO96" s="54"/>
      <c r="DP96" s="54">
        <f>SUM(DD96:DO96)</f>
        <v>0</v>
      </c>
      <c r="DQ96" s="54">
        <f>DP96-AB96</f>
        <v>0</v>
      </c>
      <c r="DR96" s="54">
        <f>$DD96</f>
        <v>0</v>
      </c>
      <c r="DS96" s="54">
        <f>DR96+DE96</f>
        <v>0</v>
      </c>
      <c r="DT96" s="54">
        <f>DS96+DF96</f>
        <v>0</v>
      </c>
      <c r="DU96" s="54">
        <f>DT96+DG96</f>
        <v>0</v>
      </c>
      <c r="DV96" s="54">
        <f>DU96+DH96</f>
        <v>0</v>
      </c>
      <c r="DW96" s="54">
        <f>DV96+DI96</f>
        <v>0</v>
      </c>
      <c r="DX96" s="54">
        <f>DW96+DJ96</f>
        <v>0</v>
      </c>
      <c r="DY96" s="54">
        <f>DX96+DK96</f>
        <v>0</v>
      </c>
      <c r="DZ96" s="54">
        <f>DY96+DL96</f>
        <v>0</v>
      </c>
      <c r="EA96" s="54">
        <f>DZ96+DM96</f>
        <v>0</v>
      </c>
      <c r="EB96" s="54">
        <f>EA96+DN96</f>
        <v>0</v>
      </c>
      <c r="EC96" s="54">
        <f>EB96+DO96</f>
        <v>0</v>
      </c>
      <c r="ED96" s="54">
        <f>$EC96-$AB96</f>
        <v>0</v>
      </c>
    </row>
    <row r="97" spans="1:134" ht="30">
      <c r="B97" s="159"/>
      <c r="C97" s="160"/>
      <c r="D97" s="160" t="s">
        <v>270</v>
      </c>
      <c r="E97" s="160"/>
      <c r="F97" s="160" t="s">
        <v>272</v>
      </c>
      <c r="G97" s="160" t="s">
        <v>273</v>
      </c>
      <c r="H97" s="160" t="s">
        <v>151</v>
      </c>
      <c r="I97" s="160" t="s">
        <v>1009</v>
      </c>
      <c r="J97" s="160" t="s">
        <v>694</v>
      </c>
      <c r="K97" s="160" t="s">
        <v>277</v>
      </c>
      <c r="L97" s="160" t="s">
        <v>277</v>
      </c>
      <c r="M97" s="160" t="s">
        <v>277</v>
      </c>
      <c r="N97" s="160" t="s">
        <v>277</v>
      </c>
      <c r="O97" s="160" t="s">
        <v>3</v>
      </c>
      <c r="P97" s="160" t="s">
        <v>14</v>
      </c>
      <c r="Q97" s="160" t="s">
        <v>16</v>
      </c>
      <c r="R97" s="158" t="s">
        <v>276</v>
      </c>
      <c r="S97" s="159" t="s">
        <v>277</v>
      </c>
      <c r="T97" s="159" t="s">
        <v>277</v>
      </c>
      <c r="U97" s="160" t="s">
        <v>277</v>
      </c>
      <c r="V97" s="159" t="s">
        <v>277</v>
      </c>
      <c r="W97" s="159" t="s">
        <v>277</v>
      </c>
      <c r="X97" s="161" t="s">
        <v>1010</v>
      </c>
      <c r="Y97" s="159"/>
      <c r="Z97" s="159"/>
      <c r="AA97" s="159"/>
      <c r="AB97" s="159"/>
      <c r="AC97" s="159"/>
      <c r="AD97" s="159"/>
      <c r="AE97" s="155">
        <v>7656691500</v>
      </c>
      <c r="AF97" s="155">
        <v>1531338300</v>
      </c>
      <c r="AG97" s="155"/>
      <c r="AH97" s="121">
        <f>AF97-AG97</f>
        <v>1531338300</v>
      </c>
      <c r="AI97" s="159" t="s">
        <v>603</v>
      </c>
      <c r="AJ97" s="206"/>
      <c r="AK97" s="206"/>
      <c r="AL97" s="161"/>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159"/>
      <c r="BS97" s="159"/>
      <c r="BT97" s="159"/>
      <c r="BU97" s="159"/>
      <c r="BV97" s="159"/>
      <c r="BW97" s="156">
        <v>0</v>
      </c>
      <c r="BX97" s="156">
        <v>0</v>
      </c>
      <c r="BY97" s="156">
        <v>0</v>
      </c>
      <c r="BZ97" s="155">
        <v>765669150</v>
      </c>
      <c r="CA97" s="156">
        <v>0</v>
      </c>
      <c r="CB97" s="156">
        <v>0</v>
      </c>
      <c r="CC97" s="155">
        <v>765669150</v>
      </c>
      <c r="CD97" s="156">
        <v>0</v>
      </c>
      <c r="CE97" s="156">
        <v>0</v>
      </c>
      <c r="CF97" s="156">
        <f>SUM(BT97:CE97)</f>
        <v>1531338300</v>
      </c>
      <c r="CG97" s="156">
        <f>$CF97-$AF97</f>
        <v>0</v>
      </c>
      <c r="CH97" s="160" t="s">
        <v>289</v>
      </c>
      <c r="CI97" s="160" t="s">
        <v>290</v>
      </c>
      <c r="CJ97" s="158" t="s">
        <v>277</v>
      </c>
      <c r="CK97" s="160" t="s">
        <v>290</v>
      </c>
      <c r="CL97" s="160" t="s">
        <v>277</v>
      </c>
      <c r="CM97" s="158" t="s">
        <v>277</v>
      </c>
      <c r="CN97" s="160" t="s">
        <v>290</v>
      </c>
      <c r="CO97" s="158" t="s">
        <v>277</v>
      </c>
      <c r="CP97" s="158" t="s">
        <v>277</v>
      </c>
      <c r="CQ97" s="158" t="s">
        <v>277</v>
      </c>
      <c r="CR97" s="158" t="s">
        <v>293</v>
      </c>
      <c r="CS97" s="158" t="s">
        <v>322</v>
      </c>
      <c r="CT97" s="158" t="s">
        <v>524</v>
      </c>
      <c r="CU97" s="160" t="s">
        <v>296</v>
      </c>
      <c r="CV97" s="160" t="s">
        <v>156</v>
      </c>
      <c r="CW97" s="158" t="s">
        <v>277</v>
      </c>
      <c r="CX97" s="158" t="s">
        <v>277</v>
      </c>
      <c r="CY97" s="158" t="s">
        <v>277</v>
      </c>
      <c r="CZ97" s="158" t="s">
        <v>277</v>
      </c>
      <c r="DA97" s="158" t="s">
        <v>277</v>
      </c>
      <c r="DB97" s="158" t="s">
        <v>277</v>
      </c>
      <c r="DC97" s="158" t="s">
        <v>277</v>
      </c>
      <c r="DD97" s="159"/>
      <c r="DE97" s="159"/>
      <c r="DF97" s="159"/>
      <c r="DG97" s="159"/>
      <c r="DH97" s="159"/>
      <c r="DI97" s="159"/>
      <c r="DJ97" s="159"/>
      <c r="DK97" s="159"/>
      <c r="DL97" s="159"/>
      <c r="DM97" s="159"/>
      <c r="DN97" s="159"/>
      <c r="DO97" s="159"/>
      <c r="DP97" s="159"/>
      <c r="DQ97" s="159"/>
      <c r="DR97" s="159"/>
      <c r="DS97" s="159"/>
      <c r="DT97" s="159"/>
      <c r="DU97" s="159"/>
      <c r="DV97" s="159"/>
      <c r="DW97" s="159"/>
      <c r="DX97" s="159"/>
      <c r="DY97" s="159"/>
      <c r="DZ97" s="159"/>
      <c r="EA97" s="159"/>
      <c r="EB97" s="159"/>
      <c r="EC97" s="159"/>
      <c r="ED97" s="159"/>
    </row>
    <row r="98" spans="1:134" ht="30">
      <c r="A98" s="74"/>
      <c r="B98" s="50">
        <v>135</v>
      </c>
      <c r="C98" s="50" t="s">
        <v>269</v>
      </c>
      <c r="D98" s="50" t="s">
        <v>297</v>
      </c>
      <c r="E98" s="50"/>
      <c r="F98" s="50" t="s">
        <v>272</v>
      </c>
      <c r="G98" s="50" t="s">
        <v>273</v>
      </c>
      <c r="H98" s="37" t="s">
        <v>151</v>
      </c>
      <c r="I98" s="37" t="s">
        <v>274</v>
      </c>
      <c r="J98" s="37" t="s">
        <v>497</v>
      </c>
      <c r="K98" s="50" t="s">
        <v>3</v>
      </c>
      <c r="L98" s="50" t="s">
        <v>25</v>
      </c>
      <c r="M98" s="50" t="s">
        <v>52</v>
      </c>
      <c r="N98" s="50" t="s">
        <v>276</v>
      </c>
      <c r="O98" s="87" t="s">
        <v>3</v>
      </c>
      <c r="P98" s="87" t="s">
        <v>25</v>
      </c>
      <c r="Q98" s="87" t="s">
        <v>52</v>
      </c>
      <c r="R98" s="87" t="s">
        <v>512</v>
      </c>
      <c r="S98" s="50" t="s">
        <v>277</v>
      </c>
      <c r="T98" s="50" t="s">
        <v>1011</v>
      </c>
      <c r="U98" s="50" t="s">
        <v>1012</v>
      </c>
      <c r="V98" s="56" t="s">
        <v>1013</v>
      </c>
      <c r="W98" s="56" t="s">
        <v>1013</v>
      </c>
      <c r="X98" s="38" t="s">
        <v>1013</v>
      </c>
      <c r="Y98" s="60">
        <v>1500931528</v>
      </c>
      <c r="Z98" s="60">
        <v>1500931528</v>
      </c>
      <c r="AA98" s="60">
        <v>-1500931528</v>
      </c>
      <c r="AB98" s="60">
        <f>Z98+AA98</f>
        <v>0</v>
      </c>
      <c r="AC98" s="61" t="s">
        <v>414</v>
      </c>
      <c r="AD98" s="61" t="s">
        <v>1014</v>
      </c>
      <c r="AE98" s="112">
        <v>1500931528</v>
      </c>
      <c r="AF98" s="112">
        <v>1500931528</v>
      </c>
      <c r="AG98" s="110">
        <f>$AR98+$AZ98+$BQ98+$BT98+$BU98+$BV98</f>
        <v>648435598</v>
      </c>
      <c r="AH98" s="121">
        <f>AF98-AG98</f>
        <v>852495930</v>
      </c>
      <c r="AI98" s="39" t="s">
        <v>156</v>
      </c>
      <c r="AJ98" s="198"/>
      <c r="AK98" s="198"/>
      <c r="AL98" s="42"/>
      <c r="AM98" s="68"/>
      <c r="AN98" s="68"/>
      <c r="AO98" s="68"/>
      <c r="AP98" s="68"/>
      <c r="AQ98" s="68">
        <v>0</v>
      </c>
      <c r="AR98" s="68">
        <v>0</v>
      </c>
      <c r="AS98" s="68" t="s">
        <v>307</v>
      </c>
      <c r="AT98" s="68"/>
      <c r="AU98" s="69" t="s">
        <v>277</v>
      </c>
      <c r="AV98" s="69" t="s">
        <v>277</v>
      </c>
      <c r="AW98" s="69" t="s">
        <v>277</v>
      </c>
      <c r="AX98" s="69"/>
      <c r="AY98" s="68">
        <v>0</v>
      </c>
      <c r="AZ98" s="68">
        <v>0</v>
      </c>
      <c r="BA98" s="68" t="s">
        <v>307</v>
      </c>
      <c r="BB98" s="68"/>
      <c r="BC98" s="69" t="s">
        <v>1015</v>
      </c>
      <c r="BD98" s="69" t="s">
        <v>277</v>
      </c>
      <c r="BE98" s="56" t="s">
        <v>277</v>
      </c>
      <c r="BF98" s="56" t="s">
        <v>277</v>
      </c>
      <c r="BG98" s="56" t="s">
        <v>277</v>
      </c>
      <c r="BH98" s="56" t="s">
        <v>277</v>
      </c>
      <c r="BI98" s="69">
        <v>0</v>
      </c>
      <c r="BJ98" s="69">
        <v>0</v>
      </c>
      <c r="BK98" s="69">
        <v>0</v>
      </c>
      <c r="BL98" s="69">
        <v>0</v>
      </c>
      <c r="BM98" s="69">
        <v>0</v>
      </c>
      <c r="BN98" s="69">
        <v>0</v>
      </c>
      <c r="BO98" s="69">
        <v>0</v>
      </c>
      <c r="BP98" s="69">
        <v>0</v>
      </c>
      <c r="BQ98" s="69"/>
      <c r="BR98" s="69" t="s">
        <v>156</v>
      </c>
      <c r="BS98" s="69" t="s">
        <v>1016</v>
      </c>
      <c r="BT98" s="68">
        <v>411102264</v>
      </c>
      <c r="BU98" s="68">
        <v>237333334</v>
      </c>
      <c r="BV98" s="68">
        <v>0</v>
      </c>
      <c r="BW98" s="94">
        <v>0</v>
      </c>
      <c r="BX98" s="94">
        <v>0</v>
      </c>
      <c r="BY98" s="94">
        <v>0</v>
      </c>
      <c r="BZ98" s="94">
        <v>0</v>
      </c>
      <c r="CA98" s="94">
        <v>0</v>
      </c>
      <c r="CB98" s="168">
        <v>1500931528</v>
      </c>
      <c r="CC98" s="168">
        <v>0</v>
      </c>
      <c r="CD98" s="168">
        <v>0</v>
      </c>
      <c r="CE98" s="168">
        <v>0</v>
      </c>
      <c r="CF98" s="170">
        <f>SUM(BT98:CE98)</f>
        <v>2149367126</v>
      </c>
      <c r="CG98" s="108">
        <f>$CF98-$AF98</f>
        <v>648435598</v>
      </c>
      <c r="CH98" s="37" t="s">
        <v>289</v>
      </c>
      <c r="CI98" s="37" t="s">
        <v>290</v>
      </c>
      <c r="CJ98" s="37" t="s">
        <v>277</v>
      </c>
      <c r="CK98" s="37" t="s">
        <v>290</v>
      </c>
      <c r="CL98" s="37" t="s">
        <v>277</v>
      </c>
      <c r="CM98" s="37" t="s">
        <v>277</v>
      </c>
      <c r="CN98" s="37" t="s">
        <v>290</v>
      </c>
      <c r="CO98" s="37" t="s">
        <v>497</v>
      </c>
      <c r="CP98" s="41">
        <v>46023</v>
      </c>
      <c r="CQ98" s="41">
        <v>46387</v>
      </c>
      <c r="CR98" s="37" t="s">
        <v>293</v>
      </c>
      <c r="CS98" s="37" t="s">
        <v>454</v>
      </c>
      <c r="CT98" s="37" t="s">
        <v>524</v>
      </c>
      <c r="CU98" s="37" t="s">
        <v>296</v>
      </c>
      <c r="CV98" s="37" t="s">
        <v>323</v>
      </c>
      <c r="CW98" s="37" t="s">
        <v>277</v>
      </c>
      <c r="CX98" s="37" t="s">
        <v>277</v>
      </c>
      <c r="CY98" s="37" t="s">
        <v>277</v>
      </c>
      <c r="CZ98" s="123" t="s">
        <v>277</v>
      </c>
      <c r="DA98" s="123" t="s">
        <v>277</v>
      </c>
      <c r="DB98" s="37" t="s">
        <v>277</v>
      </c>
      <c r="DC98" s="37" t="s">
        <v>1017</v>
      </c>
      <c r="DD98" s="68">
        <v>0</v>
      </c>
      <c r="DE98" s="68">
        <v>0</v>
      </c>
      <c r="DF98" s="68">
        <v>0</v>
      </c>
      <c r="DG98" s="68">
        <f>1500931528-1500931528</f>
        <v>0</v>
      </c>
      <c r="DH98" s="68">
        <v>0</v>
      </c>
      <c r="DI98" s="68">
        <v>0</v>
      </c>
      <c r="DJ98" s="68">
        <v>0</v>
      </c>
      <c r="DK98" s="68">
        <v>0</v>
      </c>
      <c r="DL98" s="68">
        <v>0</v>
      </c>
      <c r="DM98" s="68">
        <v>0</v>
      </c>
      <c r="DN98" s="68">
        <v>0</v>
      </c>
      <c r="DO98" s="68">
        <v>0</v>
      </c>
      <c r="DP98" s="68">
        <f>SUM(DD98:DO98)</f>
        <v>0</v>
      </c>
      <c r="DQ98" s="68">
        <f>DP98-AB98</f>
        <v>0</v>
      </c>
      <c r="DR98" s="68">
        <f>$DD98</f>
        <v>0</v>
      </c>
      <c r="DS98" s="68">
        <f>DR98+DE98</f>
        <v>0</v>
      </c>
      <c r="DT98" s="68">
        <f>DS98+DF98</f>
        <v>0</v>
      </c>
      <c r="DU98" s="68">
        <f>DT98+DG98</f>
        <v>0</v>
      </c>
      <c r="DV98" s="68">
        <f>DU98+DH98</f>
        <v>0</v>
      </c>
      <c r="DW98" s="68">
        <f>DV98+DI98</f>
        <v>0</v>
      </c>
      <c r="DX98" s="68">
        <f>DW98+DJ98</f>
        <v>0</v>
      </c>
      <c r="DY98" s="68">
        <f>DX98+DK98</f>
        <v>0</v>
      </c>
      <c r="DZ98" s="68">
        <f>DY98+DL98</f>
        <v>0</v>
      </c>
      <c r="EA98" s="68">
        <f>DZ98+DM98</f>
        <v>0</v>
      </c>
      <c r="EB98" s="68">
        <f>EA98+DN98</f>
        <v>0</v>
      </c>
      <c r="EC98" s="68">
        <f>EB98+DO98</f>
        <v>0</v>
      </c>
      <c r="ED98" s="68">
        <f>$EC98-$AB98</f>
        <v>0</v>
      </c>
    </row>
    <row r="99" spans="1:134" ht="45">
      <c r="A99" s="74"/>
      <c r="B99" s="50">
        <v>48</v>
      </c>
      <c r="C99" s="50" t="s">
        <v>269</v>
      </c>
      <c r="D99" s="50" t="s">
        <v>297</v>
      </c>
      <c r="E99" s="50"/>
      <c r="F99" s="50" t="s">
        <v>272</v>
      </c>
      <c r="G99" s="50" t="s">
        <v>273</v>
      </c>
      <c r="H99" s="37" t="s">
        <v>151</v>
      </c>
      <c r="I99" s="37" t="s">
        <v>686</v>
      </c>
      <c r="J99" s="37" t="s">
        <v>687</v>
      </c>
      <c r="K99" s="50" t="s">
        <v>3</v>
      </c>
      <c r="L99" s="50" t="s">
        <v>14</v>
      </c>
      <c r="M99" s="50" t="s">
        <v>16</v>
      </c>
      <c r="N99" s="50" t="s">
        <v>276</v>
      </c>
      <c r="O99" s="37" t="s">
        <v>3</v>
      </c>
      <c r="P99" s="37" t="s">
        <v>14</v>
      </c>
      <c r="Q99" s="37" t="s">
        <v>16</v>
      </c>
      <c r="R99" s="37" t="s">
        <v>276</v>
      </c>
      <c r="S99" s="50" t="s">
        <v>1018</v>
      </c>
      <c r="T99" s="50" t="s">
        <v>1019</v>
      </c>
      <c r="U99" s="50" t="s">
        <v>1020</v>
      </c>
      <c r="V99" s="56" t="s">
        <v>1021</v>
      </c>
      <c r="W99" s="56" t="s">
        <v>1021</v>
      </c>
      <c r="X99" s="38" t="s">
        <v>1021</v>
      </c>
      <c r="Y99" s="60">
        <v>72000000000</v>
      </c>
      <c r="Z99" s="60">
        <v>1500000000</v>
      </c>
      <c r="AA99" s="60"/>
      <c r="AB99" s="60">
        <f>Z99+AA99</f>
        <v>1500000000</v>
      </c>
      <c r="AC99" s="61"/>
      <c r="AD99" s="61"/>
      <c r="AE99" s="109">
        <v>72000000000</v>
      </c>
      <c r="AF99" s="109">
        <v>1500000000</v>
      </c>
      <c r="AG99" s="108">
        <f>$AR99+$AZ99+$BQ99+$BT99+$BU99+$BV99</f>
        <v>0</v>
      </c>
      <c r="AH99" s="121">
        <f>AF99-AG99</f>
        <v>1500000000</v>
      </c>
      <c r="AI99" s="39" t="s">
        <v>1022</v>
      </c>
      <c r="AJ99" s="198"/>
      <c r="AK99" s="198"/>
      <c r="AL99" s="42"/>
      <c r="AM99" s="68"/>
      <c r="AN99" s="68"/>
      <c r="AO99" s="68"/>
      <c r="AP99" s="68"/>
      <c r="AQ99" s="68">
        <v>0</v>
      </c>
      <c r="AR99" s="68">
        <v>0</v>
      </c>
      <c r="AS99" s="68" t="s">
        <v>307</v>
      </c>
      <c r="AT99" s="68"/>
      <c r="AU99" s="69" t="s">
        <v>277</v>
      </c>
      <c r="AV99" s="69" t="s">
        <v>277</v>
      </c>
      <c r="AW99" s="69" t="s">
        <v>277</v>
      </c>
      <c r="AX99" s="69"/>
      <c r="AY99" s="68">
        <v>0</v>
      </c>
      <c r="AZ99" s="68">
        <v>0</v>
      </c>
      <c r="BA99" s="68" t="s">
        <v>307</v>
      </c>
      <c r="BB99" s="68"/>
      <c r="BC99" s="69" t="s">
        <v>1023</v>
      </c>
      <c r="BD99" s="69" t="s">
        <v>277</v>
      </c>
      <c r="BE99" s="56" t="s">
        <v>277</v>
      </c>
      <c r="BF99" s="56" t="s">
        <v>277</v>
      </c>
      <c r="BG99" s="56" t="s">
        <v>277</v>
      </c>
      <c r="BH99" s="56" t="s">
        <v>277</v>
      </c>
      <c r="BI99" s="69">
        <v>0</v>
      </c>
      <c r="BJ99" s="69">
        <v>0</v>
      </c>
      <c r="BK99" s="69">
        <v>0</v>
      </c>
      <c r="BL99" s="69">
        <v>0</v>
      </c>
      <c r="BM99" s="69">
        <v>0</v>
      </c>
      <c r="BN99" s="69">
        <v>0</v>
      </c>
      <c r="BO99" s="69">
        <v>0</v>
      </c>
      <c r="BP99" s="69">
        <v>0</v>
      </c>
      <c r="BQ99" s="69"/>
      <c r="BR99" s="69" t="s">
        <v>382</v>
      </c>
      <c r="BS99" s="69" t="s">
        <v>1024</v>
      </c>
      <c r="BT99" s="68">
        <v>0</v>
      </c>
      <c r="BU99" s="68">
        <v>0</v>
      </c>
      <c r="BV99" s="68">
        <v>0</v>
      </c>
      <c r="BW99" s="94">
        <v>0</v>
      </c>
      <c r="BX99" s="94">
        <v>0</v>
      </c>
      <c r="BY99" s="94">
        <v>0</v>
      </c>
      <c r="BZ99" s="94">
        <v>0</v>
      </c>
      <c r="CA99" s="94">
        <v>0</v>
      </c>
      <c r="CB99" s="94">
        <v>0</v>
      </c>
      <c r="CC99" s="109">
        <v>1500000000</v>
      </c>
      <c r="CD99" s="94">
        <v>0</v>
      </c>
      <c r="CE99" s="94">
        <v>0</v>
      </c>
      <c r="CF99" s="108">
        <f>SUM(BT99:CE99)</f>
        <v>1500000000</v>
      </c>
      <c r="CG99" s="108">
        <f>$CF99-$AF99</f>
        <v>0</v>
      </c>
      <c r="CH99" s="37" t="s">
        <v>289</v>
      </c>
      <c r="CI99" s="37" t="s">
        <v>290</v>
      </c>
      <c r="CJ99" s="37" t="s">
        <v>277</v>
      </c>
      <c r="CK99" s="37" t="s">
        <v>290</v>
      </c>
      <c r="CL99" s="37" t="s">
        <v>277</v>
      </c>
      <c r="CM99" s="37" t="s">
        <v>277</v>
      </c>
      <c r="CN99" s="37" t="s">
        <v>290</v>
      </c>
      <c r="CO99" s="37" t="s">
        <v>693</v>
      </c>
      <c r="CP99" s="41">
        <v>46023</v>
      </c>
      <c r="CQ99" s="41">
        <v>46387</v>
      </c>
      <c r="CR99" s="37" t="s">
        <v>293</v>
      </c>
      <c r="CS99" s="37" t="s">
        <v>322</v>
      </c>
      <c r="CT99" s="37" t="s">
        <v>295</v>
      </c>
      <c r="CU99" s="37" t="s">
        <v>341</v>
      </c>
      <c r="CV99" s="37" t="s">
        <v>382</v>
      </c>
      <c r="CW99" s="37">
        <v>4200002995</v>
      </c>
      <c r="CX99" s="37" t="s">
        <v>1025</v>
      </c>
      <c r="CY99" s="37">
        <v>72000000000</v>
      </c>
      <c r="CZ99" s="123">
        <v>45139</v>
      </c>
      <c r="DA99" s="123">
        <v>46235</v>
      </c>
      <c r="DB99" s="37" t="s">
        <v>277</v>
      </c>
      <c r="DC99" s="37" t="s">
        <v>388</v>
      </c>
      <c r="DD99" s="68">
        <v>0</v>
      </c>
      <c r="DE99" s="68">
        <v>0</v>
      </c>
      <c r="DF99" s="68">
        <v>1500000000</v>
      </c>
      <c r="DG99" s="68">
        <v>0</v>
      </c>
      <c r="DH99" s="68">
        <v>0</v>
      </c>
      <c r="DI99" s="68">
        <v>0</v>
      </c>
      <c r="DJ99" s="68">
        <v>0</v>
      </c>
      <c r="DK99" s="68">
        <v>0</v>
      </c>
      <c r="DL99" s="68">
        <v>0</v>
      </c>
      <c r="DM99" s="68">
        <v>0</v>
      </c>
      <c r="DN99" s="68">
        <v>0</v>
      </c>
      <c r="DO99" s="68">
        <v>0</v>
      </c>
      <c r="DP99" s="68">
        <f>SUM(DD99:DO99)</f>
        <v>1500000000</v>
      </c>
      <c r="DQ99" s="68">
        <f>DP99-AB99</f>
        <v>0</v>
      </c>
      <c r="DR99" s="68">
        <f>$DD99</f>
        <v>0</v>
      </c>
      <c r="DS99" s="68">
        <f>DR99+DE99</f>
        <v>0</v>
      </c>
      <c r="DT99" s="68">
        <f>DS99+DF99</f>
        <v>1500000000</v>
      </c>
      <c r="DU99" s="68">
        <f>DT99+DG99</f>
        <v>1500000000</v>
      </c>
      <c r="DV99" s="68">
        <f>DU99+DH99</f>
        <v>1500000000</v>
      </c>
      <c r="DW99" s="68">
        <f>DV99+DI99</f>
        <v>1500000000</v>
      </c>
      <c r="DX99" s="68">
        <f>DW99+DJ99</f>
        <v>1500000000</v>
      </c>
      <c r="DY99" s="68">
        <f>DX99+DK99</f>
        <v>1500000000</v>
      </c>
      <c r="DZ99" s="68">
        <f>DY99+DL99</f>
        <v>1500000000</v>
      </c>
      <c r="EA99" s="68">
        <f>DZ99+DM99</f>
        <v>1500000000</v>
      </c>
      <c r="EB99" s="68">
        <f>EA99+DN99</f>
        <v>1500000000</v>
      </c>
      <c r="EC99" s="68">
        <f>EB99+DO99</f>
        <v>1500000000</v>
      </c>
      <c r="ED99" s="68">
        <f>$EC99-$AB99</f>
        <v>0</v>
      </c>
    </row>
    <row r="100" spans="1:134" ht="30">
      <c r="A100" s="74"/>
      <c r="B100" s="50">
        <v>32</v>
      </c>
      <c r="C100" s="50" t="s">
        <v>269</v>
      </c>
      <c r="D100" s="50" t="s">
        <v>297</v>
      </c>
      <c r="E100" s="50"/>
      <c r="F100" s="50" t="s">
        <v>272</v>
      </c>
      <c r="G100" s="50" t="s">
        <v>273</v>
      </c>
      <c r="H100" s="37" t="s">
        <v>151</v>
      </c>
      <c r="I100" s="37" t="s">
        <v>497</v>
      </c>
      <c r="J100" s="37" t="s">
        <v>1026</v>
      </c>
      <c r="K100" s="50" t="s">
        <v>3</v>
      </c>
      <c r="L100" s="50" t="s">
        <v>14</v>
      </c>
      <c r="M100" s="50" t="s">
        <v>16</v>
      </c>
      <c r="N100" s="50" t="s">
        <v>276</v>
      </c>
      <c r="O100" s="37" t="s">
        <v>3</v>
      </c>
      <c r="P100" s="37" t="s">
        <v>14</v>
      </c>
      <c r="Q100" s="37" t="s">
        <v>16</v>
      </c>
      <c r="R100" s="37" t="s">
        <v>276</v>
      </c>
      <c r="S100" s="50" t="s">
        <v>1027</v>
      </c>
      <c r="T100" s="50" t="s">
        <v>1028</v>
      </c>
      <c r="U100" s="50" t="s">
        <v>1029</v>
      </c>
      <c r="V100" s="56" t="s">
        <v>1030</v>
      </c>
      <c r="W100" s="56" t="s">
        <v>1030</v>
      </c>
      <c r="X100" s="38" t="s">
        <v>1030</v>
      </c>
      <c r="Y100" s="60">
        <v>20726598970</v>
      </c>
      <c r="Z100" s="60">
        <v>1347228933</v>
      </c>
      <c r="AA100" s="60"/>
      <c r="AB100" s="60">
        <f>Z100+AA100</f>
        <v>1347228933</v>
      </c>
      <c r="AC100" s="61"/>
      <c r="AD100" s="61"/>
      <c r="AE100" s="109">
        <v>20726598970</v>
      </c>
      <c r="AF100" s="109">
        <v>1347228933</v>
      </c>
      <c r="AG100" s="108">
        <f>$AR100+$AZ100+$BQ100+$BT100+$BU100+$BV100</f>
        <v>1347228933</v>
      </c>
      <c r="AH100" s="121">
        <f>AF100-AG100</f>
        <v>0</v>
      </c>
      <c r="AI100" s="39" t="s">
        <v>277</v>
      </c>
      <c r="AJ100" s="200"/>
      <c r="AK100" s="200"/>
      <c r="AL100" s="39"/>
      <c r="AM100" s="68"/>
      <c r="AN100" s="68"/>
      <c r="AO100" s="68"/>
      <c r="AP100" s="68"/>
      <c r="AQ100" s="68">
        <v>0</v>
      </c>
      <c r="AR100" s="68">
        <v>0</v>
      </c>
      <c r="AS100" s="68" t="s">
        <v>307</v>
      </c>
      <c r="AT100" s="68"/>
      <c r="AU100" s="69" t="s">
        <v>1031</v>
      </c>
      <c r="AV100" s="69" t="s">
        <v>1032</v>
      </c>
      <c r="AW100" s="69" t="s">
        <v>1033</v>
      </c>
      <c r="AX100" s="69"/>
      <c r="AY100" s="68">
        <v>1347228933</v>
      </c>
      <c r="AZ100" s="68">
        <v>1347228933</v>
      </c>
      <c r="BA100" s="68" t="s">
        <v>307</v>
      </c>
      <c r="BB100" s="68"/>
      <c r="BC100" s="69" t="s">
        <v>1034</v>
      </c>
      <c r="BD100" s="69" t="s">
        <v>277</v>
      </c>
      <c r="BE100" s="56" t="s">
        <v>277</v>
      </c>
      <c r="BF100" s="56" t="s">
        <v>277</v>
      </c>
      <c r="BG100" s="56" t="s">
        <v>277</v>
      </c>
      <c r="BH100" s="56" t="s">
        <v>277</v>
      </c>
      <c r="BI100" s="69">
        <v>0</v>
      </c>
      <c r="BJ100" s="69">
        <v>0</v>
      </c>
      <c r="BK100" s="69">
        <v>0</v>
      </c>
      <c r="BL100" s="69">
        <v>0</v>
      </c>
      <c r="BM100" s="69">
        <v>0</v>
      </c>
      <c r="BN100" s="69">
        <v>0</v>
      </c>
      <c r="BO100" s="69">
        <v>0</v>
      </c>
      <c r="BP100" s="69">
        <v>0</v>
      </c>
      <c r="BQ100" s="69"/>
      <c r="BR100" s="69" t="s">
        <v>156</v>
      </c>
      <c r="BS100" s="69" t="s">
        <v>1035</v>
      </c>
      <c r="BT100" s="68">
        <v>0</v>
      </c>
      <c r="BU100" s="68">
        <v>0</v>
      </c>
      <c r="BV100" s="68">
        <v>0</v>
      </c>
      <c r="BW100" s="94">
        <v>0</v>
      </c>
      <c r="BX100" s="94">
        <v>0</v>
      </c>
      <c r="BY100" s="94">
        <v>0</v>
      </c>
      <c r="BZ100" s="94">
        <v>0</v>
      </c>
      <c r="CA100" s="94">
        <v>0</v>
      </c>
      <c r="CB100" s="109">
        <v>1347228933</v>
      </c>
      <c r="CC100" s="94">
        <v>0</v>
      </c>
      <c r="CD100" s="94">
        <v>0</v>
      </c>
      <c r="CE100" s="94">
        <v>0</v>
      </c>
      <c r="CF100" s="108">
        <f>SUM(BT100:CE100)</f>
        <v>1347228933</v>
      </c>
      <c r="CG100" s="108">
        <f>$CF100-$AF100</f>
        <v>0</v>
      </c>
      <c r="CH100" s="37" t="s">
        <v>289</v>
      </c>
      <c r="CI100" s="37" t="s">
        <v>290</v>
      </c>
      <c r="CJ100" s="37" t="s">
        <v>277</v>
      </c>
      <c r="CK100" s="37" t="s">
        <v>290</v>
      </c>
      <c r="CL100" s="37" t="s">
        <v>277</v>
      </c>
      <c r="CM100" s="37" t="s">
        <v>277</v>
      </c>
      <c r="CN100" s="37" t="s">
        <v>290</v>
      </c>
      <c r="CO100" s="37" t="s">
        <v>497</v>
      </c>
      <c r="CP100" s="41">
        <v>45717</v>
      </c>
      <c r="CQ100" s="41">
        <v>46935</v>
      </c>
      <c r="CR100" s="37" t="s">
        <v>293</v>
      </c>
      <c r="CS100" s="37" t="s">
        <v>294</v>
      </c>
      <c r="CT100" s="37" t="s">
        <v>295</v>
      </c>
      <c r="CU100" s="37" t="s">
        <v>296</v>
      </c>
      <c r="CV100" s="37" t="s">
        <v>323</v>
      </c>
      <c r="CW100" s="37" t="s">
        <v>277</v>
      </c>
      <c r="CX100" s="37" t="s">
        <v>277</v>
      </c>
      <c r="CY100" s="37">
        <v>0</v>
      </c>
      <c r="CZ100" s="123" t="s">
        <v>277</v>
      </c>
      <c r="DA100" s="123" t="s">
        <v>277</v>
      </c>
      <c r="DB100" s="37" t="s">
        <v>277</v>
      </c>
      <c r="DC100" s="37" t="s">
        <v>1036</v>
      </c>
      <c r="DD100" s="68">
        <v>0</v>
      </c>
      <c r="DE100" s="68">
        <v>0</v>
      </c>
      <c r="DF100" s="68">
        <v>0</v>
      </c>
      <c r="DG100" s="68">
        <v>0</v>
      </c>
      <c r="DH100" s="68">
        <v>0</v>
      </c>
      <c r="DI100" s="68">
        <v>0</v>
      </c>
      <c r="DJ100" s="68">
        <v>0</v>
      </c>
      <c r="DK100" s="68">
        <v>0</v>
      </c>
      <c r="DL100" s="68">
        <v>0</v>
      </c>
      <c r="DM100" s="68">
        <v>0</v>
      </c>
      <c r="DN100" s="68">
        <v>0</v>
      </c>
      <c r="DO100" s="68">
        <v>1347228933</v>
      </c>
      <c r="DP100" s="68">
        <f>SUM(DD100:DO100)</f>
        <v>1347228933</v>
      </c>
      <c r="DQ100" s="68">
        <f>DP100-AB100</f>
        <v>0</v>
      </c>
      <c r="DR100" s="68">
        <f>$DD100</f>
        <v>0</v>
      </c>
      <c r="DS100" s="68">
        <f>DR100+DE100</f>
        <v>0</v>
      </c>
      <c r="DT100" s="68">
        <f>DS100+DF100</f>
        <v>0</v>
      </c>
      <c r="DU100" s="68">
        <f>DT100+DG100</f>
        <v>0</v>
      </c>
      <c r="DV100" s="68">
        <f>DU100+DH100</f>
        <v>0</v>
      </c>
      <c r="DW100" s="68">
        <f>DV100+DI100</f>
        <v>0</v>
      </c>
      <c r="DX100" s="68">
        <f>DW100+DJ100</f>
        <v>0</v>
      </c>
      <c r="DY100" s="68">
        <f>DX100+DK100</f>
        <v>0</v>
      </c>
      <c r="DZ100" s="68">
        <f>DY100+DL100</f>
        <v>0</v>
      </c>
      <c r="EA100" s="68">
        <f>DZ100+DM100</f>
        <v>0</v>
      </c>
      <c r="EB100" s="68">
        <f>EA100+DN100</f>
        <v>0</v>
      </c>
      <c r="EC100" s="68">
        <f>EB100+DO100</f>
        <v>1347228933</v>
      </c>
      <c r="ED100" s="68">
        <f>$EC100-$AB100</f>
        <v>0</v>
      </c>
    </row>
    <row r="101" spans="1:134" ht="30">
      <c r="A101" s="74"/>
      <c r="B101" s="50">
        <v>60</v>
      </c>
      <c r="C101" s="50" t="s">
        <v>269</v>
      </c>
      <c r="D101" s="50" t="s">
        <v>297</v>
      </c>
      <c r="E101" s="50"/>
      <c r="F101" s="50" t="s">
        <v>272</v>
      </c>
      <c r="G101" s="50" t="s">
        <v>273</v>
      </c>
      <c r="H101" s="37" t="s">
        <v>151</v>
      </c>
      <c r="I101" s="37" t="s">
        <v>702</v>
      </c>
      <c r="J101" s="37" t="s">
        <v>703</v>
      </c>
      <c r="K101" s="50" t="s">
        <v>3</v>
      </c>
      <c r="L101" s="50" t="s">
        <v>14</v>
      </c>
      <c r="M101" s="50" t="s">
        <v>16</v>
      </c>
      <c r="N101" s="50" t="s">
        <v>276</v>
      </c>
      <c r="O101" s="37" t="s">
        <v>3</v>
      </c>
      <c r="P101" s="37" t="s">
        <v>14</v>
      </c>
      <c r="Q101" s="37" t="s">
        <v>16</v>
      </c>
      <c r="R101" s="37" t="s">
        <v>276</v>
      </c>
      <c r="S101" s="50" t="s">
        <v>1037</v>
      </c>
      <c r="T101" s="50" t="s">
        <v>1038</v>
      </c>
      <c r="U101" s="50" t="s">
        <v>1039</v>
      </c>
      <c r="V101" s="56" t="s">
        <v>1040</v>
      </c>
      <c r="W101" s="56" t="s">
        <v>1040</v>
      </c>
      <c r="X101" s="38" t="s">
        <v>1040</v>
      </c>
      <c r="Y101" s="60">
        <v>21500000000</v>
      </c>
      <c r="Z101" s="60">
        <v>1346230770</v>
      </c>
      <c r="AA101" s="60"/>
      <c r="AB101" s="60">
        <f>Z101+AA101</f>
        <v>1346230770</v>
      </c>
      <c r="AC101" s="61"/>
      <c r="AD101" s="61"/>
      <c r="AE101" s="107">
        <v>21500000000</v>
      </c>
      <c r="AF101" s="109">
        <v>1346230770</v>
      </c>
      <c r="AG101" s="108">
        <f>$AR101+$AZ101+$BQ101+$BT101+$BU101+$BV101</f>
        <v>0</v>
      </c>
      <c r="AH101" s="121">
        <f>AF101-AG101</f>
        <v>1346230770</v>
      </c>
      <c r="AI101" s="39" t="s">
        <v>1041</v>
      </c>
      <c r="AJ101" s="198"/>
      <c r="AK101" s="198"/>
      <c r="AL101" s="42"/>
      <c r="AM101" s="68"/>
      <c r="AN101" s="68"/>
      <c r="AO101" s="68"/>
      <c r="AP101" s="68"/>
      <c r="AQ101" s="68">
        <v>0</v>
      </c>
      <c r="AR101" s="68">
        <v>0</v>
      </c>
      <c r="AS101" s="68" t="s">
        <v>307</v>
      </c>
      <c r="AT101" s="68"/>
      <c r="AU101" s="69" t="s">
        <v>277</v>
      </c>
      <c r="AV101" s="69" t="s">
        <v>277</v>
      </c>
      <c r="AW101" s="69" t="s">
        <v>277</v>
      </c>
      <c r="AX101" s="69"/>
      <c r="AY101" s="68">
        <v>0</v>
      </c>
      <c r="AZ101" s="68">
        <v>0</v>
      </c>
      <c r="BA101" s="68" t="s">
        <v>307</v>
      </c>
      <c r="BB101" s="68"/>
      <c r="BC101" s="69" t="s">
        <v>1042</v>
      </c>
      <c r="BD101" s="69" t="s">
        <v>277</v>
      </c>
      <c r="BE101" s="56" t="s">
        <v>277</v>
      </c>
      <c r="BF101" s="56" t="s">
        <v>277</v>
      </c>
      <c r="BG101" s="56" t="s">
        <v>277</v>
      </c>
      <c r="BH101" s="56" t="s">
        <v>277</v>
      </c>
      <c r="BI101" s="69">
        <v>0</v>
      </c>
      <c r="BJ101" s="69">
        <v>0</v>
      </c>
      <c r="BK101" s="69">
        <v>0</v>
      </c>
      <c r="BL101" s="69">
        <v>0</v>
      </c>
      <c r="BM101" s="69">
        <v>0</v>
      </c>
      <c r="BN101" s="69">
        <v>0</v>
      </c>
      <c r="BO101" s="69">
        <v>0</v>
      </c>
      <c r="BP101" s="69">
        <v>0</v>
      </c>
      <c r="BQ101" s="69"/>
      <c r="BR101" s="69" t="s">
        <v>382</v>
      </c>
      <c r="BS101" s="69" t="s">
        <v>1043</v>
      </c>
      <c r="BT101" s="68">
        <v>0</v>
      </c>
      <c r="BU101" s="68">
        <v>0</v>
      </c>
      <c r="BV101" s="68">
        <v>0</v>
      </c>
      <c r="BW101" s="94">
        <v>0</v>
      </c>
      <c r="BX101" s="107">
        <v>1346230770</v>
      </c>
      <c r="BY101" s="94">
        <v>0</v>
      </c>
      <c r="BZ101" s="94">
        <v>0</v>
      </c>
      <c r="CA101" s="94">
        <v>0</v>
      </c>
      <c r="CB101" s="94">
        <v>0</v>
      </c>
      <c r="CC101" s="94">
        <v>0</v>
      </c>
      <c r="CD101" s="94">
        <v>0</v>
      </c>
      <c r="CE101" s="94">
        <v>0</v>
      </c>
      <c r="CF101" s="108">
        <f>SUM(BT101:CE101)</f>
        <v>1346230770</v>
      </c>
      <c r="CG101" s="108">
        <f>$CF101-$AF101</f>
        <v>0</v>
      </c>
      <c r="CH101" s="37" t="s">
        <v>289</v>
      </c>
      <c r="CI101" s="37" t="s">
        <v>290</v>
      </c>
      <c r="CJ101" s="37" t="s">
        <v>277</v>
      </c>
      <c r="CK101" s="37" t="s">
        <v>290</v>
      </c>
      <c r="CL101" s="37" t="s">
        <v>277</v>
      </c>
      <c r="CM101" s="37" t="s">
        <v>277</v>
      </c>
      <c r="CN101" s="37" t="s">
        <v>290</v>
      </c>
      <c r="CO101" s="37" t="s">
        <v>340</v>
      </c>
      <c r="CP101" s="41">
        <v>46023</v>
      </c>
      <c r="CQ101" s="41">
        <v>46387</v>
      </c>
      <c r="CR101" s="37" t="s">
        <v>293</v>
      </c>
      <c r="CS101" s="37" t="s">
        <v>454</v>
      </c>
      <c r="CT101" s="37" t="s">
        <v>524</v>
      </c>
      <c r="CU101" s="37" t="s">
        <v>341</v>
      </c>
      <c r="CV101" s="37" t="s">
        <v>382</v>
      </c>
      <c r="CW101" s="37">
        <v>4200003802</v>
      </c>
      <c r="CX101" s="37" t="s">
        <v>1044</v>
      </c>
      <c r="CY101" s="37">
        <v>21500000000</v>
      </c>
      <c r="CZ101" s="123">
        <v>45383</v>
      </c>
      <c r="DA101" s="123">
        <v>46478</v>
      </c>
      <c r="DB101" s="37" t="s">
        <v>277</v>
      </c>
      <c r="DC101" s="37" t="s">
        <v>749</v>
      </c>
      <c r="DD101" s="68">
        <v>0</v>
      </c>
      <c r="DE101" s="68">
        <v>0</v>
      </c>
      <c r="DF101" s="68">
        <v>1346230770</v>
      </c>
      <c r="DG101" s="68">
        <v>0</v>
      </c>
      <c r="DH101" s="68">
        <v>0</v>
      </c>
      <c r="DI101" s="68">
        <v>0</v>
      </c>
      <c r="DJ101" s="68">
        <v>0</v>
      </c>
      <c r="DK101" s="68">
        <v>0</v>
      </c>
      <c r="DL101" s="68">
        <v>0</v>
      </c>
      <c r="DM101" s="68">
        <v>0</v>
      </c>
      <c r="DN101" s="68">
        <v>0</v>
      </c>
      <c r="DO101" s="68">
        <v>0</v>
      </c>
      <c r="DP101" s="68">
        <f>SUM(DD101:DO101)</f>
        <v>1346230770</v>
      </c>
      <c r="DQ101" s="68">
        <f>DP101-AB101</f>
        <v>0</v>
      </c>
      <c r="DR101" s="68">
        <f>$DD101</f>
        <v>0</v>
      </c>
      <c r="DS101" s="68">
        <f>DR101+DE101</f>
        <v>0</v>
      </c>
      <c r="DT101" s="68">
        <f>DS101+DF101</f>
        <v>1346230770</v>
      </c>
      <c r="DU101" s="68">
        <f>DT101+DG101</f>
        <v>1346230770</v>
      </c>
      <c r="DV101" s="68">
        <f>DU101+DH101</f>
        <v>1346230770</v>
      </c>
      <c r="DW101" s="68">
        <f>DV101+DI101</f>
        <v>1346230770</v>
      </c>
      <c r="DX101" s="68">
        <f>DW101+DJ101</f>
        <v>1346230770</v>
      </c>
      <c r="DY101" s="68">
        <f>DX101+DK101</f>
        <v>1346230770</v>
      </c>
      <c r="DZ101" s="68">
        <f>DY101+DL101</f>
        <v>1346230770</v>
      </c>
      <c r="EA101" s="68">
        <f>DZ101+DM101</f>
        <v>1346230770</v>
      </c>
      <c r="EB101" s="68">
        <f>EA101+DN101</f>
        <v>1346230770</v>
      </c>
      <c r="EC101" s="68">
        <f>EB101+DO101</f>
        <v>1346230770</v>
      </c>
      <c r="ED101" s="68">
        <f>$EC101-$AB101</f>
        <v>0</v>
      </c>
    </row>
    <row r="102" spans="1:134" ht="45">
      <c r="A102" s="74"/>
      <c r="B102" s="50">
        <v>67</v>
      </c>
      <c r="C102" s="50" t="s">
        <v>269</v>
      </c>
      <c r="D102" s="50" t="s">
        <v>297</v>
      </c>
      <c r="E102" s="50"/>
      <c r="F102" s="50" t="s">
        <v>272</v>
      </c>
      <c r="G102" s="50" t="s">
        <v>273</v>
      </c>
      <c r="H102" s="37" t="s">
        <v>151</v>
      </c>
      <c r="I102" s="37" t="s">
        <v>702</v>
      </c>
      <c r="J102" s="37" t="s">
        <v>703</v>
      </c>
      <c r="K102" s="50" t="s">
        <v>3</v>
      </c>
      <c r="L102" s="50" t="s">
        <v>14</v>
      </c>
      <c r="M102" s="50" t="s">
        <v>16</v>
      </c>
      <c r="N102" s="50" t="s">
        <v>276</v>
      </c>
      <c r="O102" s="37" t="s">
        <v>3</v>
      </c>
      <c r="P102" s="37" t="s">
        <v>14</v>
      </c>
      <c r="Q102" s="37" t="s">
        <v>16</v>
      </c>
      <c r="R102" s="37" t="s">
        <v>276</v>
      </c>
      <c r="S102" s="50" t="s">
        <v>277</v>
      </c>
      <c r="T102" s="50" t="s">
        <v>1045</v>
      </c>
      <c r="U102" s="50" t="s">
        <v>1046</v>
      </c>
      <c r="V102" s="56" t="s">
        <v>1044</v>
      </c>
      <c r="W102" s="56" t="s">
        <v>1044</v>
      </c>
      <c r="X102" s="38" t="s">
        <v>1044</v>
      </c>
      <c r="Y102" s="60">
        <v>21500000000</v>
      </c>
      <c r="Z102" s="60">
        <v>203734360</v>
      </c>
      <c r="AA102" s="60"/>
      <c r="AB102" s="60">
        <f>Z102+AA102</f>
        <v>203734360</v>
      </c>
      <c r="AC102" s="61"/>
      <c r="AD102" s="61"/>
      <c r="AE102" s="107">
        <v>21500000000</v>
      </c>
      <c r="AF102" s="109">
        <v>1295237183</v>
      </c>
      <c r="AG102" s="108">
        <f>$AR102+$AZ102+$BQ102+$BT102+$BU102+$BV102</f>
        <v>0</v>
      </c>
      <c r="AH102" s="121">
        <f>AF102-AG102</f>
        <v>1295237183</v>
      </c>
      <c r="AI102" s="39" t="s">
        <v>1047</v>
      </c>
      <c r="AJ102" s="198"/>
      <c r="AK102" s="198"/>
      <c r="AL102" s="42"/>
      <c r="AM102" s="68"/>
      <c r="AN102" s="68"/>
      <c r="AO102" s="68"/>
      <c r="AP102" s="68"/>
      <c r="AQ102" s="68">
        <v>0</v>
      </c>
      <c r="AR102" s="68">
        <v>0</v>
      </c>
      <c r="AS102" s="68" t="s">
        <v>307</v>
      </c>
      <c r="AT102" s="68"/>
      <c r="AU102" s="69" t="s">
        <v>277</v>
      </c>
      <c r="AV102" s="69" t="s">
        <v>277</v>
      </c>
      <c r="AW102" s="69" t="s">
        <v>277</v>
      </c>
      <c r="AX102" s="69"/>
      <c r="AY102" s="68">
        <v>0</v>
      </c>
      <c r="AZ102" s="68">
        <v>0</v>
      </c>
      <c r="BA102" s="68" t="s">
        <v>307</v>
      </c>
      <c r="BB102" s="68"/>
      <c r="BC102" s="69" t="s">
        <v>1048</v>
      </c>
      <c r="BD102" s="69" t="s">
        <v>277</v>
      </c>
      <c r="BE102" s="56" t="s">
        <v>277</v>
      </c>
      <c r="BF102" s="56" t="s">
        <v>277</v>
      </c>
      <c r="BG102" s="56" t="s">
        <v>277</v>
      </c>
      <c r="BH102" s="56" t="s">
        <v>277</v>
      </c>
      <c r="BI102" s="69">
        <v>0</v>
      </c>
      <c r="BJ102" s="69">
        <v>0</v>
      </c>
      <c r="BK102" s="69">
        <v>0</v>
      </c>
      <c r="BL102" s="69">
        <v>0</v>
      </c>
      <c r="BM102" s="69">
        <v>0</v>
      </c>
      <c r="BN102" s="69">
        <v>0</v>
      </c>
      <c r="BO102" s="69">
        <v>0</v>
      </c>
      <c r="BP102" s="69">
        <v>0</v>
      </c>
      <c r="BQ102" s="69"/>
      <c r="BR102" s="69" t="s">
        <v>382</v>
      </c>
      <c r="BS102" s="69" t="s">
        <v>798</v>
      </c>
      <c r="BT102" s="68">
        <v>0</v>
      </c>
      <c r="BU102" s="68">
        <v>0</v>
      </c>
      <c r="BV102" s="68">
        <v>0</v>
      </c>
      <c r="BW102" s="94">
        <v>0</v>
      </c>
      <c r="BX102" s="94">
        <v>0</v>
      </c>
      <c r="BY102" s="94">
        <v>0</v>
      </c>
      <c r="BZ102" s="94">
        <v>0</v>
      </c>
      <c r="CA102" s="94">
        <v>0</v>
      </c>
      <c r="CB102" s="94">
        <v>0</v>
      </c>
      <c r="CC102" s="109">
        <v>1295237183</v>
      </c>
      <c r="CD102" s="94">
        <v>0</v>
      </c>
      <c r="CE102" s="94">
        <v>0</v>
      </c>
      <c r="CF102" s="108">
        <f>SUM(BT102:CE102)</f>
        <v>1295237183</v>
      </c>
      <c r="CG102" s="108">
        <f>$CF102-$AF102</f>
        <v>0</v>
      </c>
      <c r="CH102" s="37" t="s">
        <v>289</v>
      </c>
      <c r="CI102" s="37" t="s">
        <v>290</v>
      </c>
      <c r="CJ102" s="37" t="s">
        <v>277</v>
      </c>
      <c r="CK102" s="37" t="s">
        <v>290</v>
      </c>
      <c r="CL102" s="37" t="s">
        <v>277</v>
      </c>
      <c r="CM102" s="37" t="s">
        <v>277</v>
      </c>
      <c r="CN102" s="37" t="s">
        <v>290</v>
      </c>
      <c r="CO102" s="37" t="s">
        <v>497</v>
      </c>
      <c r="CP102" s="41">
        <v>45292</v>
      </c>
      <c r="CQ102" s="41">
        <v>45748</v>
      </c>
      <c r="CR102" s="37" t="s">
        <v>293</v>
      </c>
      <c r="CS102" s="37" t="s">
        <v>322</v>
      </c>
      <c r="CT102" s="37" t="s">
        <v>524</v>
      </c>
      <c r="CU102" s="37" t="s">
        <v>341</v>
      </c>
      <c r="CV102" s="37" t="s">
        <v>382</v>
      </c>
      <c r="CW102" s="37" t="s">
        <v>1049</v>
      </c>
      <c r="CX102" s="37" t="s">
        <v>1044</v>
      </c>
      <c r="CY102" s="37">
        <v>21500000000</v>
      </c>
      <c r="CZ102" s="123">
        <v>45383</v>
      </c>
      <c r="DA102" s="123">
        <v>46478</v>
      </c>
      <c r="DB102" s="37" t="s">
        <v>277</v>
      </c>
      <c r="DC102" s="37" t="s">
        <v>749</v>
      </c>
      <c r="DD102" s="68">
        <v>0</v>
      </c>
      <c r="DE102" s="68">
        <v>203734360</v>
      </c>
      <c r="DF102" s="68">
        <v>0</v>
      </c>
      <c r="DG102" s="68">
        <v>0</v>
      </c>
      <c r="DH102" s="68">
        <v>0</v>
      </c>
      <c r="DI102" s="68">
        <v>0</v>
      </c>
      <c r="DJ102" s="68">
        <v>0</v>
      </c>
      <c r="DK102" s="68">
        <v>0</v>
      </c>
      <c r="DL102" s="68">
        <v>0</v>
      </c>
      <c r="DM102" s="68">
        <v>0</v>
      </c>
      <c r="DN102" s="68">
        <v>0</v>
      </c>
      <c r="DO102" s="68">
        <v>0</v>
      </c>
      <c r="DP102" s="68">
        <f>SUM(DD102:DO102)</f>
        <v>203734360</v>
      </c>
      <c r="DQ102" s="68">
        <f>DP102-AB102</f>
        <v>0</v>
      </c>
      <c r="DR102" s="68">
        <f>$DD102</f>
        <v>0</v>
      </c>
      <c r="DS102" s="68">
        <f>DR102+DE102</f>
        <v>203734360</v>
      </c>
      <c r="DT102" s="68">
        <f>DS102+DF102</f>
        <v>203734360</v>
      </c>
      <c r="DU102" s="68">
        <f>DT102+DG102</f>
        <v>203734360</v>
      </c>
      <c r="DV102" s="68">
        <f>DU102+DH102</f>
        <v>203734360</v>
      </c>
      <c r="DW102" s="68">
        <f>DV102+DI102</f>
        <v>203734360</v>
      </c>
      <c r="DX102" s="68">
        <f>DW102+DJ102</f>
        <v>203734360</v>
      </c>
      <c r="DY102" s="68">
        <f>DX102+DK102</f>
        <v>203734360</v>
      </c>
      <c r="DZ102" s="68">
        <f>DY102+DL102</f>
        <v>203734360</v>
      </c>
      <c r="EA102" s="68">
        <f>DZ102+DM102</f>
        <v>203734360</v>
      </c>
      <c r="EB102" s="68">
        <f>EA102+DN102</f>
        <v>203734360</v>
      </c>
      <c r="EC102" s="68">
        <f>EB102+DO102</f>
        <v>203734360</v>
      </c>
      <c r="ED102" s="68">
        <f>$EC102-$AB102</f>
        <v>0</v>
      </c>
    </row>
    <row r="103" spans="1:134" ht="60">
      <c r="A103" s="74"/>
      <c r="B103" s="50">
        <v>155</v>
      </c>
      <c r="C103" s="50" t="s">
        <v>269</v>
      </c>
      <c r="D103" s="50" t="s">
        <v>270</v>
      </c>
      <c r="E103" s="50" t="s">
        <v>1050</v>
      </c>
      <c r="F103" s="50" t="s">
        <v>272</v>
      </c>
      <c r="G103" s="50" t="s">
        <v>273</v>
      </c>
      <c r="H103" s="37" t="s">
        <v>151</v>
      </c>
      <c r="I103" s="37" t="s">
        <v>326</v>
      </c>
      <c r="J103" s="37" t="s">
        <v>447</v>
      </c>
      <c r="K103" s="50" t="s">
        <v>3</v>
      </c>
      <c r="L103" s="50" t="s">
        <v>14</v>
      </c>
      <c r="M103" s="50" t="s">
        <v>16</v>
      </c>
      <c r="N103" s="50" t="s">
        <v>276</v>
      </c>
      <c r="O103" s="37" t="s">
        <v>3</v>
      </c>
      <c r="P103" s="37" t="s">
        <v>14</v>
      </c>
      <c r="Q103" s="37" t="s">
        <v>16</v>
      </c>
      <c r="R103" s="37" t="s">
        <v>276</v>
      </c>
      <c r="S103" s="50" t="s">
        <v>277</v>
      </c>
      <c r="T103" s="50">
        <v>141</v>
      </c>
      <c r="U103" s="50" t="s">
        <v>1051</v>
      </c>
      <c r="V103" s="56" t="s">
        <v>277</v>
      </c>
      <c r="W103" s="56" t="s">
        <v>1052</v>
      </c>
      <c r="X103" s="38" t="s">
        <v>1052</v>
      </c>
      <c r="Y103" s="60"/>
      <c r="Z103" s="60">
        <v>0</v>
      </c>
      <c r="AA103" s="60">
        <f>0+1245619267</f>
        <v>1245619267</v>
      </c>
      <c r="AB103" s="60">
        <f>Z103+AA103</f>
        <v>1245619267</v>
      </c>
      <c r="AC103" s="61" t="s">
        <v>1053</v>
      </c>
      <c r="AD103" s="61" t="s">
        <v>1054</v>
      </c>
      <c r="AE103" s="112">
        <v>1245619267</v>
      </c>
      <c r="AF103" s="112">
        <v>1245619267</v>
      </c>
      <c r="AG103" s="110">
        <f>$AR103+$AZ103+$BQ103+$BT103+$BU103+$BV103</f>
        <v>0</v>
      </c>
      <c r="AH103" s="121">
        <f>AF103-AG103</f>
        <v>1245619267</v>
      </c>
      <c r="AI103" s="39" t="s">
        <v>1055</v>
      </c>
      <c r="AJ103" s="198"/>
      <c r="AK103" s="198"/>
      <c r="AL103" s="42"/>
      <c r="AM103" s="68"/>
      <c r="AN103" s="68"/>
      <c r="AO103" s="68"/>
      <c r="AP103" s="68"/>
      <c r="AQ103" s="68">
        <v>0</v>
      </c>
      <c r="AR103" s="68">
        <v>0</v>
      </c>
      <c r="AS103" s="68" t="s">
        <v>307</v>
      </c>
      <c r="AT103" s="68"/>
      <c r="AU103" s="69"/>
      <c r="AV103" s="69"/>
      <c r="AW103" s="69"/>
      <c r="AX103" s="69"/>
      <c r="AY103" s="68">
        <v>0</v>
      </c>
      <c r="AZ103" s="68">
        <v>0</v>
      </c>
      <c r="BA103" s="68" t="s">
        <v>307</v>
      </c>
      <c r="BB103" s="68"/>
      <c r="BC103" s="69"/>
      <c r="BD103" s="69"/>
      <c r="BE103" s="56" t="s">
        <v>1056</v>
      </c>
      <c r="BF103" s="56" t="s">
        <v>1057</v>
      </c>
      <c r="BG103" s="56" t="s">
        <v>1058</v>
      </c>
      <c r="BH103" s="56" t="s">
        <v>296</v>
      </c>
      <c r="BI103" s="69">
        <v>1245619267</v>
      </c>
      <c r="BJ103" s="69">
        <v>1245619267</v>
      </c>
      <c r="BK103" s="69">
        <v>0</v>
      </c>
      <c r="BL103" s="69">
        <v>0</v>
      </c>
      <c r="BM103" s="69">
        <v>0</v>
      </c>
      <c r="BN103" s="69">
        <v>0</v>
      </c>
      <c r="BO103" s="69">
        <v>0</v>
      </c>
      <c r="BP103" s="69">
        <v>0</v>
      </c>
      <c r="BQ103" s="69"/>
      <c r="BR103" s="69" t="s">
        <v>384</v>
      </c>
      <c r="BS103" s="69" t="s">
        <v>1059</v>
      </c>
      <c r="BT103" s="68">
        <v>0</v>
      </c>
      <c r="BU103" s="68">
        <v>0</v>
      </c>
      <c r="BV103" s="68">
        <v>0</v>
      </c>
      <c r="BW103" s="94">
        <v>0</v>
      </c>
      <c r="BX103" s="94">
        <v>0</v>
      </c>
      <c r="BY103" s="94">
        <v>0</v>
      </c>
      <c r="BZ103" s="94">
        <v>1245619267</v>
      </c>
      <c r="CA103" s="94">
        <v>0</v>
      </c>
      <c r="CB103" s="94">
        <v>0</v>
      </c>
      <c r="CC103" s="94">
        <v>0</v>
      </c>
      <c r="CD103" s="94">
        <v>0</v>
      </c>
      <c r="CE103" s="94">
        <v>0</v>
      </c>
      <c r="CF103" s="108">
        <f>SUM(BT103:CE103)</f>
        <v>1245619267</v>
      </c>
      <c r="CG103" s="108">
        <f>$CF103-$AF103</f>
        <v>0</v>
      </c>
      <c r="CH103" s="37" t="s">
        <v>289</v>
      </c>
      <c r="CI103" s="37" t="s">
        <v>290</v>
      </c>
      <c r="CJ103" s="37" t="s">
        <v>277</v>
      </c>
      <c r="CK103" s="37" t="s">
        <v>290</v>
      </c>
      <c r="CL103" s="37" t="s">
        <v>277</v>
      </c>
      <c r="CM103" s="37" t="s">
        <v>277</v>
      </c>
      <c r="CN103" s="37" t="s">
        <v>290</v>
      </c>
      <c r="CO103" s="37" t="s">
        <v>277</v>
      </c>
      <c r="CP103" s="91" t="s">
        <v>277</v>
      </c>
      <c r="CQ103" s="91" t="s">
        <v>277</v>
      </c>
      <c r="CR103" s="87" t="s">
        <v>293</v>
      </c>
      <c r="CS103" s="37" t="s">
        <v>322</v>
      </c>
      <c r="CT103" s="37" t="s">
        <v>851</v>
      </c>
      <c r="CU103" s="88" t="s">
        <v>296</v>
      </c>
      <c r="CV103" s="37" t="s">
        <v>157</v>
      </c>
      <c r="CW103" s="45" t="s">
        <v>277</v>
      </c>
      <c r="CX103" s="45" t="s">
        <v>277</v>
      </c>
      <c r="CY103" s="45" t="s">
        <v>277</v>
      </c>
      <c r="CZ103" s="45" t="s">
        <v>277</v>
      </c>
      <c r="DA103" s="45" t="s">
        <v>277</v>
      </c>
      <c r="DB103" s="45" t="s">
        <v>277</v>
      </c>
      <c r="DC103" s="45" t="s">
        <v>277</v>
      </c>
      <c r="DD103" s="68">
        <v>0</v>
      </c>
      <c r="DE103" s="68">
        <v>0</v>
      </c>
      <c r="DF103" s="68">
        <v>0</v>
      </c>
      <c r="DG103" s="68">
        <v>0</v>
      </c>
      <c r="DH103" s="68">
        <v>0</v>
      </c>
      <c r="DI103" s="68">
        <v>0</v>
      </c>
      <c r="DJ103" s="68">
        <v>0</v>
      </c>
      <c r="DK103" s="68">
        <v>0</v>
      </c>
      <c r="DL103" s="68">
        <v>0</v>
      </c>
      <c r="DM103" s="68">
        <v>0</v>
      </c>
      <c r="DN103" s="68">
        <v>0</v>
      </c>
      <c r="DO103" s="68">
        <f>0+1245619267</f>
        <v>1245619267</v>
      </c>
      <c r="DP103" s="68">
        <f>SUM(DD103:DO103)</f>
        <v>1245619267</v>
      </c>
      <c r="DQ103" s="68">
        <f>DP103-AB103</f>
        <v>0</v>
      </c>
      <c r="DR103" s="68">
        <f>$DD103</f>
        <v>0</v>
      </c>
      <c r="DS103" s="68">
        <f>DR103+DE103</f>
        <v>0</v>
      </c>
      <c r="DT103" s="68">
        <f>DS103+DF103</f>
        <v>0</v>
      </c>
      <c r="DU103" s="68">
        <f>DT103+DG103</f>
        <v>0</v>
      </c>
      <c r="DV103" s="68">
        <f>DU103+DH103</f>
        <v>0</v>
      </c>
      <c r="DW103" s="68">
        <f>DV103+DI103</f>
        <v>0</v>
      </c>
      <c r="DX103" s="68">
        <f>DW103+DJ103</f>
        <v>0</v>
      </c>
      <c r="DY103" s="68">
        <f>DX103+DK103</f>
        <v>0</v>
      </c>
      <c r="DZ103" s="68">
        <f>DY103+DL103</f>
        <v>0</v>
      </c>
      <c r="EA103" s="68">
        <f>DZ103+DM103</f>
        <v>0</v>
      </c>
      <c r="EB103" s="68">
        <f>EA103+DN103</f>
        <v>0</v>
      </c>
      <c r="EC103" s="68">
        <f>EB103+DO103</f>
        <v>1245619267</v>
      </c>
      <c r="ED103" s="68">
        <f>$EC103-$AB103</f>
        <v>0</v>
      </c>
    </row>
    <row r="104" spans="1:134" ht="45">
      <c r="A104" s="74"/>
      <c r="B104" s="50">
        <v>13</v>
      </c>
      <c r="C104" s="50" t="s">
        <v>269</v>
      </c>
      <c r="D104" s="50" t="s">
        <v>297</v>
      </c>
      <c r="E104" s="50"/>
      <c r="F104" s="50" t="s">
        <v>272</v>
      </c>
      <c r="G104" s="50" t="s">
        <v>273</v>
      </c>
      <c r="H104" s="37" t="s">
        <v>151</v>
      </c>
      <c r="I104" s="37" t="s">
        <v>604</v>
      </c>
      <c r="J104" s="37" t="s">
        <v>852</v>
      </c>
      <c r="K104" s="50" t="s">
        <v>3</v>
      </c>
      <c r="L104" s="50" t="s">
        <v>14</v>
      </c>
      <c r="M104" s="50" t="s">
        <v>16</v>
      </c>
      <c r="N104" s="50" t="s">
        <v>276</v>
      </c>
      <c r="O104" s="37" t="s">
        <v>3</v>
      </c>
      <c r="P104" s="37" t="s">
        <v>14</v>
      </c>
      <c r="Q104" s="37" t="s">
        <v>16</v>
      </c>
      <c r="R104" s="37" t="s">
        <v>276</v>
      </c>
      <c r="S104" s="50" t="s">
        <v>1060</v>
      </c>
      <c r="T104" s="50" t="s">
        <v>1061</v>
      </c>
      <c r="U104" s="50" t="s">
        <v>1062</v>
      </c>
      <c r="V104" s="56" t="s">
        <v>1063</v>
      </c>
      <c r="W104" s="56" t="s">
        <v>1063</v>
      </c>
      <c r="X104" s="38" t="s">
        <v>1063</v>
      </c>
      <c r="Y104" s="60">
        <v>30463166251</v>
      </c>
      <c r="Z104" s="60">
        <v>0</v>
      </c>
      <c r="AA104" s="60"/>
      <c r="AB104" s="60">
        <f>Z104+AA104</f>
        <v>0</v>
      </c>
      <c r="AC104" s="61"/>
      <c r="AD104" s="61"/>
      <c r="AE104" s="40">
        <v>30463166251</v>
      </c>
      <c r="AF104" s="109">
        <v>1221000000</v>
      </c>
      <c r="AG104" s="108">
        <f>$AR104+$AZ104+$BQ104+$BT104+$BU104+$BV104</f>
        <v>37000000</v>
      </c>
      <c r="AH104" s="121">
        <f>AF104-AG104</f>
        <v>1184000000</v>
      </c>
      <c r="AI104" s="39" t="s">
        <v>1064</v>
      </c>
      <c r="AJ104" s="198"/>
      <c r="AK104" s="198"/>
      <c r="AL104" s="42"/>
      <c r="AM104" s="68"/>
      <c r="AN104" s="68"/>
      <c r="AO104" s="68"/>
      <c r="AP104" s="68"/>
      <c r="AQ104" s="68">
        <v>0</v>
      </c>
      <c r="AR104" s="68">
        <v>0</v>
      </c>
      <c r="AS104" s="68" t="s">
        <v>307</v>
      </c>
      <c r="AT104" s="68"/>
      <c r="AU104" s="69" t="s">
        <v>277</v>
      </c>
      <c r="AV104" s="69" t="s">
        <v>277</v>
      </c>
      <c r="AW104" s="69" t="s">
        <v>277</v>
      </c>
      <c r="AX104" s="69"/>
      <c r="AY104" s="68">
        <v>0</v>
      </c>
      <c r="AZ104" s="68">
        <v>0</v>
      </c>
      <c r="BA104" s="68" t="s">
        <v>307</v>
      </c>
      <c r="BB104" s="68"/>
      <c r="BC104" s="69" t="s">
        <v>797</v>
      </c>
      <c r="BD104" s="69" t="s">
        <v>277</v>
      </c>
      <c r="BE104" s="56" t="s">
        <v>277</v>
      </c>
      <c r="BF104" s="56" t="s">
        <v>277</v>
      </c>
      <c r="BG104" s="56" t="s">
        <v>277</v>
      </c>
      <c r="BH104" s="56" t="s">
        <v>277</v>
      </c>
      <c r="BI104" s="69">
        <v>0</v>
      </c>
      <c r="BJ104" s="69">
        <v>0</v>
      </c>
      <c r="BK104" s="69">
        <v>0</v>
      </c>
      <c r="BL104" s="69">
        <v>0</v>
      </c>
      <c r="BM104" s="69">
        <v>0</v>
      </c>
      <c r="BN104" s="69">
        <v>0</v>
      </c>
      <c r="BO104" s="69">
        <v>0</v>
      </c>
      <c r="BP104" s="69">
        <v>0</v>
      </c>
      <c r="BQ104" s="69">
        <f>$BJ104</f>
        <v>0</v>
      </c>
      <c r="BR104" s="69" t="s">
        <v>1065</v>
      </c>
      <c r="BS104" s="69" t="s">
        <v>798</v>
      </c>
      <c r="BT104" s="68">
        <v>37000000</v>
      </c>
      <c r="BU104" s="68">
        <v>0</v>
      </c>
      <c r="BV104" s="68">
        <v>0</v>
      </c>
      <c r="BW104" s="109">
        <v>0</v>
      </c>
      <c r="BX104" s="109">
        <v>0</v>
      </c>
      <c r="BY104" s="109">
        <v>1217670000</v>
      </c>
      <c r="BZ104" s="109">
        <v>0</v>
      </c>
      <c r="CA104" s="109">
        <v>0</v>
      </c>
      <c r="CB104" s="109">
        <v>0</v>
      </c>
      <c r="CC104" s="109">
        <v>0</v>
      </c>
      <c r="CD104" s="109">
        <v>0</v>
      </c>
      <c r="CE104" s="109">
        <v>1221000000</v>
      </c>
      <c r="CF104" s="108">
        <f>SUM(BT104:CE104)</f>
        <v>2475670000</v>
      </c>
      <c r="CG104" s="108">
        <f>$CF104-$AF104</f>
        <v>1254670000</v>
      </c>
      <c r="CH104" s="37" t="s">
        <v>289</v>
      </c>
      <c r="CI104" s="37" t="s">
        <v>290</v>
      </c>
      <c r="CJ104" s="37" t="s">
        <v>277</v>
      </c>
      <c r="CK104" s="37" t="s">
        <v>290</v>
      </c>
      <c r="CL104" s="37" t="s">
        <v>277</v>
      </c>
      <c r="CM104" s="37" t="s">
        <v>277</v>
      </c>
      <c r="CN104" s="37" t="s">
        <v>290</v>
      </c>
      <c r="CO104" s="37" t="s">
        <v>275</v>
      </c>
      <c r="CP104" s="41">
        <v>46023</v>
      </c>
      <c r="CQ104" s="41">
        <v>46387</v>
      </c>
      <c r="CR104" s="37" t="s">
        <v>293</v>
      </c>
      <c r="CS104" s="37" t="s">
        <v>322</v>
      </c>
      <c r="CT104" s="37" t="s">
        <v>295</v>
      </c>
      <c r="CU104" s="37" t="s">
        <v>341</v>
      </c>
      <c r="CV104" s="37" t="s">
        <v>382</v>
      </c>
      <c r="CW104" s="37">
        <v>4200002595</v>
      </c>
      <c r="CX104" s="37" t="s">
        <v>1066</v>
      </c>
      <c r="CY104" s="124">
        <v>146397900000</v>
      </c>
      <c r="CZ104" s="123">
        <v>45017</v>
      </c>
      <c r="DA104" s="123">
        <v>46478</v>
      </c>
      <c r="DB104" s="37" t="s">
        <v>277</v>
      </c>
      <c r="DC104" s="37" t="s">
        <v>485</v>
      </c>
      <c r="DD104" s="68">
        <v>0</v>
      </c>
      <c r="DE104" s="68">
        <v>0</v>
      </c>
      <c r="DF104" s="68">
        <v>0</v>
      </c>
      <c r="DG104" s="68">
        <v>0</v>
      </c>
      <c r="DH104" s="68">
        <v>0</v>
      </c>
      <c r="DI104" s="68">
        <v>0</v>
      </c>
      <c r="DJ104" s="68">
        <v>0</v>
      </c>
      <c r="DK104" s="68">
        <v>0</v>
      </c>
      <c r="DL104" s="68">
        <v>0</v>
      </c>
      <c r="DM104" s="68">
        <v>0</v>
      </c>
      <c r="DN104" s="68">
        <v>0</v>
      </c>
      <c r="DO104" s="68">
        <v>0</v>
      </c>
      <c r="DP104" s="68">
        <f>SUM(DD104:DO104)</f>
        <v>0</v>
      </c>
      <c r="DQ104" s="68">
        <f>DP104-AB104</f>
        <v>0</v>
      </c>
      <c r="DR104" s="68">
        <f>$DD104</f>
        <v>0</v>
      </c>
      <c r="DS104" s="68">
        <f>DR104+DE104</f>
        <v>0</v>
      </c>
      <c r="DT104" s="68">
        <f>DS104+DF104</f>
        <v>0</v>
      </c>
      <c r="DU104" s="68">
        <f>DT104+DG104</f>
        <v>0</v>
      </c>
      <c r="DV104" s="68">
        <f>DU104+DH104</f>
        <v>0</v>
      </c>
      <c r="DW104" s="68">
        <f>DV104+DI104</f>
        <v>0</v>
      </c>
      <c r="DX104" s="68">
        <f>DW104+DJ104</f>
        <v>0</v>
      </c>
      <c r="DY104" s="68">
        <f>DX104+DK104</f>
        <v>0</v>
      </c>
      <c r="DZ104" s="68">
        <f>DY104+DL104</f>
        <v>0</v>
      </c>
      <c r="EA104" s="68">
        <f>DZ104+DM104</f>
        <v>0</v>
      </c>
      <c r="EB104" s="68">
        <f>EA104+DN104</f>
        <v>0</v>
      </c>
      <c r="EC104" s="68">
        <f>EB104+DO104</f>
        <v>0</v>
      </c>
      <c r="ED104" s="68">
        <f>$EC104-$AB104</f>
        <v>0</v>
      </c>
    </row>
    <row r="105" spans="1:134" ht="45">
      <c r="A105" s="74"/>
      <c r="B105" s="50">
        <v>143</v>
      </c>
      <c r="C105" s="50" t="s">
        <v>269</v>
      </c>
      <c r="D105" s="50" t="s">
        <v>297</v>
      </c>
      <c r="E105" s="50"/>
      <c r="F105" s="50" t="s">
        <v>272</v>
      </c>
      <c r="G105" s="50" t="s">
        <v>273</v>
      </c>
      <c r="H105" s="37" t="s">
        <v>151</v>
      </c>
      <c r="I105" s="37" t="s">
        <v>604</v>
      </c>
      <c r="J105" s="37" t="s">
        <v>605</v>
      </c>
      <c r="K105" s="50" t="s">
        <v>3</v>
      </c>
      <c r="L105" s="50" t="s">
        <v>25</v>
      </c>
      <c r="M105" s="50" t="s">
        <v>52</v>
      </c>
      <c r="N105" s="50" t="s">
        <v>276</v>
      </c>
      <c r="O105" s="37" t="s">
        <v>3</v>
      </c>
      <c r="P105" s="37" t="s">
        <v>25</v>
      </c>
      <c r="Q105" s="37" t="s">
        <v>52</v>
      </c>
      <c r="R105" s="37" t="s">
        <v>512</v>
      </c>
      <c r="S105" s="50" t="s">
        <v>1067</v>
      </c>
      <c r="T105" s="50" t="s">
        <v>1068</v>
      </c>
      <c r="U105" s="50" t="s">
        <v>1069</v>
      </c>
      <c r="V105" s="56" t="s">
        <v>1070</v>
      </c>
      <c r="W105" s="56" t="s">
        <v>1070</v>
      </c>
      <c r="X105" s="38" t="s">
        <v>1070</v>
      </c>
      <c r="Y105" s="60">
        <v>3699474600</v>
      </c>
      <c r="Z105" s="60">
        <v>1152180000</v>
      </c>
      <c r="AA105" s="60"/>
      <c r="AB105" s="60">
        <f>Z105+AA105</f>
        <v>1152180000</v>
      </c>
      <c r="AC105" s="61"/>
      <c r="AD105" s="61"/>
      <c r="AE105" s="109">
        <v>3699474600</v>
      </c>
      <c r="AF105" s="109">
        <v>1152180000</v>
      </c>
      <c r="AG105" s="108">
        <f>$AR105+$AZ105+$BQ105+$BT105+$BU105+$BV105</f>
        <v>0</v>
      </c>
      <c r="AH105" s="121">
        <f>AF105-AG105</f>
        <v>1152180000</v>
      </c>
      <c r="AI105" s="39" t="s">
        <v>1071</v>
      </c>
      <c r="AJ105" s="200"/>
      <c r="AK105" s="200"/>
      <c r="AL105" s="39"/>
      <c r="AM105" s="68"/>
      <c r="AN105" s="68"/>
      <c r="AO105" s="68"/>
      <c r="AP105" s="68"/>
      <c r="AQ105" s="68">
        <v>0</v>
      </c>
      <c r="AR105" s="68">
        <v>0</v>
      </c>
      <c r="AS105" s="68" t="s">
        <v>307</v>
      </c>
      <c r="AT105" s="68"/>
      <c r="AU105" s="69" t="s">
        <v>277</v>
      </c>
      <c r="AV105" s="69" t="s">
        <v>277</v>
      </c>
      <c r="AW105" s="69" t="s">
        <v>277</v>
      </c>
      <c r="AX105" s="69"/>
      <c r="AY105" s="68">
        <v>0</v>
      </c>
      <c r="AZ105" s="68">
        <v>0</v>
      </c>
      <c r="BA105" s="68" t="s">
        <v>307</v>
      </c>
      <c r="BB105" s="68"/>
      <c r="BC105" s="69" t="s">
        <v>1072</v>
      </c>
      <c r="BD105" s="69" t="s">
        <v>277</v>
      </c>
      <c r="BE105" s="56" t="s">
        <v>277</v>
      </c>
      <c r="BF105" s="56" t="s">
        <v>277</v>
      </c>
      <c r="BG105" s="56" t="s">
        <v>277</v>
      </c>
      <c r="BH105" s="56" t="s">
        <v>277</v>
      </c>
      <c r="BI105" s="69">
        <v>0</v>
      </c>
      <c r="BJ105" s="69">
        <v>0</v>
      </c>
      <c r="BK105" s="69">
        <v>0</v>
      </c>
      <c r="BL105" s="69">
        <v>0</v>
      </c>
      <c r="BM105" s="69">
        <v>0</v>
      </c>
      <c r="BN105" s="69">
        <v>0</v>
      </c>
      <c r="BO105" s="69">
        <v>0</v>
      </c>
      <c r="BP105" s="69">
        <v>0</v>
      </c>
      <c r="BQ105" s="69"/>
      <c r="BR105" s="69" t="s">
        <v>156</v>
      </c>
      <c r="BS105" s="69" t="s">
        <v>1073</v>
      </c>
      <c r="BT105" s="68">
        <v>0</v>
      </c>
      <c r="BU105" s="68">
        <v>0</v>
      </c>
      <c r="BV105" s="68"/>
      <c r="BW105" s="94">
        <v>0</v>
      </c>
      <c r="BX105" s="94">
        <v>0</v>
      </c>
      <c r="BY105" s="94">
        <v>0</v>
      </c>
      <c r="BZ105" s="94">
        <v>0</v>
      </c>
      <c r="CA105" s="94">
        <v>0</v>
      </c>
      <c r="CB105" s="94">
        <v>0</v>
      </c>
      <c r="CC105" s="94">
        <v>0</v>
      </c>
      <c r="CD105" s="94">
        <v>0</v>
      </c>
      <c r="CE105" s="109">
        <v>1152180000</v>
      </c>
      <c r="CF105" s="108">
        <f>SUM(BT105:CE105)</f>
        <v>1152180000</v>
      </c>
      <c r="CG105" s="108">
        <f>$CF105-$AF105</f>
        <v>0</v>
      </c>
      <c r="CH105" s="37" t="s">
        <v>289</v>
      </c>
      <c r="CI105" s="37" t="s">
        <v>290</v>
      </c>
      <c r="CJ105" s="37" t="s">
        <v>277</v>
      </c>
      <c r="CK105" s="37" t="s">
        <v>290</v>
      </c>
      <c r="CL105" s="37" t="s">
        <v>277</v>
      </c>
      <c r="CM105" s="37" t="s">
        <v>277</v>
      </c>
      <c r="CN105" s="37" t="s">
        <v>291</v>
      </c>
      <c r="CO105" s="37" t="s">
        <v>893</v>
      </c>
      <c r="CP105" s="41">
        <v>45476</v>
      </c>
      <c r="CQ105" s="41">
        <v>46570</v>
      </c>
      <c r="CR105" s="37" t="s">
        <v>293</v>
      </c>
      <c r="CS105" s="37" t="s">
        <v>454</v>
      </c>
      <c r="CT105" s="37" t="s">
        <v>295</v>
      </c>
      <c r="CU105" s="37" t="s">
        <v>341</v>
      </c>
      <c r="CV105" s="37" t="s">
        <v>337</v>
      </c>
      <c r="CW105" s="37" t="s">
        <v>1074</v>
      </c>
      <c r="CX105" s="37" t="s">
        <v>1070</v>
      </c>
      <c r="CY105" s="37">
        <v>3699474600</v>
      </c>
      <c r="CZ105" s="123">
        <v>45444</v>
      </c>
      <c r="DA105" s="123">
        <v>46357</v>
      </c>
      <c r="DB105" s="37" t="s">
        <v>277</v>
      </c>
      <c r="DC105" s="37" t="s">
        <v>987</v>
      </c>
      <c r="DD105" s="68">
        <v>0</v>
      </c>
      <c r="DE105" s="68">
        <v>0</v>
      </c>
      <c r="DF105" s="68">
        <v>0</v>
      </c>
      <c r="DG105" s="68">
        <v>0</v>
      </c>
      <c r="DH105" s="68">
        <v>1152180000</v>
      </c>
      <c r="DI105" s="68">
        <v>0</v>
      </c>
      <c r="DJ105" s="68">
        <v>0</v>
      </c>
      <c r="DK105" s="68">
        <v>0</v>
      </c>
      <c r="DL105" s="68">
        <v>0</v>
      </c>
      <c r="DM105" s="68">
        <v>0</v>
      </c>
      <c r="DN105" s="68">
        <v>0</v>
      </c>
      <c r="DO105" s="68">
        <v>0</v>
      </c>
      <c r="DP105" s="68">
        <f>SUM(DD105:DO105)</f>
        <v>1152180000</v>
      </c>
      <c r="DQ105" s="68">
        <f>DP105-AB105</f>
        <v>0</v>
      </c>
      <c r="DR105" s="68">
        <f>$DD105</f>
        <v>0</v>
      </c>
      <c r="DS105" s="68">
        <f>DR105+DE105</f>
        <v>0</v>
      </c>
      <c r="DT105" s="68">
        <f>DS105+DF105</f>
        <v>0</v>
      </c>
      <c r="DU105" s="68">
        <f>DT105+DG105</f>
        <v>0</v>
      </c>
      <c r="DV105" s="68">
        <f>DU105+DH105</f>
        <v>1152180000</v>
      </c>
      <c r="DW105" s="68">
        <f>DV105+DI105</f>
        <v>1152180000</v>
      </c>
      <c r="DX105" s="68">
        <f>DW105+DJ105</f>
        <v>1152180000</v>
      </c>
      <c r="DY105" s="68">
        <f>DX105+DK105</f>
        <v>1152180000</v>
      </c>
      <c r="DZ105" s="68">
        <f>DY105+DL105</f>
        <v>1152180000</v>
      </c>
      <c r="EA105" s="68">
        <f>DZ105+DM105</f>
        <v>1152180000</v>
      </c>
      <c r="EB105" s="68">
        <f>EA105+DN105</f>
        <v>1152180000</v>
      </c>
      <c r="EC105" s="68">
        <f>EB105+DO105</f>
        <v>1152180000</v>
      </c>
      <c r="ED105" s="68">
        <f>$EC105-$AB105</f>
        <v>0</v>
      </c>
    </row>
    <row r="106" spans="1:134" ht="30">
      <c r="A106" s="74"/>
      <c r="B106" s="50">
        <v>94</v>
      </c>
      <c r="C106" s="50" t="s">
        <v>269</v>
      </c>
      <c r="D106" s="50" t="s">
        <v>297</v>
      </c>
      <c r="E106" s="50"/>
      <c r="F106" s="50" t="s">
        <v>272</v>
      </c>
      <c r="G106" s="50" t="s">
        <v>273</v>
      </c>
      <c r="H106" s="37" t="s">
        <v>151</v>
      </c>
      <c r="I106" s="37" t="s">
        <v>497</v>
      </c>
      <c r="J106" s="37" t="s">
        <v>1075</v>
      </c>
      <c r="K106" s="50" t="s">
        <v>3</v>
      </c>
      <c r="L106" s="50" t="s">
        <v>14</v>
      </c>
      <c r="M106" s="50" t="s">
        <v>16</v>
      </c>
      <c r="N106" s="50" t="s">
        <v>276</v>
      </c>
      <c r="O106" s="37" t="s">
        <v>3</v>
      </c>
      <c r="P106" s="37" t="s">
        <v>14</v>
      </c>
      <c r="Q106" s="37" t="s">
        <v>16</v>
      </c>
      <c r="R106" s="37" t="s">
        <v>276</v>
      </c>
      <c r="S106" s="50" t="s">
        <v>1076</v>
      </c>
      <c r="T106" s="50" t="s">
        <v>1077</v>
      </c>
      <c r="U106" s="50" t="s">
        <v>1078</v>
      </c>
      <c r="V106" s="56" t="s">
        <v>1079</v>
      </c>
      <c r="W106" s="56" t="s">
        <v>1079</v>
      </c>
      <c r="X106" s="38" t="s">
        <v>1079</v>
      </c>
      <c r="Y106" s="60">
        <v>10105105000</v>
      </c>
      <c r="Z106" s="60">
        <v>1105105000</v>
      </c>
      <c r="AA106" s="60"/>
      <c r="AB106" s="60">
        <f>Z106+AA106</f>
        <v>1105105000</v>
      </c>
      <c r="AC106" s="61"/>
      <c r="AD106" s="61"/>
      <c r="AE106" s="109">
        <v>10105105000</v>
      </c>
      <c r="AF106" s="109">
        <v>1105105000</v>
      </c>
      <c r="AG106" s="108">
        <f>$AR106+$AZ106+$BQ106+$BT106+$BU106+$BV106</f>
        <v>0</v>
      </c>
      <c r="AH106" s="121">
        <f>AF106-AG106</f>
        <v>1105105000</v>
      </c>
      <c r="AI106" s="39" t="s">
        <v>1080</v>
      </c>
      <c r="AJ106" s="198"/>
      <c r="AK106" s="198"/>
      <c r="AL106" s="42"/>
      <c r="AM106" s="68"/>
      <c r="AN106" s="68"/>
      <c r="AO106" s="68"/>
      <c r="AP106" s="68"/>
      <c r="AQ106" s="68">
        <v>0</v>
      </c>
      <c r="AR106" s="68">
        <v>0</v>
      </c>
      <c r="AS106" s="68" t="s">
        <v>307</v>
      </c>
      <c r="AT106" s="68"/>
      <c r="AU106" s="69" t="s">
        <v>277</v>
      </c>
      <c r="AV106" s="69" t="s">
        <v>277</v>
      </c>
      <c r="AW106" s="69" t="s">
        <v>277</v>
      </c>
      <c r="AX106" s="69"/>
      <c r="AY106" s="68">
        <v>0</v>
      </c>
      <c r="AZ106" s="68">
        <v>0</v>
      </c>
      <c r="BA106" s="68" t="s">
        <v>307</v>
      </c>
      <c r="BB106" s="68"/>
      <c r="BC106" s="69" t="s">
        <v>1081</v>
      </c>
      <c r="BD106" s="69" t="s">
        <v>277</v>
      </c>
      <c r="BE106" s="56" t="s">
        <v>277</v>
      </c>
      <c r="BF106" s="56" t="s">
        <v>277</v>
      </c>
      <c r="BG106" s="56" t="s">
        <v>277</v>
      </c>
      <c r="BH106" s="56" t="s">
        <v>277</v>
      </c>
      <c r="BI106" s="69">
        <v>0</v>
      </c>
      <c r="BJ106" s="69">
        <v>0</v>
      </c>
      <c r="BK106" s="69">
        <v>0</v>
      </c>
      <c r="BL106" s="69">
        <v>0</v>
      </c>
      <c r="BM106" s="69">
        <v>0</v>
      </c>
      <c r="BN106" s="69">
        <v>0</v>
      </c>
      <c r="BO106" s="69">
        <v>0</v>
      </c>
      <c r="BP106" s="69">
        <v>0</v>
      </c>
      <c r="BQ106" s="69"/>
      <c r="BR106" s="69" t="s">
        <v>382</v>
      </c>
      <c r="BS106" s="69" t="s">
        <v>1082</v>
      </c>
      <c r="BT106" s="68">
        <v>0</v>
      </c>
      <c r="BU106" s="68">
        <v>0</v>
      </c>
      <c r="BV106" s="68">
        <v>0</v>
      </c>
      <c r="BW106" s="94">
        <v>0</v>
      </c>
      <c r="BX106" s="94">
        <v>0</v>
      </c>
      <c r="BY106" s="94">
        <v>0</v>
      </c>
      <c r="BZ106" s="94">
        <v>0</v>
      </c>
      <c r="CA106" s="94">
        <v>0</v>
      </c>
      <c r="CB106" s="94">
        <v>0</v>
      </c>
      <c r="CC106" s="94">
        <v>0</v>
      </c>
      <c r="CD106" s="109">
        <v>1105105000</v>
      </c>
      <c r="CE106" s="94">
        <v>0</v>
      </c>
      <c r="CF106" s="108">
        <f>SUM(BT106:CE106)</f>
        <v>1105105000</v>
      </c>
      <c r="CG106" s="108">
        <f>$CF106-$AF106</f>
        <v>0</v>
      </c>
      <c r="CH106" s="37" t="s">
        <v>289</v>
      </c>
      <c r="CI106" s="37" t="s">
        <v>290</v>
      </c>
      <c r="CJ106" s="37" t="s">
        <v>277</v>
      </c>
      <c r="CK106" s="37" t="s">
        <v>290</v>
      </c>
      <c r="CL106" s="37" t="s">
        <v>277</v>
      </c>
      <c r="CM106" s="37" t="s">
        <v>277</v>
      </c>
      <c r="CN106" s="37" t="s">
        <v>290</v>
      </c>
      <c r="CO106" s="37" t="s">
        <v>277</v>
      </c>
      <c r="CP106" s="41">
        <v>45658</v>
      </c>
      <c r="CQ106" s="41">
        <v>46357</v>
      </c>
      <c r="CR106" s="37" t="s">
        <v>577</v>
      </c>
      <c r="CS106" s="37" t="s">
        <v>454</v>
      </c>
      <c r="CT106" s="37" t="s">
        <v>524</v>
      </c>
      <c r="CU106" s="37" t="s">
        <v>341</v>
      </c>
      <c r="CV106" s="37" t="s">
        <v>382</v>
      </c>
      <c r="CW106" s="37" t="s">
        <v>1083</v>
      </c>
      <c r="CX106" s="37" t="s">
        <v>1084</v>
      </c>
      <c r="CY106" s="37">
        <v>0</v>
      </c>
      <c r="CZ106" s="123">
        <v>45658</v>
      </c>
      <c r="DA106" s="123">
        <v>46023</v>
      </c>
      <c r="DB106" s="37" t="s">
        <v>509</v>
      </c>
      <c r="DC106" s="37" t="s">
        <v>537</v>
      </c>
      <c r="DD106" s="68">
        <v>0</v>
      </c>
      <c r="DE106" s="68">
        <v>0</v>
      </c>
      <c r="DF106" s="68">
        <v>1105105000</v>
      </c>
      <c r="DG106" s="68">
        <v>0</v>
      </c>
      <c r="DH106" s="68">
        <v>0</v>
      </c>
      <c r="DI106" s="68">
        <v>0</v>
      </c>
      <c r="DJ106" s="68">
        <v>0</v>
      </c>
      <c r="DK106" s="68">
        <v>0</v>
      </c>
      <c r="DL106" s="68">
        <v>0</v>
      </c>
      <c r="DM106" s="68">
        <v>0</v>
      </c>
      <c r="DN106" s="68">
        <v>0</v>
      </c>
      <c r="DO106" s="68">
        <v>0</v>
      </c>
      <c r="DP106" s="68">
        <f>SUM(DD106:DO106)</f>
        <v>1105105000</v>
      </c>
      <c r="DQ106" s="68">
        <f>DP106-AB106</f>
        <v>0</v>
      </c>
      <c r="DR106" s="68">
        <f>$DD106</f>
        <v>0</v>
      </c>
      <c r="DS106" s="68">
        <f>DR106+DE106</f>
        <v>0</v>
      </c>
      <c r="DT106" s="68">
        <f>DS106+DF106</f>
        <v>1105105000</v>
      </c>
      <c r="DU106" s="68">
        <f>DT106+DG106</f>
        <v>1105105000</v>
      </c>
      <c r="DV106" s="68">
        <f>DU106+DH106</f>
        <v>1105105000</v>
      </c>
      <c r="DW106" s="68">
        <f>DV106+DI106</f>
        <v>1105105000</v>
      </c>
      <c r="DX106" s="68">
        <f>DW106+DJ106</f>
        <v>1105105000</v>
      </c>
      <c r="DY106" s="68">
        <f>DX106+DK106</f>
        <v>1105105000</v>
      </c>
      <c r="DZ106" s="68">
        <f>DY106+DL106</f>
        <v>1105105000</v>
      </c>
      <c r="EA106" s="68">
        <f>DZ106+DM106</f>
        <v>1105105000</v>
      </c>
      <c r="EB106" s="68">
        <f>EA106+DN106</f>
        <v>1105105000</v>
      </c>
      <c r="EC106" s="68">
        <f>EB106+DO106</f>
        <v>1105105000</v>
      </c>
      <c r="ED106" s="68">
        <f>$EC106-$AB106</f>
        <v>0</v>
      </c>
    </row>
    <row r="107" spans="1:134" ht="45">
      <c r="A107" s="74"/>
      <c r="B107" s="50">
        <v>89</v>
      </c>
      <c r="C107" s="50" t="s">
        <v>269</v>
      </c>
      <c r="D107" s="50" t="s">
        <v>297</v>
      </c>
      <c r="E107" s="50"/>
      <c r="F107" s="50" t="s">
        <v>1085</v>
      </c>
      <c r="G107" s="50" t="s">
        <v>273</v>
      </c>
      <c r="H107" s="37" t="s">
        <v>151</v>
      </c>
      <c r="I107" s="37" t="s">
        <v>424</v>
      </c>
      <c r="J107" s="37" t="s">
        <v>1086</v>
      </c>
      <c r="K107" s="50" t="s">
        <v>3</v>
      </c>
      <c r="L107" s="50" t="s">
        <v>14</v>
      </c>
      <c r="M107" s="50" t="s">
        <v>16</v>
      </c>
      <c r="N107" s="50" t="s">
        <v>276</v>
      </c>
      <c r="O107" s="37" t="s">
        <v>3</v>
      </c>
      <c r="P107" s="37" t="s">
        <v>14</v>
      </c>
      <c r="Q107" s="37" t="s">
        <v>16</v>
      </c>
      <c r="R107" s="37" t="s">
        <v>276</v>
      </c>
      <c r="S107" s="50" t="s">
        <v>1087</v>
      </c>
      <c r="T107" s="50" t="s">
        <v>1088</v>
      </c>
      <c r="U107" s="50" t="s">
        <v>1089</v>
      </c>
      <c r="V107" s="56" t="s">
        <v>1090</v>
      </c>
      <c r="W107" s="56" t="s">
        <v>1090</v>
      </c>
      <c r="X107" s="38" t="s">
        <v>1090</v>
      </c>
      <c r="Y107" s="60">
        <v>1328777647</v>
      </c>
      <c r="Z107" s="60">
        <v>0</v>
      </c>
      <c r="AA107" s="60"/>
      <c r="AB107" s="60">
        <f>Z107+AA107</f>
        <v>0</v>
      </c>
      <c r="AC107" s="61"/>
      <c r="AD107" s="61"/>
      <c r="AE107" s="109">
        <v>1102885447</v>
      </c>
      <c r="AF107" s="109">
        <v>1102885447</v>
      </c>
      <c r="AG107" s="108">
        <f>$AR107+$AZ107+$BQ107+$BT107+$BU107+$BV107</f>
        <v>1102885447</v>
      </c>
      <c r="AH107" s="121">
        <f>AF107-AG107</f>
        <v>0</v>
      </c>
      <c r="AI107" s="39" t="s">
        <v>277</v>
      </c>
      <c r="AJ107" s="200"/>
      <c r="AK107" s="200"/>
      <c r="AL107" s="39"/>
      <c r="AM107" s="68"/>
      <c r="AN107" s="68"/>
      <c r="AO107" s="68"/>
      <c r="AP107" s="68"/>
      <c r="AQ107" s="68">
        <v>0</v>
      </c>
      <c r="AR107" s="68">
        <v>0</v>
      </c>
      <c r="AS107" s="68" t="s">
        <v>307</v>
      </c>
      <c r="AT107" s="68"/>
      <c r="AU107" s="69" t="s">
        <v>1091</v>
      </c>
      <c r="AV107" s="69" t="s">
        <v>1092</v>
      </c>
      <c r="AW107" s="69" t="s">
        <v>1093</v>
      </c>
      <c r="AX107" s="69"/>
      <c r="AY107" s="68">
        <v>1102885447</v>
      </c>
      <c r="AZ107" s="68">
        <v>1102885447</v>
      </c>
      <c r="BA107" s="68" t="s">
        <v>307</v>
      </c>
      <c r="BB107" s="68"/>
      <c r="BC107" s="69" t="s">
        <v>277</v>
      </c>
      <c r="BD107" s="69" t="s">
        <v>277</v>
      </c>
      <c r="BE107" s="56" t="s">
        <v>277</v>
      </c>
      <c r="BF107" s="56" t="s">
        <v>277</v>
      </c>
      <c r="BG107" s="56" t="s">
        <v>277</v>
      </c>
      <c r="BH107" s="56" t="s">
        <v>277</v>
      </c>
      <c r="BI107" s="69">
        <v>0</v>
      </c>
      <c r="BJ107" s="69">
        <v>0</v>
      </c>
      <c r="BK107" s="69">
        <v>0</v>
      </c>
      <c r="BL107" s="69">
        <v>0</v>
      </c>
      <c r="BM107" s="69">
        <v>0</v>
      </c>
      <c r="BN107" s="69">
        <v>0</v>
      </c>
      <c r="BO107" s="69">
        <v>0</v>
      </c>
      <c r="BP107" s="69">
        <v>0</v>
      </c>
      <c r="BQ107" s="69"/>
      <c r="BR107" s="103" t="s">
        <v>643</v>
      </c>
      <c r="BS107" s="69" t="s">
        <v>798</v>
      </c>
      <c r="BT107" s="68">
        <v>0</v>
      </c>
      <c r="BU107" s="68">
        <v>0</v>
      </c>
      <c r="BV107" s="68">
        <v>0</v>
      </c>
      <c r="BW107" s="94">
        <v>0</v>
      </c>
      <c r="BX107" s="94">
        <v>0</v>
      </c>
      <c r="BY107" s="94">
        <v>199316647</v>
      </c>
      <c r="BZ107" s="94">
        <v>0</v>
      </c>
      <c r="CA107" s="94">
        <v>0</v>
      </c>
      <c r="CB107" s="109">
        <v>0</v>
      </c>
      <c r="CC107" s="109">
        <v>0</v>
      </c>
      <c r="CD107" s="109">
        <v>803910476.5</v>
      </c>
      <c r="CE107" s="109">
        <v>99658323.5</v>
      </c>
      <c r="CF107" s="108">
        <f>SUM(BT107:CE107)</f>
        <v>1102885447</v>
      </c>
      <c r="CG107" s="108">
        <f>$CF107-$AF107</f>
        <v>0</v>
      </c>
      <c r="CH107" s="37" t="s">
        <v>289</v>
      </c>
      <c r="CI107" s="37" t="s">
        <v>290</v>
      </c>
      <c r="CJ107" s="37" t="s">
        <v>277</v>
      </c>
      <c r="CK107" s="37" t="s">
        <v>290</v>
      </c>
      <c r="CL107" s="37" t="s">
        <v>277</v>
      </c>
      <c r="CM107" s="37" t="s">
        <v>277</v>
      </c>
      <c r="CN107" s="37" t="s">
        <v>290</v>
      </c>
      <c r="CO107" s="37" t="s">
        <v>277</v>
      </c>
      <c r="CP107" s="41">
        <v>45992</v>
      </c>
      <c r="CQ107" s="41">
        <v>45901</v>
      </c>
      <c r="CR107" s="37" t="s">
        <v>293</v>
      </c>
      <c r="CS107" s="37" t="s">
        <v>454</v>
      </c>
      <c r="CT107" s="37" t="s">
        <v>295</v>
      </c>
      <c r="CU107" s="37" t="s">
        <v>296</v>
      </c>
      <c r="CV107" s="37" t="s">
        <v>323</v>
      </c>
      <c r="CW107" s="37" t="s">
        <v>277</v>
      </c>
      <c r="CX107" s="37" t="s">
        <v>277</v>
      </c>
      <c r="CY107" s="37">
        <v>0</v>
      </c>
      <c r="CZ107" s="123" t="s">
        <v>277</v>
      </c>
      <c r="DA107" s="123" t="s">
        <v>277</v>
      </c>
      <c r="DB107" s="37" t="s">
        <v>1094</v>
      </c>
      <c r="DC107" s="37" t="s">
        <v>277</v>
      </c>
      <c r="DD107" s="68">
        <v>0</v>
      </c>
      <c r="DE107" s="68">
        <v>0</v>
      </c>
      <c r="DF107" s="68">
        <v>0</v>
      </c>
      <c r="DG107" s="68">
        <v>0</v>
      </c>
      <c r="DH107" s="68">
        <v>0</v>
      </c>
      <c r="DI107" s="68">
        <v>0</v>
      </c>
      <c r="DJ107" s="68">
        <v>0</v>
      </c>
      <c r="DK107" s="68">
        <v>0</v>
      </c>
      <c r="DL107" s="68">
        <v>0</v>
      </c>
      <c r="DM107" s="68">
        <v>0</v>
      </c>
      <c r="DN107" s="68">
        <v>0</v>
      </c>
      <c r="DO107" s="68">
        <v>0</v>
      </c>
      <c r="DP107" s="68">
        <f>SUM(DD107:DO107)</f>
        <v>0</v>
      </c>
      <c r="DQ107" s="68">
        <f>DP107-AB107</f>
        <v>0</v>
      </c>
      <c r="DR107" s="68">
        <f>$DD107</f>
        <v>0</v>
      </c>
      <c r="DS107" s="68">
        <f>DR107+DE107</f>
        <v>0</v>
      </c>
      <c r="DT107" s="68">
        <f>DS107+DF107</f>
        <v>0</v>
      </c>
      <c r="DU107" s="68">
        <f>DT107+DG107</f>
        <v>0</v>
      </c>
      <c r="DV107" s="68">
        <f>DU107+DH107</f>
        <v>0</v>
      </c>
      <c r="DW107" s="68">
        <f>DV107+DI107</f>
        <v>0</v>
      </c>
      <c r="DX107" s="68">
        <f>DW107+DJ107</f>
        <v>0</v>
      </c>
      <c r="DY107" s="68">
        <f>DX107+DK107</f>
        <v>0</v>
      </c>
      <c r="DZ107" s="68">
        <f>DY107+DL107</f>
        <v>0</v>
      </c>
      <c r="EA107" s="68">
        <f>DZ107+DM107</f>
        <v>0</v>
      </c>
      <c r="EB107" s="68">
        <f>EA107+DN107</f>
        <v>0</v>
      </c>
      <c r="EC107" s="68">
        <f>EB107+DO107</f>
        <v>0</v>
      </c>
      <c r="ED107" s="68">
        <f>$EC107-$AB107</f>
        <v>0</v>
      </c>
    </row>
    <row r="108" spans="1:134" ht="45">
      <c r="A108" s="74"/>
      <c r="B108" s="50">
        <v>101</v>
      </c>
      <c r="C108" s="50" t="s">
        <v>269</v>
      </c>
      <c r="D108" s="50" t="s">
        <v>297</v>
      </c>
      <c r="E108" s="50"/>
      <c r="F108" s="50" t="s">
        <v>272</v>
      </c>
      <c r="G108" s="50" t="s">
        <v>273</v>
      </c>
      <c r="H108" s="37" t="s">
        <v>151</v>
      </c>
      <c r="I108" s="37" t="s">
        <v>674</v>
      </c>
      <c r="J108" s="37" t="s">
        <v>1095</v>
      </c>
      <c r="K108" s="50" t="s">
        <v>3</v>
      </c>
      <c r="L108" s="50" t="s">
        <v>14</v>
      </c>
      <c r="M108" s="50" t="s">
        <v>16</v>
      </c>
      <c r="N108" s="50" t="s">
        <v>276</v>
      </c>
      <c r="O108" s="37" t="s">
        <v>3</v>
      </c>
      <c r="P108" s="37" t="s">
        <v>14</v>
      </c>
      <c r="Q108" s="37" t="s">
        <v>16</v>
      </c>
      <c r="R108" s="37" t="s">
        <v>276</v>
      </c>
      <c r="S108" s="50" t="s">
        <v>1096</v>
      </c>
      <c r="T108" s="50" t="s">
        <v>1097</v>
      </c>
      <c r="U108" s="50" t="s">
        <v>1098</v>
      </c>
      <c r="V108" s="56" t="s">
        <v>1099</v>
      </c>
      <c r="W108" s="56" t="s">
        <v>1099</v>
      </c>
      <c r="X108" s="38" t="s">
        <v>1099</v>
      </c>
      <c r="Y108" s="60">
        <v>7121447424</v>
      </c>
      <c r="Z108" s="60">
        <v>2469373000</v>
      </c>
      <c r="AA108" s="60"/>
      <c r="AB108" s="60">
        <f>Z108+AA108</f>
        <v>2469373000</v>
      </c>
      <c r="AC108" s="61"/>
      <c r="AD108" s="61"/>
      <c r="AE108" s="96">
        <v>7121447424</v>
      </c>
      <c r="AF108" s="109">
        <v>1045786500</v>
      </c>
      <c r="AG108" s="108">
        <f>$AR108+$AZ108+$BQ108+$BT108+$BU108+$BV108</f>
        <v>0</v>
      </c>
      <c r="AH108" s="121">
        <f>AF108-AG108</f>
        <v>1045786500</v>
      </c>
      <c r="AI108" s="39" t="s">
        <v>1100</v>
      </c>
      <c r="AJ108" s="198"/>
      <c r="AK108" s="198"/>
      <c r="AL108" s="42"/>
      <c r="AM108" s="68"/>
      <c r="AN108" s="68"/>
      <c r="AO108" s="68"/>
      <c r="AP108" s="68"/>
      <c r="AQ108" s="68">
        <v>0</v>
      </c>
      <c r="AR108" s="68">
        <v>0</v>
      </c>
      <c r="AS108" s="68" t="s">
        <v>307</v>
      </c>
      <c r="AT108" s="68"/>
      <c r="AU108" s="69" t="s">
        <v>277</v>
      </c>
      <c r="AV108" s="69" t="s">
        <v>277</v>
      </c>
      <c r="AW108" s="69" t="s">
        <v>277</v>
      </c>
      <c r="AX108" s="69"/>
      <c r="AY108" s="68">
        <v>0</v>
      </c>
      <c r="AZ108" s="68">
        <v>0</v>
      </c>
      <c r="BA108" s="68" t="s">
        <v>307</v>
      </c>
      <c r="BB108" s="68"/>
      <c r="BC108" s="69" t="s">
        <v>1101</v>
      </c>
      <c r="BD108" s="69" t="s">
        <v>277</v>
      </c>
      <c r="BE108" s="56" t="s">
        <v>277</v>
      </c>
      <c r="BF108" s="56" t="s">
        <v>277</v>
      </c>
      <c r="BG108" s="56" t="s">
        <v>277</v>
      </c>
      <c r="BH108" s="56" t="s">
        <v>277</v>
      </c>
      <c r="BI108" s="69">
        <v>0</v>
      </c>
      <c r="BJ108" s="69">
        <v>0</v>
      </c>
      <c r="BK108" s="69">
        <v>0</v>
      </c>
      <c r="BL108" s="69">
        <v>0</v>
      </c>
      <c r="BM108" s="69">
        <v>0</v>
      </c>
      <c r="BN108" s="69">
        <v>0</v>
      </c>
      <c r="BO108" s="69">
        <v>0</v>
      </c>
      <c r="BP108" s="69">
        <v>0</v>
      </c>
      <c r="BQ108" s="69"/>
      <c r="BR108" s="69" t="s">
        <v>382</v>
      </c>
      <c r="BS108" s="69" t="s">
        <v>1102</v>
      </c>
      <c r="BT108" s="68">
        <v>0</v>
      </c>
      <c r="BU108" s="68">
        <v>0</v>
      </c>
      <c r="BV108" s="68"/>
      <c r="BW108" s="94">
        <v>0</v>
      </c>
      <c r="BX108" s="94">
        <v>0</v>
      </c>
      <c r="BY108" s="94">
        <v>0</v>
      </c>
      <c r="BZ108" s="94">
        <v>1045786500</v>
      </c>
      <c r="CA108" s="94">
        <v>0</v>
      </c>
      <c r="CB108" s="94">
        <v>0</v>
      </c>
      <c r="CC108" s="94">
        <v>0</v>
      </c>
      <c r="CD108" s="94">
        <v>0</v>
      </c>
      <c r="CE108" s="94">
        <v>0</v>
      </c>
      <c r="CF108" s="108">
        <f>SUM(BT108:CE108)</f>
        <v>1045786500</v>
      </c>
      <c r="CG108" s="108">
        <f>$CF108-$AF108</f>
        <v>0</v>
      </c>
      <c r="CH108" s="37" t="s">
        <v>289</v>
      </c>
      <c r="CI108" s="37" t="s">
        <v>290</v>
      </c>
      <c r="CJ108" s="37" t="s">
        <v>277</v>
      </c>
      <c r="CK108" s="37" t="s">
        <v>290</v>
      </c>
      <c r="CL108" s="37" t="s">
        <v>277</v>
      </c>
      <c r="CM108" s="37" t="s">
        <v>277</v>
      </c>
      <c r="CN108" s="37" t="s">
        <v>290</v>
      </c>
      <c r="CO108" s="37" t="s">
        <v>277</v>
      </c>
      <c r="CP108" s="41">
        <v>46023</v>
      </c>
      <c r="CQ108" s="41">
        <v>46752</v>
      </c>
      <c r="CR108" s="37" t="s">
        <v>293</v>
      </c>
      <c r="CS108" s="37" t="s">
        <v>454</v>
      </c>
      <c r="CT108" s="37" t="s">
        <v>295</v>
      </c>
      <c r="CU108" s="37" t="s">
        <v>341</v>
      </c>
      <c r="CV108" s="37" t="s">
        <v>382</v>
      </c>
      <c r="CW108" s="37">
        <v>4200004237</v>
      </c>
      <c r="CX108" s="37" t="s">
        <v>1103</v>
      </c>
      <c r="CY108" s="37">
        <v>6971910000</v>
      </c>
      <c r="CZ108" s="123">
        <v>45413</v>
      </c>
      <c r="DA108" s="123">
        <v>46113</v>
      </c>
      <c r="DB108" s="37" t="s">
        <v>277</v>
      </c>
      <c r="DC108" s="37" t="s">
        <v>485</v>
      </c>
      <c r="DD108" s="68">
        <v>0</v>
      </c>
      <c r="DE108" s="68">
        <v>0</v>
      </c>
      <c r="DF108" s="68">
        <v>2469373000</v>
      </c>
      <c r="DG108" s="68">
        <v>0</v>
      </c>
      <c r="DH108" s="68">
        <v>0</v>
      </c>
      <c r="DI108" s="68">
        <v>0</v>
      </c>
      <c r="DJ108" s="68">
        <v>0</v>
      </c>
      <c r="DK108" s="68">
        <v>0</v>
      </c>
      <c r="DL108" s="68">
        <v>0</v>
      </c>
      <c r="DM108" s="68">
        <v>0</v>
      </c>
      <c r="DN108" s="68">
        <v>0</v>
      </c>
      <c r="DO108" s="68">
        <v>0</v>
      </c>
      <c r="DP108" s="68">
        <f>SUM(DD108:DO108)</f>
        <v>2469373000</v>
      </c>
      <c r="DQ108" s="68">
        <f>DP108-AB108</f>
        <v>0</v>
      </c>
      <c r="DR108" s="68">
        <f>$DD108</f>
        <v>0</v>
      </c>
      <c r="DS108" s="68">
        <f>DR108+DE108</f>
        <v>0</v>
      </c>
      <c r="DT108" s="68">
        <f>DS108+DF108</f>
        <v>2469373000</v>
      </c>
      <c r="DU108" s="68">
        <f>DT108+DG108</f>
        <v>2469373000</v>
      </c>
      <c r="DV108" s="68">
        <f>DU108+DH108</f>
        <v>2469373000</v>
      </c>
      <c r="DW108" s="68">
        <f>DV108+DI108</f>
        <v>2469373000</v>
      </c>
      <c r="DX108" s="68">
        <f>DW108+DJ108</f>
        <v>2469373000</v>
      </c>
      <c r="DY108" s="68">
        <f>DX108+DK108</f>
        <v>2469373000</v>
      </c>
      <c r="DZ108" s="68">
        <f>DY108+DL108</f>
        <v>2469373000</v>
      </c>
      <c r="EA108" s="68">
        <f>DZ108+DM108</f>
        <v>2469373000</v>
      </c>
      <c r="EB108" s="68">
        <f>EA108+DN108</f>
        <v>2469373000</v>
      </c>
      <c r="EC108" s="68">
        <f>EB108+DO108</f>
        <v>2469373000</v>
      </c>
      <c r="ED108" s="68">
        <f>$EC108-$AB108</f>
        <v>0</v>
      </c>
    </row>
    <row r="109" spans="1:134">
      <c r="A109" s="74"/>
      <c r="B109" s="50">
        <v>51</v>
      </c>
      <c r="C109" s="50" t="s">
        <v>269</v>
      </c>
      <c r="D109" s="50" t="s">
        <v>297</v>
      </c>
      <c r="E109" s="50"/>
      <c r="F109" s="50" t="s">
        <v>272</v>
      </c>
      <c r="G109" s="50" t="s">
        <v>273</v>
      </c>
      <c r="H109" s="37" t="s">
        <v>151</v>
      </c>
      <c r="I109" s="37" t="s">
        <v>424</v>
      </c>
      <c r="J109" s="37" t="s">
        <v>694</v>
      </c>
      <c r="K109" s="50" t="s">
        <v>3</v>
      </c>
      <c r="L109" s="50" t="s">
        <v>14</v>
      </c>
      <c r="M109" s="50" t="s">
        <v>16</v>
      </c>
      <c r="N109" s="50" t="s">
        <v>276</v>
      </c>
      <c r="O109" s="37" t="s">
        <v>3</v>
      </c>
      <c r="P109" s="37" t="s">
        <v>14</v>
      </c>
      <c r="Q109" s="37" t="s">
        <v>16</v>
      </c>
      <c r="R109" s="37" t="s">
        <v>276</v>
      </c>
      <c r="S109" s="50" t="s">
        <v>277</v>
      </c>
      <c r="T109" s="50" t="s">
        <v>1104</v>
      </c>
      <c r="U109" s="50" t="s">
        <v>1105</v>
      </c>
      <c r="V109" s="56" t="s">
        <v>1106</v>
      </c>
      <c r="W109" s="56" t="s">
        <v>1106</v>
      </c>
      <c r="X109" s="38" t="s">
        <v>1106</v>
      </c>
      <c r="Y109" s="60">
        <v>1000000000</v>
      </c>
      <c r="Z109" s="60">
        <v>1000000000</v>
      </c>
      <c r="AA109" s="60">
        <v>-1000000000</v>
      </c>
      <c r="AB109" s="60">
        <f>Z109+AA109</f>
        <v>0</v>
      </c>
      <c r="AC109" s="61" t="s">
        <v>414</v>
      </c>
      <c r="AD109" s="61" t="s">
        <v>1107</v>
      </c>
      <c r="AE109" s="107">
        <v>1000000000</v>
      </c>
      <c r="AF109" s="107">
        <v>1000000000</v>
      </c>
      <c r="AG109" s="110">
        <f>$AR109+$AZ109+$BQ109+$BT109+$BU109+$BV109</f>
        <v>300000000</v>
      </c>
      <c r="AH109" s="121">
        <f>AF109-AG109</f>
        <v>700000000</v>
      </c>
      <c r="AI109" s="39" t="s">
        <v>277</v>
      </c>
      <c r="AJ109" s="198"/>
      <c r="AK109" s="198"/>
      <c r="AL109" s="42"/>
      <c r="AM109" s="68"/>
      <c r="AN109" s="68"/>
      <c r="AO109" s="68"/>
      <c r="AP109" s="68"/>
      <c r="AQ109" s="68">
        <v>0</v>
      </c>
      <c r="AR109" s="68">
        <v>0</v>
      </c>
      <c r="AS109" s="68" t="s">
        <v>307</v>
      </c>
      <c r="AT109" s="68"/>
      <c r="AU109" s="69" t="s">
        <v>277</v>
      </c>
      <c r="AV109" s="69" t="s">
        <v>277</v>
      </c>
      <c r="AW109" s="69" t="s">
        <v>277</v>
      </c>
      <c r="AX109" s="69"/>
      <c r="AY109" s="68">
        <v>0</v>
      </c>
      <c r="AZ109" s="68">
        <v>0</v>
      </c>
      <c r="BA109" s="68" t="s">
        <v>307</v>
      </c>
      <c r="BB109" s="68"/>
      <c r="BC109" s="69" t="s">
        <v>277</v>
      </c>
      <c r="BD109" s="69" t="s">
        <v>277</v>
      </c>
      <c r="BE109" s="56" t="s">
        <v>277</v>
      </c>
      <c r="BF109" s="56" t="s">
        <v>277</v>
      </c>
      <c r="BG109" s="56" t="s">
        <v>277</v>
      </c>
      <c r="BH109" s="56" t="s">
        <v>277</v>
      </c>
      <c r="BI109" s="69">
        <v>0</v>
      </c>
      <c r="BJ109" s="69">
        <v>0</v>
      </c>
      <c r="BK109" s="69">
        <v>0</v>
      </c>
      <c r="BL109" s="69">
        <v>0</v>
      </c>
      <c r="BM109" s="69">
        <v>0</v>
      </c>
      <c r="BN109" s="69">
        <v>0</v>
      </c>
      <c r="BO109" s="69">
        <v>0</v>
      </c>
      <c r="BP109" s="69">
        <v>0</v>
      </c>
      <c r="BQ109" s="69"/>
      <c r="BR109" s="69" t="s">
        <v>156</v>
      </c>
      <c r="BS109" s="69" t="s">
        <v>1108</v>
      </c>
      <c r="BT109" s="68">
        <v>300000000</v>
      </c>
      <c r="BU109" s="68">
        <v>0</v>
      </c>
      <c r="BV109" s="68">
        <v>0</v>
      </c>
      <c r="BW109" s="94">
        <v>0</v>
      </c>
      <c r="BX109" s="94">
        <v>0</v>
      </c>
      <c r="BY109" s="94">
        <v>0</v>
      </c>
      <c r="BZ109" s="94">
        <v>0</v>
      </c>
      <c r="CA109" s="94">
        <v>0</v>
      </c>
      <c r="CB109" s="94">
        <v>0</v>
      </c>
      <c r="CC109" s="94">
        <v>0</v>
      </c>
      <c r="CD109" s="109">
        <v>1000000000</v>
      </c>
      <c r="CE109" s="94">
        <v>0</v>
      </c>
      <c r="CF109" s="108">
        <f>SUM(BT109:CE109)</f>
        <v>1300000000</v>
      </c>
      <c r="CG109" s="108">
        <f>$CF109-$AF109</f>
        <v>300000000</v>
      </c>
      <c r="CH109" s="37" t="s">
        <v>289</v>
      </c>
      <c r="CI109" s="37" t="s">
        <v>290</v>
      </c>
      <c r="CJ109" s="37" t="s">
        <v>277</v>
      </c>
      <c r="CK109" s="37" t="s">
        <v>290</v>
      </c>
      <c r="CL109" s="37" t="s">
        <v>277</v>
      </c>
      <c r="CM109" s="37" t="s">
        <v>277</v>
      </c>
      <c r="CN109" s="37" t="s">
        <v>290</v>
      </c>
      <c r="CO109" s="37" t="s">
        <v>568</v>
      </c>
      <c r="CP109" s="41">
        <v>46023</v>
      </c>
      <c r="CQ109" s="41">
        <v>46387</v>
      </c>
      <c r="CR109" s="37" t="s">
        <v>293</v>
      </c>
      <c r="CS109" s="37" t="s">
        <v>322</v>
      </c>
      <c r="CT109" s="37" t="s">
        <v>295</v>
      </c>
      <c r="CU109" s="37" t="s">
        <v>296</v>
      </c>
      <c r="CV109" s="37" t="s">
        <v>323</v>
      </c>
      <c r="CW109" s="37" t="s">
        <v>277</v>
      </c>
      <c r="CX109" s="37" t="s">
        <v>277</v>
      </c>
      <c r="CY109" s="37">
        <v>0</v>
      </c>
      <c r="CZ109" s="123" t="s">
        <v>277</v>
      </c>
      <c r="DA109" s="123" t="s">
        <v>277</v>
      </c>
      <c r="DB109" s="37" t="s">
        <v>277</v>
      </c>
      <c r="DC109" s="37" t="s">
        <v>1109</v>
      </c>
      <c r="DD109" s="68">
        <v>0</v>
      </c>
      <c r="DE109" s="68">
        <v>0</v>
      </c>
      <c r="DF109" s="68">
        <f>1000000000-1000000000</f>
        <v>0</v>
      </c>
      <c r="DG109" s="68">
        <v>0</v>
      </c>
      <c r="DH109" s="68">
        <v>0</v>
      </c>
      <c r="DI109" s="68">
        <v>0</v>
      </c>
      <c r="DJ109" s="68">
        <v>0</v>
      </c>
      <c r="DK109" s="68">
        <v>0</v>
      </c>
      <c r="DL109" s="68">
        <v>0</v>
      </c>
      <c r="DM109" s="68">
        <v>0</v>
      </c>
      <c r="DN109" s="68">
        <v>0</v>
      </c>
      <c r="DO109" s="68">
        <v>0</v>
      </c>
      <c r="DP109" s="68">
        <f>SUM(DD109:DO109)</f>
        <v>0</v>
      </c>
      <c r="DQ109" s="68">
        <f>DP109-AB109</f>
        <v>0</v>
      </c>
      <c r="DR109" s="68">
        <f>$DD109</f>
        <v>0</v>
      </c>
      <c r="DS109" s="68">
        <f>DR109+DE109</f>
        <v>0</v>
      </c>
      <c r="DT109" s="68">
        <f>DS109+DF109</f>
        <v>0</v>
      </c>
      <c r="DU109" s="68">
        <f>DT109+DG109</f>
        <v>0</v>
      </c>
      <c r="DV109" s="68">
        <f>DU109+DH109</f>
        <v>0</v>
      </c>
      <c r="DW109" s="68">
        <f>DV109+DI109</f>
        <v>0</v>
      </c>
      <c r="DX109" s="68">
        <f>DW109+DJ109</f>
        <v>0</v>
      </c>
      <c r="DY109" s="68">
        <f>DX109+DK109</f>
        <v>0</v>
      </c>
      <c r="DZ109" s="68">
        <f>DY109+DL109</f>
        <v>0</v>
      </c>
      <c r="EA109" s="68">
        <f>DZ109+DM109</f>
        <v>0</v>
      </c>
      <c r="EB109" s="68">
        <f>EA109+DN109</f>
        <v>0</v>
      </c>
      <c r="EC109" s="68">
        <f>EB109+DO109</f>
        <v>0</v>
      </c>
      <c r="ED109" s="68">
        <f>$EC109-$AB109</f>
        <v>0</v>
      </c>
    </row>
    <row r="110" spans="1:134" ht="30">
      <c r="A110" s="74"/>
      <c r="B110" s="50">
        <v>1</v>
      </c>
      <c r="C110" s="50" t="s">
        <v>269</v>
      </c>
      <c r="D110" s="50" t="s">
        <v>297</v>
      </c>
      <c r="E110" s="50"/>
      <c r="F110" s="50" t="s">
        <v>272</v>
      </c>
      <c r="G110" s="50" t="s">
        <v>273</v>
      </c>
      <c r="H110" s="37" t="s">
        <v>151</v>
      </c>
      <c r="I110" s="37" t="s">
        <v>274</v>
      </c>
      <c r="J110" s="37" t="s">
        <v>275</v>
      </c>
      <c r="K110" s="50" t="s">
        <v>3</v>
      </c>
      <c r="L110" s="50" t="s">
        <v>14</v>
      </c>
      <c r="M110" s="50" t="s">
        <v>16</v>
      </c>
      <c r="N110" s="50" t="s">
        <v>276</v>
      </c>
      <c r="O110" s="37" t="s">
        <v>3</v>
      </c>
      <c r="P110" s="37" t="s">
        <v>14</v>
      </c>
      <c r="Q110" s="37" t="s">
        <v>16</v>
      </c>
      <c r="R110" s="37" t="s">
        <v>276</v>
      </c>
      <c r="S110" s="50" t="s">
        <v>1110</v>
      </c>
      <c r="T110" s="50" t="s">
        <v>457</v>
      </c>
      <c r="U110" s="50" t="s">
        <v>1111</v>
      </c>
      <c r="V110" s="56" t="s">
        <v>1112</v>
      </c>
      <c r="W110" s="56" t="s">
        <v>1112</v>
      </c>
      <c r="X110" s="38" t="s">
        <v>1112</v>
      </c>
      <c r="Y110" s="60">
        <v>17510800000</v>
      </c>
      <c r="Z110" s="60">
        <v>903334000</v>
      </c>
      <c r="AA110" s="60"/>
      <c r="AB110" s="60">
        <f>Z110+AA110</f>
        <v>903334000</v>
      </c>
      <c r="AC110" s="61"/>
      <c r="AD110" s="61"/>
      <c r="AE110" s="107">
        <v>17510800000</v>
      </c>
      <c r="AF110" s="107">
        <v>903334000</v>
      </c>
      <c r="AG110" s="108">
        <f>$AR110+$AZ110+$BQ110+$BT110+$BU110+$BV110</f>
        <v>0</v>
      </c>
      <c r="AH110" s="121">
        <f>AF110-AG110</f>
        <v>903334000</v>
      </c>
      <c r="AI110" s="39" t="s">
        <v>935</v>
      </c>
      <c r="AJ110" s="200"/>
      <c r="AK110" s="200"/>
      <c r="AL110" s="39"/>
      <c r="AM110" s="68"/>
      <c r="AN110" s="68"/>
      <c r="AO110" s="68"/>
      <c r="AP110" s="68"/>
      <c r="AQ110" s="68">
        <v>0</v>
      </c>
      <c r="AR110" s="68">
        <v>0</v>
      </c>
      <c r="AS110" s="68" t="s">
        <v>307</v>
      </c>
      <c r="AT110" s="68"/>
      <c r="AU110" s="69" t="s">
        <v>277</v>
      </c>
      <c r="AV110" s="69" t="s">
        <v>277</v>
      </c>
      <c r="AW110" s="69" t="s">
        <v>277</v>
      </c>
      <c r="AX110" s="69"/>
      <c r="AY110" s="68">
        <v>0</v>
      </c>
      <c r="AZ110" s="68">
        <v>0</v>
      </c>
      <c r="BA110" s="68" t="s">
        <v>307</v>
      </c>
      <c r="BB110" s="68"/>
      <c r="BC110" s="69" t="s">
        <v>277</v>
      </c>
      <c r="BD110" s="69" t="s">
        <v>277</v>
      </c>
      <c r="BE110" s="56" t="s">
        <v>277</v>
      </c>
      <c r="BF110" s="56" t="s">
        <v>277</v>
      </c>
      <c r="BG110" s="56" t="s">
        <v>277</v>
      </c>
      <c r="BH110" s="56" t="s">
        <v>277</v>
      </c>
      <c r="BI110" s="69">
        <v>0</v>
      </c>
      <c r="BJ110" s="69">
        <v>0</v>
      </c>
      <c r="BK110" s="69">
        <v>0</v>
      </c>
      <c r="BL110" s="69">
        <v>0</v>
      </c>
      <c r="BM110" s="69">
        <v>0</v>
      </c>
      <c r="BN110" s="69">
        <v>0</v>
      </c>
      <c r="BO110" s="69">
        <v>0</v>
      </c>
      <c r="BP110" s="69">
        <v>0</v>
      </c>
      <c r="BQ110" s="69">
        <f>$BJ110</f>
        <v>0</v>
      </c>
      <c r="BR110" s="69" t="s">
        <v>382</v>
      </c>
      <c r="BS110" s="69" t="s">
        <v>1113</v>
      </c>
      <c r="BT110" s="68">
        <v>0</v>
      </c>
      <c r="BU110" s="68">
        <v>0</v>
      </c>
      <c r="BV110" s="68">
        <v>0</v>
      </c>
      <c r="BW110" s="96">
        <v>0</v>
      </c>
      <c r="BX110" s="96">
        <v>0</v>
      </c>
      <c r="BY110" s="96">
        <v>0</v>
      </c>
      <c r="BZ110" s="109">
        <v>903334000</v>
      </c>
      <c r="CA110" s="96">
        <v>0</v>
      </c>
      <c r="CB110" s="96">
        <v>0</v>
      </c>
      <c r="CC110" s="96">
        <v>0</v>
      </c>
      <c r="CD110" s="96">
        <v>0</v>
      </c>
      <c r="CE110" s="96">
        <v>0</v>
      </c>
      <c r="CF110" s="108">
        <f>SUM(BT110:CE110)</f>
        <v>903334000</v>
      </c>
      <c r="CG110" s="108">
        <f>$CF110-$AF110</f>
        <v>0</v>
      </c>
      <c r="CH110" s="37" t="s">
        <v>289</v>
      </c>
      <c r="CI110" s="37" t="s">
        <v>290</v>
      </c>
      <c r="CJ110" s="37" t="s">
        <v>277</v>
      </c>
      <c r="CK110" s="37" t="s">
        <v>290</v>
      </c>
      <c r="CL110" s="37" t="s">
        <v>277</v>
      </c>
      <c r="CM110" s="37" t="s">
        <v>277</v>
      </c>
      <c r="CN110" s="37" t="s">
        <v>290</v>
      </c>
      <c r="CO110" s="37" t="s">
        <v>275</v>
      </c>
      <c r="CP110" s="41">
        <v>46023</v>
      </c>
      <c r="CQ110" s="41">
        <v>46387</v>
      </c>
      <c r="CR110" s="37" t="s">
        <v>293</v>
      </c>
      <c r="CS110" s="37" t="s">
        <v>454</v>
      </c>
      <c r="CT110" s="37" t="s">
        <v>295</v>
      </c>
      <c r="CU110" s="37" t="s">
        <v>341</v>
      </c>
      <c r="CV110" s="37" t="s">
        <v>382</v>
      </c>
      <c r="CW110" s="37" t="s">
        <v>1114</v>
      </c>
      <c r="CX110" s="37" t="s">
        <v>1112</v>
      </c>
      <c r="CY110" s="37">
        <v>17510800000</v>
      </c>
      <c r="CZ110" s="123">
        <v>43800</v>
      </c>
      <c r="DA110" s="123">
        <v>44896</v>
      </c>
      <c r="DB110" s="37" t="s">
        <v>277</v>
      </c>
      <c r="DC110" s="37" t="s">
        <v>485</v>
      </c>
      <c r="DD110" s="68">
        <v>0</v>
      </c>
      <c r="DE110" s="68">
        <v>903334000</v>
      </c>
      <c r="DF110" s="68">
        <v>0</v>
      </c>
      <c r="DG110" s="68">
        <v>0</v>
      </c>
      <c r="DH110" s="68">
        <v>0</v>
      </c>
      <c r="DI110" s="68">
        <v>0</v>
      </c>
      <c r="DJ110" s="68">
        <v>0</v>
      </c>
      <c r="DK110" s="68">
        <v>0</v>
      </c>
      <c r="DL110" s="68">
        <v>0</v>
      </c>
      <c r="DM110" s="68">
        <v>0</v>
      </c>
      <c r="DN110" s="68">
        <v>0</v>
      </c>
      <c r="DO110" s="68">
        <v>0</v>
      </c>
      <c r="DP110" s="68">
        <f>SUM(DD110:DO110)</f>
        <v>903334000</v>
      </c>
      <c r="DQ110" s="68">
        <f>DP110-AB110</f>
        <v>0</v>
      </c>
      <c r="DR110" s="68">
        <f>$DD110</f>
        <v>0</v>
      </c>
      <c r="DS110" s="68">
        <f>DR110+DE110</f>
        <v>903334000</v>
      </c>
      <c r="DT110" s="68">
        <f>DS110+DF110</f>
        <v>903334000</v>
      </c>
      <c r="DU110" s="68">
        <f>DT110+DG110</f>
        <v>903334000</v>
      </c>
      <c r="DV110" s="68">
        <f>DU110+DH110</f>
        <v>903334000</v>
      </c>
      <c r="DW110" s="68">
        <f>DV110+DI110</f>
        <v>903334000</v>
      </c>
      <c r="DX110" s="68">
        <f>DW110+DJ110</f>
        <v>903334000</v>
      </c>
      <c r="DY110" s="68">
        <f>DX110+DK110</f>
        <v>903334000</v>
      </c>
      <c r="DZ110" s="68">
        <f>DY110+DL110</f>
        <v>903334000</v>
      </c>
      <c r="EA110" s="68">
        <f>DZ110+DM110</f>
        <v>903334000</v>
      </c>
      <c r="EB110" s="68">
        <f>EA110+DN110</f>
        <v>903334000</v>
      </c>
      <c r="EC110" s="68">
        <f>EB110+DO110</f>
        <v>903334000</v>
      </c>
      <c r="ED110" s="68">
        <f>$EC110-$AB110</f>
        <v>0</v>
      </c>
    </row>
    <row r="111" spans="1:134" ht="30">
      <c r="A111" s="74"/>
      <c r="B111" s="50">
        <v>33</v>
      </c>
      <c r="C111" s="50" t="s">
        <v>269</v>
      </c>
      <c r="D111" s="50" t="s">
        <v>297</v>
      </c>
      <c r="E111" s="50"/>
      <c r="F111" s="50" t="s">
        <v>272</v>
      </c>
      <c r="G111" s="50" t="s">
        <v>273</v>
      </c>
      <c r="H111" s="37" t="s">
        <v>151</v>
      </c>
      <c r="I111" s="37" t="s">
        <v>732</v>
      </c>
      <c r="J111" s="37" t="s">
        <v>560</v>
      </c>
      <c r="K111" s="50" t="s">
        <v>3</v>
      </c>
      <c r="L111" s="50" t="s">
        <v>14</v>
      </c>
      <c r="M111" s="50" t="s">
        <v>16</v>
      </c>
      <c r="N111" s="50" t="s">
        <v>276</v>
      </c>
      <c r="O111" s="37" t="s">
        <v>3</v>
      </c>
      <c r="P111" s="37" t="s">
        <v>14</v>
      </c>
      <c r="Q111" s="37" t="s">
        <v>16</v>
      </c>
      <c r="R111" s="37" t="s">
        <v>276</v>
      </c>
      <c r="S111" s="50" t="s">
        <v>277</v>
      </c>
      <c r="T111" s="50" t="s">
        <v>1115</v>
      </c>
      <c r="U111" s="50" t="s">
        <v>1116</v>
      </c>
      <c r="V111" s="56" t="s">
        <v>1117</v>
      </c>
      <c r="W111" s="56" t="s">
        <v>1117</v>
      </c>
      <c r="X111" s="38" t="s">
        <v>1117</v>
      </c>
      <c r="Y111" s="60">
        <v>900000000</v>
      </c>
      <c r="Z111" s="60">
        <v>900000000</v>
      </c>
      <c r="AA111" s="60"/>
      <c r="AB111" s="60">
        <f>Z111+AA111</f>
        <v>900000000</v>
      </c>
      <c r="AC111" s="61"/>
      <c r="AD111" s="61"/>
      <c r="AE111" s="109">
        <v>900000000</v>
      </c>
      <c r="AF111" s="109">
        <v>900000000</v>
      </c>
      <c r="AG111" s="108">
        <f>$AR111+$AZ111+$BQ111+$BT111+$BU111+$BV111</f>
        <v>0</v>
      </c>
      <c r="AH111" s="121">
        <f>AF111-AG111</f>
        <v>900000000</v>
      </c>
      <c r="AI111" s="39" t="s">
        <v>1118</v>
      </c>
      <c r="AJ111" s="200"/>
      <c r="AK111" s="200"/>
      <c r="AL111" s="39"/>
      <c r="AM111" s="68"/>
      <c r="AN111" s="68"/>
      <c r="AO111" s="68"/>
      <c r="AP111" s="68"/>
      <c r="AQ111" s="68">
        <v>0</v>
      </c>
      <c r="AR111" s="68">
        <v>0</v>
      </c>
      <c r="AS111" s="68" t="s">
        <v>307</v>
      </c>
      <c r="AT111" s="68"/>
      <c r="AU111" s="69" t="s">
        <v>277</v>
      </c>
      <c r="AV111" s="69" t="s">
        <v>277</v>
      </c>
      <c r="AW111" s="69" t="s">
        <v>277</v>
      </c>
      <c r="AX111" s="69"/>
      <c r="AY111" s="68">
        <v>0</v>
      </c>
      <c r="AZ111" s="68">
        <v>0</v>
      </c>
      <c r="BA111" s="68" t="s">
        <v>307</v>
      </c>
      <c r="BB111" s="68"/>
      <c r="BC111" s="69" t="s">
        <v>1119</v>
      </c>
      <c r="BD111" s="69" t="s">
        <v>277</v>
      </c>
      <c r="BE111" s="56" t="s">
        <v>277</v>
      </c>
      <c r="BF111" s="56" t="s">
        <v>277</v>
      </c>
      <c r="BG111" s="56" t="s">
        <v>277</v>
      </c>
      <c r="BH111" s="56" t="s">
        <v>277</v>
      </c>
      <c r="BI111" s="69">
        <v>0</v>
      </c>
      <c r="BJ111" s="69">
        <v>0</v>
      </c>
      <c r="BK111" s="69">
        <v>0</v>
      </c>
      <c r="BL111" s="69">
        <v>0</v>
      </c>
      <c r="BM111" s="69">
        <v>0</v>
      </c>
      <c r="BN111" s="69">
        <v>0</v>
      </c>
      <c r="BO111" s="69">
        <v>0</v>
      </c>
      <c r="BP111" s="69">
        <v>0</v>
      </c>
      <c r="BQ111" s="69"/>
      <c r="BR111" s="69" t="s">
        <v>382</v>
      </c>
      <c r="BS111" s="69" t="s">
        <v>1113</v>
      </c>
      <c r="BT111" s="68">
        <v>0</v>
      </c>
      <c r="BU111" s="68">
        <v>0</v>
      </c>
      <c r="BV111" s="68">
        <v>0</v>
      </c>
      <c r="BW111" s="94">
        <v>0</v>
      </c>
      <c r="BX111" s="94">
        <v>0</v>
      </c>
      <c r="BY111" s="94">
        <v>0</v>
      </c>
      <c r="BZ111" s="94">
        <v>0</v>
      </c>
      <c r="CA111" s="94">
        <v>0</v>
      </c>
      <c r="CB111" s="109">
        <v>0</v>
      </c>
      <c r="CC111" s="109">
        <v>0</v>
      </c>
      <c r="CD111" s="109">
        <v>0</v>
      </c>
      <c r="CE111" s="109">
        <v>0</v>
      </c>
      <c r="CF111" s="108">
        <f>SUM(BT111:CE111)</f>
        <v>0</v>
      </c>
      <c r="CG111" s="108">
        <f>$CF111-$AF111</f>
        <v>-900000000</v>
      </c>
      <c r="CH111" s="37" t="s">
        <v>289</v>
      </c>
      <c r="CI111" s="37" t="s">
        <v>290</v>
      </c>
      <c r="CJ111" s="37" t="s">
        <v>277</v>
      </c>
      <c r="CK111" s="37" t="s">
        <v>290</v>
      </c>
      <c r="CL111" s="37" t="s">
        <v>277</v>
      </c>
      <c r="CM111" s="37" t="s">
        <v>277</v>
      </c>
      <c r="CN111" s="37" t="s">
        <v>290</v>
      </c>
      <c r="CO111" s="37" t="s">
        <v>739</v>
      </c>
      <c r="CP111" s="41">
        <v>46023</v>
      </c>
      <c r="CQ111" s="41">
        <v>46357</v>
      </c>
      <c r="CR111" s="37" t="s">
        <v>293</v>
      </c>
      <c r="CS111" s="37" t="s">
        <v>454</v>
      </c>
      <c r="CT111" s="37" t="s">
        <v>295</v>
      </c>
      <c r="CU111" s="37" t="s">
        <v>296</v>
      </c>
      <c r="CV111" s="37" t="s">
        <v>323</v>
      </c>
      <c r="CW111" s="37" t="s">
        <v>277</v>
      </c>
      <c r="CX111" s="37" t="s">
        <v>277</v>
      </c>
      <c r="CY111" s="37">
        <v>0</v>
      </c>
      <c r="CZ111" s="123" t="s">
        <v>277</v>
      </c>
      <c r="DA111" s="123" t="s">
        <v>277</v>
      </c>
      <c r="DB111" s="37" t="s">
        <v>277</v>
      </c>
      <c r="DC111" s="37" t="s">
        <v>455</v>
      </c>
      <c r="DD111" s="68">
        <v>0</v>
      </c>
      <c r="DE111" s="68">
        <v>0</v>
      </c>
      <c r="DF111" s="68">
        <v>0</v>
      </c>
      <c r="DG111" s="68">
        <v>0</v>
      </c>
      <c r="DH111" s="68">
        <v>0</v>
      </c>
      <c r="DI111" s="68">
        <v>0</v>
      </c>
      <c r="DJ111" s="68">
        <v>0</v>
      </c>
      <c r="DK111" s="68">
        <v>0</v>
      </c>
      <c r="DL111" s="68">
        <v>0</v>
      </c>
      <c r="DM111" s="68">
        <v>0</v>
      </c>
      <c r="DN111" s="68">
        <v>0</v>
      </c>
      <c r="DO111" s="68">
        <v>900000000</v>
      </c>
      <c r="DP111" s="68">
        <f>SUM(DD111:DO111)</f>
        <v>900000000</v>
      </c>
      <c r="DQ111" s="68">
        <f>DP111-AB111</f>
        <v>0</v>
      </c>
      <c r="DR111" s="68">
        <f>$DD111</f>
        <v>0</v>
      </c>
      <c r="DS111" s="68">
        <f>DR111+DE111</f>
        <v>0</v>
      </c>
      <c r="DT111" s="68">
        <f>DS111+DF111</f>
        <v>0</v>
      </c>
      <c r="DU111" s="68">
        <f>DT111+DG111</f>
        <v>0</v>
      </c>
      <c r="DV111" s="68">
        <f>DU111+DH111</f>
        <v>0</v>
      </c>
      <c r="DW111" s="68">
        <f>DV111+DI111</f>
        <v>0</v>
      </c>
      <c r="DX111" s="68">
        <f>DW111+DJ111</f>
        <v>0</v>
      </c>
      <c r="DY111" s="68">
        <f>DX111+DK111</f>
        <v>0</v>
      </c>
      <c r="DZ111" s="68">
        <f>DY111+DL111</f>
        <v>0</v>
      </c>
      <c r="EA111" s="68">
        <f>DZ111+DM111</f>
        <v>0</v>
      </c>
      <c r="EB111" s="68">
        <f>EA111+DN111</f>
        <v>0</v>
      </c>
      <c r="EC111" s="68">
        <f>EB111+DO111</f>
        <v>900000000</v>
      </c>
      <c r="ED111" s="68">
        <f>$EC111-$AB111</f>
        <v>0</v>
      </c>
    </row>
    <row r="112" spans="1:134" ht="60">
      <c r="B112" s="159"/>
      <c r="C112" s="158" t="s">
        <v>269</v>
      </c>
      <c r="D112" s="158" t="s">
        <v>270</v>
      </c>
      <c r="E112" s="159"/>
      <c r="F112" s="158" t="s">
        <v>272</v>
      </c>
      <c r="G112" s="158" t="s">
        <v>273</v>
      </c>
      <c r="H112" s="158" t="s">
        <v>151</v>
      </c>
      <c r="I112" s="160" t="s">
        <v>496</v>
      </c>
      <c r="J112" s="160" t="s">
        <v>767</v>
      </c>
      <c r="K112" s="158" t="s">
        <v>3</v>
      </c>
      <c r="L112" s="158" t="s">
        <v>14</v>
      </c>
      <c r="M112" s="158" t="s">
        <v>27</v>
      </c>
      <c r="N112" s="159"/>
      <c r="O112" s="158" t="s">
        <v>3</v>
      </c>
      <c r="P112" s="158" t="s">
        <v>14</v>
      </c>
      <c r="Q112" s="158" t="s">
        <v>27</v>
      </c>
      <c r="R112" s="160"/>
      <c r="S112" s="159"/>
      <c r="T112" s="159"/>
      <c r="U112" s="160" t="s">
        <v>277</v>
      </c>
      <c r="V112" s="159"/>
      <c r="W112" s="159"/>
      <c r="X112" s="161" t="s">
        <v>1120</v>
      </c>
      <c r="Y112" s="230"/>
      <c r="Z112" s="230"/>
      <c r="AA112" s="230"/>
      <c r="AB112" s="232"/>
      <c r="AC112" s="225"/>
      <c r="AD112" s="225"/>
      <c r="AE112" s="233">
        <v>850000000</v>
      </c>
      <c r="AF112" s="233">
        <v>850000000</v>
      </c>
      <c r="AG112" s="233"/>
      <c r="AH112" s="226">
        <f>AF112-AG112</f>
        <v>850000000</v>
      </c>
      <c r="AI112" s="225" t="s">
        <v>1121</v>
      </c>
      <c r="AJ112" s="224"/>
      <c r="AK112" s="224"/>
      <c r="AL112" s="225"/>
      <c r="AM112" s="159"/>
      <c r="AN112" s="159"/>
      <c r="AO112" s="159"/>
      <c r="AP112" s="159"/>
      <c r="AQ112" s="155"/>
      <c r="AR112" s="155"/>
      <c r="AS112" s="159"/>
      <c r="AT112" s="159"/>
      <c r="AU112" s="159"/>
      <c r="AV112" s="159"/>
      <c r="AW112" s="159"/>
      <c r="AX112" s="159"/>
      <c r="AY112" s="155"/>
      <c r="AZ112" s="155"/>
      <c r="BA112" s="159"/>
      <c r="BB112" s="159"/>
      <c r="BC112" s="159"/>
      <c r="BD112" s="159"/>
      <c r="BE112" s="159"/>
      <c r="BF112" s="159"/>
      <c r="BG112" s="159"/>
      <c r="BH112" s="159"/>
      <c r="BI112" s="159"/>
      <c r="BJ112" s="159"/>
      <c r="BK112" s="159"/>
      <c r="BL112" s="159"/>
      <c r="BM112" s="159"/>
      <c r="BN112" s="159"/>
      <c r="BO112" s="159"/>
      <c r="BP112" s="159"/>
      <c r="BQ112" s="159"/>
      <c r="BR112" s="159" t="s">
        <v>156</v>
      </c>
      <c r="BS112" s="159"/>
      <c r="BT112" s="155"/>
      <c r="BU112" s="155"/>
      <c r="BV112" s="155"/>
      <c r="BW112" s="155">
        <v>0</v>
      </c>
      <c r="BX112" s="233">
        <v>850000000</v>
      </c>
      <c r="BY112" s="156">
        <v>0</v>
      </c>
      <c r="BZ112" s="156">
        <v>0</v>
      </c>
      <c r="CA112" s="156">
        <v>0</v>
      </c>
      <c r="CB112" s="156">
        <v>0</v>
      </c>
      <c r="CC112" s="156">
        <v>0</v>
      </c>
      <c r="CD112" s="156">
        <v>0</v>
      </c>
      <c r="CE112" s="156">
        <v>0</v>
      </c>
      <c r="CF112" s="156">
        <f>SUM(BT112:CE112)</f>
        <v>850000000</v>
      </c>
      <c r="CG112" s="156">
        <f>$CF112-$AF112</f>
        <v>0</v>
      </c>
      <c r="CH112" s="159" t="s">
        <v>289</v>
      </c>
      <c r="CI112" s="159" t="s">
        <v>290</v>
      </c>
      <c r="CJ112" s="159" t="s">
        <v>277</v>
      </c>
      <c r="CK112" s="160" t="s">
        <v>290</v>
      </c>
      <c r="CL112" s="159" t="s">
        <v>277</v>
      </c>
      <c r="CM112" s="159" t="s">
        <v>277</v>
      </c>
      <c r="CN112" s="159" t="s">
        <v>290</v>
      </c>
      <c r="CO112" s="159" t="s">
        <v>277</v>
      </c>
      <c r="CP112" s="240">
        <v>46174</v>
      </c>
      <c r="CQ112" s="240">
        <v>46266</v>
      </c>
      <c r="CR112" s="158" t="s">
        <v>293</v>
      </c>
      <c r="CS112" s="158" t="s">
        <v>322</v>
      </c>
      <c r="CT112" s="158" t="s">
        <v>444</v>
      </c>
      <c r="CU112" s="158" t="s">
        <v>445</v>
      </c>
      <c r="CV112" s="158" t="s">
        <v>323</v>
      </c>
      <c r="CW112" s="159" t="s">
        <v>277</v>
      </c>
      <c r="CX112" s="159" t="s">
        <v>277</v>
      </c>
      <c r="CY112" s="159" t="s">
        <v>277</v>
      </c>
      <c r="CZ112" s="159" t="s">
        <v>277</v>
      </c>
      <c r="DA112" s="159" t="s">
        <v>277</v>
      </c>
      <c r="DB112" s="159" t="s">
        <v>277</v>
      </c>
      <c r="DC112" s="159" t="s">
        <v>277</v>
      </c>
      <c r="DD112" s="159"/>
      <c r="DE112" s="159"/>
      <c r="DF112" s="159"/>
      <c r="DG112" s="159"/>
      <c r="DH112" s="159"/>
      <c r="DI112" s="159"/>
      <c r="DJ112" s="159"/>
      <c r="DK112" s="159"/>
      <c r="DL112" s="159"/>
      <c r="DM112" s="159"/>
      <c r="DN112" s="159"/>
      <c r="DO112" s="159"/>
      <c r="DP112" s="159"/>
      <c r="DQ112" s="159"/>
      <c r="DR112" s="159"/>
      <c r="DS112" s="159"/>
      <c r="DT112" s="159"/>
      <c r="DU112" s="159"/>
      <c r="DV112" s="159"/>
      <c r="DW112" s="159"/>
      <c r="DX112" s="159"/>
      <c r="DY112" s="159"/>
      <c r="DZ112" s="159"/>
      <c r="EA112" s="159"/>
      <c r="EB112" s="159"/>
      <c r="EC112" s="159"/>
      <c r="ED112" s="159"/>
    </row>
    <row r="113" spans="1:134" ht="75">
      <c r="A113" s="74"/>
      <c r="B113" s="50">
        <v>167</v>
      </c>
      <c r="C113" s="50" t="s">
        <v>269</v>
      </c>
      <c r="D113" s="50" t="s">
        <v>270</v>
      </c>
      <c r="E113" s="50" t="s">
        <v>1122</v>
      </c>
      <c r="F113" s="50" t="s">
        <v>272</v>
      </c>
      <c r="G113" s="50" t="s">
        <v>273</v>
      </c>
      <c r="H113" s="37" t="s">
        <v>151</v>
      </c>
      <c r="I113" s="37" t="s">
        <v>424</v>
      </c>
      <c r="J113" s="37" t="s">
        <v>425</v>
      </c>
      <c r="K113" s="50" t="s">
        <v>3</v>
      </c>
      <c r="L113" s="50" t="s">
        <v>14</v>
      </c>
      <c r="M113" s="50" t="s">
        <v>16</v>
      </c>
      <c r="N113" s="50" t="s">
        <v>276</v>
      </c>
      <c r="O113" s="37" t="s">
        <v>3</v>
      </c>
      <c r="P113" s="37" t="s">
        <v>14</v>
      </c>
      <c r="Q113" s="37" t="s">
        <v>16</v>
      </c>
      <c r="R113" s="37" t="s">
        <v>276</v>
      </c>
      <c r="S113" s="50" t="s">
        <v>277</v>
      </c>
      <c r="T113" s="50">
        <v>151</v>
      </c>
      <c r="U113" s="50" t="s">
        <v>1123</v>
      </c>
      <c r="V113" s="56" t="s">
        <v>277</v>
      </c>
      <c r="W113" s="56" t="s">
        <v>1124</v>
      </c>
      <c r="X113" s="38" t="s">
        <v>1124</v>
      </c>
      <c r="Y113" s="60"/>
      <c r="Z113" s="60">
        <v>0</v>
      </c>
      <c r="AA113" s="63">
        <v>847268707</v>
      </c>
      <c r="AB113" s="63">
        <f>Z113+AA113</f>
        <v>847268707</v>
      </c>
      <c r="AC113" s="182" t="s">
        <v>1125</v>
      </c>
      <c r="AD113" s="182" t="s">
        <v>1126</v>
      </c>
      <c r="AE113" s="117">
        <v>1106686336</v>
      </c>
      <c r="AF113" s="117">
        <v>847268707</v>
      </c>
      <c r="AG113" s="118">
        <f>$AR113+$AZ113+$BQ113+$BT113+$BU113+$BV113</f>
        <v>2600000</v>
      </c>
      <c r="AH113" s="121">
        <f>AF113-AG113</f>
        <v>844668707</v>
      </c>
      <c r="AI113" s="215" t="s">
        <v>1127</v>
      </c>
      <c r="AJ113" s="217"/>
      <c r="AK113" s="217"/>
      <c r="AL113" s="218"/>
      <c r="AM113" s="68"/>
      <c r="AN113" s="68"/>
      <c r="AO113" s="68"/>
      <c r="AP113" s="68"/>
      <c r="AQ113" s="68"/>
      <c r="AR113" s="68"/>
      <c r="AS113" s="68"/>
      <c r="AT113" s="68"/>
      <c r="AU113" s="69"/>
      <c r="AV113" s="69"/>
      <c r="AW113" s="69"/>
      <c r="AX113" s="69"/>
      <c r="AY113" s="68"/>
      <c r="AZ113" s="68"/>
      <c r="BA113" s="68"/>
      <c r="BB113" s="68"/>
      <c r="BC113" s="69"/>
      <c r="BD113" s="69"/>
      <c r="BE113" s="56" t="s">
        <v>1128</v>
      </c>
      <c r="BF113" s="56" t="s">
        <v>1129</v>
      </c>
      <c r="BG113" s="56" t="s">
        <v>1130</v>
      </c>
      <c r="BH113" s="56" t="s">
        <v>296</v>
      </c>
      <c r="BI113" s="69">
        <v>1106686336</v>
      </c>
      <c r="BJ113" s="69">
        <v>847268707</v>
      </c>
      <c r="BK113" s="69">
        <v>42363435</v>
      </c>
      <c r="BL113" s="69">
        <v>42363435</v>
      </c>
      <c r="BM113" s="69">
        <v>42363435</v>
      </c>
      <c r="BN113" s="69">
        <v>66163661</v>
      </c>
      <c r="BO113" s="69">
        <v>66163661</v>
      </c>
      <c r="BP113" s="69">
        <v>0</v>
      </c>
      <c r="BQ113" s="69"/>
      <c r="BR113" s="69" t="s">
        <v>384</v>
      </c>
      <c r="BS113" s="69" t="s">
        <v>1131</v>
      </c>
      <c r="BT113" s="68">
        <v>2600000</v>
      </c>
      <c r="BU113" s="68">
        <v>0</v>
      </c>
      <c r="BV113" s="68">
        <v>0</v>
      </c>
      <c r="BW113" s="94">
        <v>0</v>
      </c>
      <c r="BX113" s="94">
        <v>0</v>
      </c>
      <c r="BY113" s="94">
        <v>0</v>
      </c>
      <c r="BZ113" s="94">
        <v>0</v>
      </c>
      <c r="CA113" s="94">
        <v>0</v>
      </c>
      <c r="CB113" s="109">
        <v>847268707</v>
      </c>
      <c r="CC113" s="109">
        <v>0</v>
      </c>
      <c r="CD113" s="109">
        <v>0</v>
      </c>
      <c r="CE113" s="109">
        <v>0</v>
      </c>
      <c r="CF113" s="108">
        <f>SUM(BT113:CE113)</f>
        <v>849868707</v>
      </c>
      <c r="CG113" s="108">
        <f>$CF113-$AF113</f>
        <v>2600000</v>
      </c>
      <c r="CH113" s="87" t="s">
        <v>289</v>
      </c>
      <c r="CI113" s="87" t="s">
        <v>290</v>
      </c>
      <c r="CJ113" s="37" t="s">
        <v>277</v>
      </c>
      <c r="CK113" s="87" t="s">
        <v>290</v>
      </c>
      <c r="CL113" s="87" t="s">
        <v>277</v>
      </c>
      <c r="CM113" s="87" t="s">
        <v>277</v>
      </c>
      <c r="CN113" s="87" t="s">
        <v>290</v>
      </c>
      <c r="CO113" s="87" t="s">
        <v>277</v>
      </c>
      <c r="CP113" s="87" t="s">
        <v>277</v>
      </c>
      <c r="CQ113" s="87" t="s">
        <v>277</v>
      </c>
      <c r="CR113" s="87" t="s">
        <v>293</v>
      </c>
      <c r="CS113" s="87" t="s">
        <v>322</v>
      </c>
      <c r="CT113" s="87" t="s">
        <v>295</v>
      </c>
      <c r="CU113" s="87" t="s">
        <v>296</v>
      </c>
      <c r="CV113" s="87" t="s">
        <v>384</v>
      </c>
      <c r="CW113" s="37" t="s">
        <v>277</v>
      </c>
      <c r="CX113" s="37" t="s">
        <v>277</v>
      </c>
      <c r="CY113" s="37" t="s">
        <v>277</v>
      </c>
      <c r="CZ113" s="87" t="s">
        <v>277</v>
      </c>
      <c r="DA113" s="87" t="s">
        <v>277</v>
      </c>
      <c r="DB113" s="37" t="s">
        <v>277</v>
      </c>
      <c r="DC113" s="37" t="s">
        <v>277</v>
      </c>
      <c r="DD113" s="68"/>
      <c r="DE113" s="68"/>
      <c r="DF113" s="68">
        <f>0+847268707</f>
        <v>847268707</v>
      </c>
      <c r="DG113" s="68"/>
      <c r="DH113" s="68"/>
      <c r="DI113" s="68"/>
      <c r="DJ113" s="68"/>
      <c r="DK113" s="68"/>
      <c r="DL113" s="68"/>
      <c r="DM113" s="68"/>
      <c r="DN113" s="68"/>
      <c r="DO113" s="68"/>
      <c r="DP113" s="68">
        <f>SUM(DD113:DO113)</f>
        <v>847268707</v>
      </c>
      <c r="DQ113" s="68">
        <f>DP113-AB113</f>
        <v>0</v>
      </c>
      <c r="DR113" s="68">
        <f>$DD113</f>
        <v>0</v>
      </c>
      <c r="DS113" s="68">
        <f>DR113+DE113</f>
        <v>0</v>
      </c>
      <c r="DT113" s="68">
        <f>DS113+DF113</f>
        <v>847268707</v>
      </c>
      <c r="DU113" s="68">
        <f>DT113+DG113</f>
        <v>847268707</v>
      </c>
      <c r="DV113" s="68">
        <f>DU113+DH113</f>
        <v>847268707</v>
      </c>
      <c r="DW113" s="68">
        <f>DV113+DI113</f>
        <v>847268707</v>
      </c>
      <c r="DX113" s="68">
        <f>DW113+DJ113</f>
        <v>847268707</v>
      </c>
      <c r="DY113" s="68">
        <f>DX113+DK113</f>
        <v>847268707</v>
      </c>
      <c r="DZ113" s="68">
        <f>DY113+DL113</f>
        <v>847268707</v>
      </c>
      <c r="EA113" s="68">
        <f>DZ113+DM113</f>
        <v>847268707</v>
      </c>
      <c r="EB113" s="68">
        <f>EA113+DN113</f>
        <v>847268707</v>
      </c>
      <c r="EC113" s="68">
        <f>EB113+DO113</f>
        <v>847268707</v>
      </c>
      <c r="ED113" s="68">
        <f>$EC113-$AB113</f>
        <v>0</v>
      </c>
    </row>
    <row r="114" spans="1:134" ht="45">
      <c r="A114" s="74"/>
      <c r="B114" s="50">
        <v>52</v>
      </c>
      <c r="C114" s="50" t="s">
        <v>269</v>
      </c>
      <c r="D114" s="50" t="s">
        <v>297</v>
      </c>
      <c r="E114" s="50"/>
      <c r="F114" s="50" t="s">
        <v>272</v>
      </c>
      <c r="G114" s="50" t="s">
        <v>273</v>
      </c>
      <c r="H114" s="37" t="s">
        <v>151</v>
      </c>
      <c r="I114" s="37" t="s">
        <v>1132</v>
      </c>
      <c r="J114" s="37" t="s">
        <v>979</v>
      </c>
      <c r="K114" s="50" t="s">
        <v>3</v>
      </c>
      <c r="L114" s="50" t="s">
        <v>14</v>
      </c>
      <c r="M114" s="50" t="s">
        <v>16</v>
      </c>
      <c r="N114" s="50" t="s">
        <v>276</v>
      </c>
      <c r="O114" s="37" t="s">
        <v>3</v>
      </c>
      <c r="P114" s="37" t="s">
        <v>14</v>
      </c>
      <c r="Q114" s="37" t="s">
        <v>16</v>
      </c>
      <c r="R114" s="37" t="s">
        <v>276</v>
      </c>
      <c r="S114" s="50" t="s">
        <v>277</v>
      </c>
      <c r="T114" s="50" t="s">
        <v>1133</v>
      </c>
      <c r="U114" s="50" t="s">
        <v>1134</v>
      </c>
      <c r="V114" s="56" t="s">
        <v>1135</v>
      </c>
      <c r="W114" s="56" t="s">
        <v>1135</v>
      </c>
      <c r="X114" s="38" t="s">
        <v>1136</v>
      </c>
      <c r="Y114" s="60">
        <v>27935148000</v>
      </c>
      <c r="Z114" s="60">
        <v>726310000</v>
      </c>
      <c r="AA114" s="60"/>
      <c r="AB114" s="60">
        <f>Z114+AA114</f>
        <v>726310000</v>
      </c>
      <c r="AC114" s="61"/>
      <c r="AD114" s="61"/>
      <c r="AE114" s="109">
        <v>27935148000</v>
      </c>
      <c r="AF114" s="109">
        <v>726310000</v>
      </c>
      <c r="AG114" s="108">
        <f>$AR114+$AZ114+$BQ114+$BT114+$BU114+$BV114</f>
        <v>0</v>
      </c>
      <c r="AH114" s="121">
        <f>AF114-AG114</f>
        <v>726310000</v>
      </c>
      <c r="AI114" s="39" t="s">
        <v>1137</v>
      </c>
      <c r="AJ114" s="198"/>
      <c r="AK114" s="198"/>
      <c r="AL114" s="42"/>
      <c r="AM114" s="68"/>
      <c r="AN114" s="68"/>
      <c r="AO114" s="68"/>
      <c r="AP114" s="68"/>
      <c r="AQ114" s="68">
        <v>0</v>
      </c>
      <c r="AR114" s="68">
        <v>0</v>
      </c>
      <c r="AS114" s="68" t="s">
        <v>307</v>
      </c>
      <c r="AT114" s="68"/>
      <c r="AU114" s="69" t="s">
        <v>277</v>
      </c>
      <c r="AV114" s="69" t="s">
        <v>277</v>
      </c>
      <c r="AW114" s="69" t="s">
        <v>277</v>
      </c>
      <c r="AX114" s="69"/>
      <c r="AY114" s="68">
        <v>0</v>
      </c>
      <c r="AZ114" s="68">
        <v>0</v>
      </c>
      <c r="BA114" s="68" t="s">
        <v>307</v>
      </c>
      <c r="BB114" s="68"/>
      <c r="BC114" s="69" t="s">
        <v>1138</v>
      </c>
      <c r="BD114" s="69" t="s">
        <v>277</v>
      </c>
      <c r="BE114" s="56" t="s">
        <v>277</v>
      </c>
      <c r="BF114" s="56" t="s">
        <v>277</v>
      </c>
      <c r="BG114" s="56" t="s">
        <v>277</v>
      </c>
      <c r="BH114" s="56" t="s">
        <v>277</v>
      </c>
      <c r="BI114" s="69">
        <v>0</v>
      </c>
      <c r="BJ114" s="69">
        <v>0</v>
      </c>
      <c r="BK114" s="69">
        <v>0</v>
      </c>
      <c r="BL114" s="69">
        <v>0</v>
      </c>
      <c r="BM114" s="69">
        <v>0</v>
      </c>
      <c r="BN114" s="69">
        <v>0</v>
      </c>
      <c r="BO114" s="69">
        <v>0</v>
      </c>
      <c r="BP114" s="69">
        <v>0</v>
      </c>
      <c r="BQ114" s="69"/>
      <c r="BR114" s="69" t="s">
        <v>382</v>
      </c>
      <c r="BS114" s="69" t="s">
        <v>798</v>
      </c>
      <c r="BT114" s="68">
        <v>0</v>
      </c>
      <c r="BU114" s="68">
        <v>0</v>
      </c>
      <c r="BV114" s="68"/>
      <c r="BW114" s="94">
        <v>0</v>
      </c>
      <c r="BX114" s="94">
        <v>0</v>
      </c>
      <c r="BY114" s="94">
        <v>0</v>
      </c>
      <c r="BZ114" s="94">
        <v>1815775000</v>
      </c>
      <c r="CA114" s="94">
        <v>0</v>
      </c>
      <c r="CB114" s="94">
        <v>0</v>
      </c>
      <c r="CC114" s="94">
        <v>0</v>
      </c>
      <c r="CD114" s="94">
        <v>0</v>
      </c>
      <c r="CE114" s="94">
        <v>0</v>
      </c>
      <c r="CF114" s="108">
        <f>SUM(BT114:CE114)</f>
        <v>1815775000</v>
      </c>
      <c r="CG114" s="108">
        <f>$CF114-$AF114</f>
        <v>1089465000</v>
      </c>
      <c r="CH114" s="37" t="s">
        <v>289</v>
      </c>
      <c r="CI114" s="37" t="s">
        <v>290</v>
      </c>
      <c r="CJ114" s="37" t="s">
        <v>277</v>
      </c>
      <c r="CK114" s="37" t="s">
        <v>290</v>
      </c>
      <c r="CL114" s="37" t="s">
        <v>277</v>
      </c>
      <c r="CM114" s="37" t="s">
        <v>277</v>
      </c>
      <c r="CN114" s="37" t="s">
        <v>290</v>
      </c>
      <c r="CO114" s="37" t="s">
        <v>340</v>
      </c>
      <c r="CP114" s="41">
        <v>45231</v>
      </c>
      <c r="CQ114" s="41">
        <v>45658</v>
      </c>
      <c r="CR114" s="37" t="s">
        <v>293</v>
      </c>
      <c r="CS114" s="37" t="s">
        <v>322</v>
      </c>
      <c r="CT114" s="37" t="s">
        <v>295</v>
      </c>
      <c r="CU114" s="37" t="s">
        <v>341</v>
      </c>
      <c r="CV114" s="37" t="s">
        <v>382</v>
      </c>
      <c r="CW114" s="37" t="s">
        <v>1139</v>
      </c>
      <c r="CX114" s="37" t="s">
        <v>1140</v>
      </c>
      <c r="CY114" s="37">
        <v>27935148000</v>
      </c>
      <c r="CZ114" s="123">
        <v>45413</v>
      </c>
      <c r="DA114" s="123">
        <v>46508</v>
      </c>
      <c r="DB114" s="37" t="s">
        <v>277</v>
      </c>
      <c r="DC114" s="37" t="s">
        <v>1141</v>
      </c>
      <c r="DD114" s="68">
        <v>0</v>
      </c>
      <c r="DE114" s="68">
        <v>726310000</v>
      </c>
      <c r="DF114" s="68">
        <v>0</v>
      </c>
      <c r="DG114" s="68">
        <v>0</v>
      </c>
      <c r="DH114" s="68">
        <v>0</v>
      </c>
      <c r="DI114" s="68">
        <v>0</v>
      </c>
      <c r="DJ114" s="68">
        <v>0</v>
      </c>
      <c r="DK114" s="68">
        <v>0</v>
      </c>
      <c r="DL114" s="68">
        <v>0</v>
      </c>
      <c r="DM114" s="68">
        <v>0</v>
      </c>
      <c r="DN114" s="68">
        <v>0</v>
      </c>
      <c r="DO114" s="68">
        <v>0</v>
      </c>
      <c r="DP114" s="68">
        <f>SUM(DD114:DO114)</f>
        <v>726310000</v>
      </c>
      <c r="DQ114" s="68">
        <f>DP114-AB114</f>
        <v>0</v>
      </c>
      <c r="DR114" s="68">
        <f>$DD114</f>
        <v>0</v>
      </c>
      <c r="DS114" s="68">
        <f>DR114+DE114</f>
        <v>726310000</v>
      </c>
      <c r="DT114" s="68">
        <f>DS114+DF114</f>
        <v>726310000</v>
      </c>
      <c r="DU114" s="68">
        <f>DT114+DG114</f>
        <v>726310000</v>
      </c>
      <c r="DV114" s="68">
        <f>DU114+DH114</f>
        <v>726310000</v>
      </c>
      <c r="DW114" s="68">
        <f>DV114+DI114</f>
        <v>726310000</v>
      </c>
      <c r="DX114" s="68">
        <f>DW114+DJ114</f>
        <v>726310000</v>
      </c>
      <c r="DY114" s="68">
        <f>DX114+DK114</f>
        <v>726310000</v>
      </c>
      <c r="DZ114" s="68">
        <f>DY114+DL114</f>
        <v>726310000</v>
      </c>
      <c r="EA114" s="68">
        <f>DZ114+DM114</f>
        <v>726310000</v>
      </c>
      <c r="EB114" s="68">
        <f>EA114+DN114</f>
        <v>726310000</v>
      </c>
      <c r="EC114" s="68">
        <f>EB114+DO114</f>
        <v>726310000</v>
      </c>
      <c r="ED114" s="68">
        <f>$EC114-$AB114</f>
        <v>0</v>
      </c>
    </row>
    <row r="115" spans="1:134" ht="45">
      <c r="B115" s="159"/>
      <c r="C115" s="158" t="s">
        <v>269</v>
      </c>
      <c r="D115" s="158" t="s">
        <v>270</v>
      </c>
      <c r="E115" s="159"/>
      <c r="F115" s="158" t="s">
        <v>272</v>
      </c>
      <c r="G115" s="158" t="s">
        <v>273</v>
      </c>
      <c r="H115" s="158" t="s">
        <v>151</v>
      </c>
      <c r="I115" s="160" t="s">
        <v>496</v>
      </c>
      <c r="J115" s="160" t="s">
        <v>767</v>
      </c>
      <c r="K115" s="158" t="s">
        <v>3</v>
      </c>
      <c r="L115" s="158" t="s">
        <v>14</v>
      </c>
      <c r="M115" s="158" t="s">
        <v>27</v>
      </c>
      <c r="N115" s="159"/>
      <c r="O115" s="158" t="s">
        <v>3</v>
      </c>
      <c r="P115" s="158" t="s">
        <v>14</v>
      </c>
      <c r="Q115" s="158" t="s">
        <v>27</v>
      </c>
      <c r="R115" s="160"/>
      <c r="S115" s="159"/>
      <c r="T115" s="159"/>
      <c r="U115" s="160" t="s">
        <v>277</v>
      </c>
      <c r="V115" s="159"/>
      <c r="W115" s="159"/>
      <c r="X115" s="161" t="s">
        <v>1142</v>
      </c>
      <c r="Y115" s="230"/>
      <c r="Z115" s="230"/>
      <c r="AA115" s="230"/>
      <c r="AB115" s="232"/>
      <c r="AC115" s="225"/>
      <c r="AD115" s="225"/>
      <c r="AE115" s="233">
        <v>700000000</v>
      </c>
      <c r="AF115" s="233">
        <v>700000000</v>
      </c>
      <c r="AG115" s="233"/>
      <c r="AH115" s="226">
        <f>AF115-AG115</f>
        <v>700000000</v>
      </c>
      <c r="AI115" s="225" t="s">
        <v>1121</v>
      </c>
      <c r="AJ115" s="224"/>
      <c r="AK115" s="224"/>
      <c r="AL115" s="225"/>
      <c r="AM115" s="159"/>
      <c r="AN115" s="159"/>
      <c r="AO115" s="159"/>
      <c r="AP115" s="159"/>
      <c r="AQ115" s="155"/>
      <c r="AR115" s="155"/>
      <c r="AS115" s="159"/>
      <c r="AT115" s="159"/>
      <c r="AU115" s="159"/>
      <c r="AV115" s="159"/>
      <c r="AW115" s="159"/>
      <c r="AX115" s="159"/>
      <c r="AY115" s="155"/>
      <c r="AZ115" s="155"/>
      <c r="BA115" s="159"/>
      <c r="BB115" s="159"/>
      <c r="BC115" s="159"/>
      <c r="BD115" s="159"/>
      <c r="BE115" s="159"/>
      <c r="BF115" s="159"/>
      <c r="BG115" s="159"/>
      <c r="BH115" s="159"/>
      <c r="BI115" s="159"/>
      <c r="BJ115" s="159"/>
      <c r="BK115" s="159"/>
      <c r="BL115" s="159"/>
      <c r="BM115" s="159"/>
      <c r="BN115" s="159"/>
      <c r="BO115" s="159"/>
      <c r="BP115" s="159"/>
      <c r="BQ115" s="159"/>
      <c r="BR115" s="159" t="s">
        <v>156</v>
      </c>
      <c r="BS115" s="159"/>
      <c r="BT115" s="155"/>
      <c r="BU115" s="155"/>
      <c r="BV115" s="155"/>
      <c r="BW115" s="155">
        <v>0</v>
      </c>
      <c r="BX115" s="233">
        <v>700000000</v>
      </c>
      <c r="BY115" s="156">
        <v>0</v>
      </c>
      <c r="BZ115" s="156">
        <v>0</v>
      </c>
      <c r="CA115" s="156">
        <v>0</v>
      </c>
      <c r="CB115" s="156">
        <v>0</v>
      </c>
      <c r="CC115" s="156">
        <v>0</v>
      </c>
      <c r="CD115" s="156">
        <v>0</v>
      </c>
      <c r="CE115" s="156">
        <v>0</v>
      </c>
      <c r="CF115" s="156">
        <f>SUM(BT115:CE115)</f>
        <v>700000000</v>
      </c>
      <c r="CG115" s="156">
        <f>$CF115-$AF115</f>
        <v>0</v>
      </c>
      <c r="CH115" s="159" t="s">
        <v>289</v>
      </c>
      <c r="CI115" s="159" t="s">
        <v>290</v>
      </c>
      <c r="CJ115" s="159" t="s">
        <v>277</v>
      </c>
      <c r="CK115" s="160" t="s">
        <v>290</v>
      </c>
      <c r="CL115" s="159" t="s">
        <v>277</v>
      </c>
      <c r="CM115" s="159" t="s">
        <v>277</v>
      </c>
      <c r="CN115" s="159" t="s">
        <v>290</v>
      </c>
      <c r="CO115" s="159" t="s">
        <v>277</v>
      </c>
      <c r="CP115" s="240">
        <v>46174</v>
      </c>
      <c r="CQ115" s="240">
        <v>46266</v>
      </c>
      <c r="CR115" s="158" t="s">
        <v>293</v>
      </c>
      <c r="CS115" s="158" t="s">
        <v>322</v>
      </c>
      <c r="CT115" s="158" t="s">
        <v>444</v>
      </c>
      <c r="CU115" s="158" t="s">
        <v>445</v>
      </c>
      <c r="CV115" s="158" t="s">
        <v>323</v>
      </c>
      <c r="CW115" s="159" t="s">
        <v>277</v>
      </c>
      <c r="CX115" s="159" t="s">
        <v>277</v>
      </c>
      <c r="CY115" s="159" t="s">
        <v>277</v>
      </c>
      <c r="CZ115" s="159" t="s">
        <v>277</v>
      </c>
      <c r="DA115" s="159" t="s">
        <v>277</v>
      </c>
      <c r="DB115" s="159" t="s">
        <v>277</v>
      </c>
      <c r="DC115" s="159" t="s">
        <v>277</v>
      </c>
      <c r="DD115" s="159"/>
      <c r="DE115" s="159"/>
      <c r="DF115" s="159"/>
      <c r="DG115" s="159"/>
      <c r="DH115" s="159"/>
      <c r="DI115" s="159"/>
      <c r="DJ115" s="159"/>
      <c r="DK115" s="159"/>
      <c r="DL115" s="159"/>
      <c r="DM115" s="159"/>
      <c r="DN115" s="159"/>
      <c r="DO115" s="159"/>
      <c r="DP115" s="159"/>
      <c r="DQ115" s="159"/>
      <c r="DR115" s="159"/>
      <c r="DS115" s="159"/>
      <c r="DT115" s="159"/>
      <c r="DU115" s="159"/>
      <c r="DV115" s="159"/>
      <c r="DW115" s="159"/>
      <c r="DX115" s="159"/>
      <c r="DY115" s="159"/>
      <c r="DZ115" s="159"/>
      <c r="EA115" s="159"/>
      <c r="EB115" s="159"/>
      <c r="EC115" s="159"/>
      <c r="ED115" s="159"/>
    </row>
    <row r="116" spans="1:134" ht="45">
      <c r="A116" s="74"/>
      <c r="B116" s="50">
        <v>50</v>
      </c>
      <c r="C116" s="50" t="s">
        <v>269</v>
      </c>
      <c r="D116" s="50" t="s">
        <v>297</v>
      </c>
      <c r="E116" s="50"/>
      <c r="F116" s="50" t="s">
        <v>272</v>
      </c>
      <c r="G116" s="50" t="s">
        <v>273</v>
      </c>
      <c r="H116" s="37" t="s">
        <v>151</v>
      </c>
      <c r="I116" s="37" t="s">
        <v>604</v>
      </c>
      <c r="J116" s="37" t="s">
        <v>852</v>
      </c>
      <c r="K116" s="50" t="s">
        <v>3</v>
      </c>
      <c r="L116" s="50" t="s">
        <v>14</v>
      </c>
      <c r="M116" s="50" t="s">
        <v>16</v>
      </c>
      <c r="N116" s="50" t="s">
        <v>276</v>
      </c>
      <c r="O116" s="37" t="s">
        <v>3</v>
      </c>
      <c r="P116" s="37" t="s">
        <v>14</v>
      </c>
      <c r="Q116" s="37" t="s">
        <v>16</v>
      </c>
      <c r="R116" s="37" t="s">
        <v>276</v>
      </c>
      <c r="S116" s="50" t="s">
        <v>1143</v>
      </c>
      <c r="T116" s="50" t="s">
        <v>1144</v>
      </c>
      <c r="U116" s="50" t="s">
        <v>1145</v>
      </c>
      <c r="V116" s="56" t="s">
        <v>1146</v>
      </c>
      <c r="W116" s="56" t="s">
        <v>1146</v>
      </c>
      <c r="X116" s="38" t="s">
        <v>1146</v>
      </c>
      <c r="Y116" s="60">
        <v>25750000000</v>
      </c>
      <c r="Z116" s="60">
        <v>429167000</v>
      </c>
      <c r="AA116" s="60"/>
      <c r="AB116" s="60">
        <f>Z116+AA116</f>
        <v>429167000</v>
      </c>
      <c r="AC116" s="61"/>
      <c r="AD116" s="61"/>
      <c r="AE116" s="107">
        <v>25750000000</v>
      </c>
      <c r="AF116" s="109">
        <v>643749996</v>
      </c>
      <c r="AG116" s="108">
        <f>$AR116+$AZ116+$BQ116+$BT116+$BU116+$BV116</f>
        <v>225780727</v>
      </c>
      <c r="AH116" s="121">
        <f>AF116-AG116</f>
        <v>417969269</v>
      </c>
      <c r="AI116" s="39" t="s">
        <v>1147</v>
      </c>
      <c r="AJ116" s="198"/>
      <c r="AK116" s="198"/>
      <c r="AL116" s="42"/>
      <c r="AM116" s="68"/>
      <c r="AN116" s="68"/>
      <c r="AO116" s="68"/>
      <c r="AP116" s="68"/>
      <c r="AQ116" s="68">
        <v>0</v>
      </c>
      <c r="AR116" s="68">
        <v>0</v>
      </c>
      <c r="AS116" s="68" t="s">
        <v>307</v>
      </c>
      <c r="AT116" s="68"/>
      <c r="AU116" s="69" t="s">
        <v>277</v>
      </c>
      <c r="AV116" s="69" t="s">
        <v>277</v>
      </c>
      <c r="AW116" s="69" t="s">
        <v>277</v>
      </c>
      <c r="AX116" s="69"/>
      <c r="AY116" s="68">
        <v>0</v>
      </c>
      <c r="AZ116" s="68">
        <v>0</v>
      </c>
      <c r="BA116" s="68" t="s">
        <v>307</v>
      </c>
      <c r="BB116" s="68"/>
      <c r="BC116" s="69" t="s">
        <v>1148</v>
      </c>
      <c r="BD116" s="69" t="s">
        <v>277</v>
      </c>
      <c r="BE116" s="56" t="s">
        <v>277</v>
      </c>
      <c r="BF116" s="56" t="s">
        <v>277</v>
      </c>
      <c r="BG116" s="56" t="s">
        <v>277</v>
      </c>
      <c r="BH116" s="56" t="s">
        <v>277</v>
      </c>
      <c r="BI116" s="69">
        <v>0</v>
      </c>
      <c r="BJ116" s="69">
        <v>0</v>
      </c>
      <c r="BK116" s="69">
        <v>0</v>
      </c>
      <c r="BL116" s="69">
        <v>0</v>
      </c>
      <c r="BM116" s="69">
        <v>0</v>
      </c>
      <c r="BN116" s="69">
        <v>0</v>
      </c>
      <c r="BO116" s="69">
        <v>0</v>
      </c>
      <c r="BP116" s="69">
        <v>0</v>
      </c>
      <c r="BQ116" s="69"/>
      <c r="BR116" s="69" t="s">
        <v>382</v>
      </c>
      <c r="BS116" s="69" t="s">
        <v>798</v>
      </c>
      <c r="BT116" s="68">
        <v>225780727</v>
      </c>
      <c r="BU116" s="68">
        <v>0</v>
      </c>
      <c r="BV116" s="68">
        <v>0</v>
      </c>
      <c r="BW116" s="94">
        <v>0</v>
      </c>
      <c r="BX116" s="94">
        <v>0</v>
      </c>
      <c r="BY116" s="94">
        <v>643749996</v>
      </c>
      <c r="BZ116" s="94">
        <v>0</v>
      </c>
      <c r="CA116" s="94">
        <v>0</v>
      </c>
      <c r="CB116" s="94">
        <v>0</v>
      </c>
      <c r="CC116" s="94">
        <v>0</v>
      </c>
      <c r="CD116" s="94">
        <v>0</v>
      </c>
      <c r="CE116" s="94">
        <v>0</v>
      </c>
      <c r="CF116" s="108">
        <f>SUM(BT116:CE116)</f>
        <v>869530723</v>
      </c>
      <c r="CG116" s="108">
        <f>$CF116-$AF116</f>
        <v>225780727</v>
      </c>
      <c r="CH116" s="37" t="s">
        <v>289</v>
      </c>
      <c r="CI116" s="37" t="s">
        <v>290</v>
      </c>
      <c r="CJ116" s="37" t="s">
        <v>277</v>
      </c>
      <c r="CK116" s="37" t="s">
        <v>290</v>
      </c>
      <c r="CL116" s="37" t="s">
        <v>277</v>
      </c>
      <c r="CM116" s="37" t="s">
        <v>277</v>
      </c>
      <c r="CN116" s="37" t="s">
        <v>290</v>
      </c>
      <c r="CO116" s="37" t="s">
        <v>902</v>
      </c>
      <c r="CP116" s="41">
        <v>46023</v>
      </c>
      <c r="CQ116" s="41">
        <v>46387</v>
      </c>
      <c r="CR116" s="37" t="s">
        <v>293</v>
      </c>
      <c r="CS116" s="37" t="s">
        <v>322</v>
      </c>
      <c r="CT116" s="37" t="s">
        <v>295</v>
      </c>
      <c r="CU116" s="37" t="s">
        <v>341</v>
      </c>
      <c r="CV116" s="37" t="s">
        <v>382</v>
      </c>
      <c r="CW116" s="37">
        <v>4200003125</v>
      </c>
      <c r="CX116" s="37" t="s">
        <v>1149</v>
      </c>
      <c r="CY116" s="37">
        <v>25750000000</v>
      </c>
      <c r="CZ116" s="123">
        <v>45200</v>
      </c>
      <c r="DA116" s="123">
        <v>46296</v>
      </c>
      <c r="DB116" s="37" t="s">
        <v>277</v>
      </c>
      <c r="DC116" s="37" t="s">
        <v>388</v>
      </c>
      <c r="DD116" s="68">
        <v>0</v>
      </c>
      <c r="DE116" s="68">
        <v>429167000</v>
      </c>
      <c r="DF116" s="68">
        <v>0</v>
      </c>
      <c r="DG116" s="68">
        <v>0</v>
      </c>
      <c r="DH116" s="68">
        <v>0</v>
      </c>
      <c r="DI116" s="68">
        <v>0</v>
      </c>
      <c r="DJ116" s="68">
        <v>0</v>
      </c>
      <c r="DK116" s="68">
        <v>0</v>
      </c>
      <c r="DL116" s="68">
        <v>0</v>
      </c>
      <c r="DM116" s="68">
        <v>0</v>
      </c>
      <c r="DN116" s="68">
        <v>0</v>
      </c>
      <c r="DO116" s="68">
        <v>0</v>
      </c>
      <c r="DP116" s="68">
        <f>SUM(DD116:DO116)</f>
        <v>429167000</v>
      </c>
      <c r="DQ116" s="68">
        <f>DP116-AB116</f>
        <v>0</v>
      </c>
      <c r="DR116" s="68">
        <f>$DD116</f>
        <v>0</v>
      </c>
      <c r="DS116" s="68">
        <f>DR116+DE116</f>
        <v>429167000</v>
      </c>
      <c r="DT116" s="68">
        <f>DS116+DF116</f>
        <v>429167000</v>
      </c>
      <c r="DU116" s="68">
        <f>DT116+DG116</f>
        <v>429167000</v>
      </c>
      <c r="DV116" s="68">
        <f>DU116+DH116</f>
        <v>429167000</v>
      </c>
      <c r="DW116" s="68">
        <f>DV116+DI116</f>
        <v>429167000</v>
      </c>
      <c r="DX116" s="68">
        <f>DW116+DJ116</f>
        <v>429167000</v>
      </c>
      <c r="DY116" s="68">
        <f>DX116+DK116</f>
        <v>429167000</v>
      </c>
      <c r="DZ116" s="68">
        <f>DY116+DL116</f>
        <v>429167000</v>
      </c>
      <c r="EA116" s="68">
        <f>DZ116+DM116</f>
        <v>429167000</v>
      </c>
      <c r="EB116" s="68">
        <f>EA116+DN116</f>
        <v>429167000</v>
      </c>
      <c r="EC116" s="68">
        <f>EB116+DO116</f>
        <v>429167000</v>
      </c>
      <c r="ED116" s="68">
        <f>$EC116-$AB116</f>
        <v>0</v>
      </c>
    </row>
    <row r="117" spans="1:134" ht="45">
      <c r="A117" s="74"/>
      <c r="B117" s="50">
        <v>53</v>
      </c>
      <c r="C117" s="50" t="s">
        <v>269</v>
      </c>
      <c r="D117" s="50" t="s">
        <v>297</v>
      </c>
      <c r="E117" s="50"/>
      <c r="F117" s="50" t="s">
        <v>272</v>
      </c>
      <c r="G117" s="50" t="s">
        <v>273</v>
      </c>
      <c r="H117" s="37" t="s">
        <v>151</v>
      </c>
      <c r="I117" s="37" t="s">
        <v>604</v>
      </c>
      <c r="J117" s="37" t="s">
        <v>852</v>
      </c>
      <c r="K117" s="50" t="s">
        <v>3</v>
      </c>
      <c r="L117" s="50" t="s">
        <v>14</v>
      </c>
      <c r="M117" s="50" t="s">
        <v>16</v>
      </c>
      <c r="N117" s="50" t="s">
        <v>276</v>
      </c>
      <c r="O117" s="37" t="s">
        <v>3</v>
      </c>
      <c r="P117" s="37" t="s">
        <v>14</v>
      </c>
      <c r="Q117" s="37" t="s">
        <v>16</v>
      </c>
      <c r="R117" s="37" t="s">
        <v>276</v>
      </c>
      <c r="S117" s="50" t="s">
        <v>1150</v>
      </c>
      <c r="T117" s="50" t="s">
        <v>1151</v>
      </c>
      <c r="U117" s="50" t="s">
        <v>1152</v>
      </c>
      <c r="V117" s="56" t="s">
        <v>1153</v>
      </c>
      <c r="W117" s="56" t="s">
        <v>1154</v>
      </c>
      <c r="X117" s="38" t="s">
        <v>1154</v>
      </c>
      <c r="Y117" s="60">
        <v>62274996000</v>
      </c>
      <c r="Z117" s="60">
        <v>1245499920</v>
      </c>
      <c r="AA117" s="60"/>
      <c r="AB117" s="60">
        <f>Z117+AA117</f>
        <v>1245499920</v>
      </c>
      <c r="AC117" s="61"/>
      <c r="AD117" s="61"/>
      <c r="AE117" s="107">
        <v>62274996000</v>
      </c>
      <c r="AF117" s="109">
        <v>622749960</v>
      </c>
      <c r="AG117" s="108">
        <f>$AR117+$AZ117+$BQ117+$BT117+$BU117+$BV117</f>
        <v>20831000</v>
      </c>
      <c r="AH117" s="121">
        <f>AF117-AG117</f>
        <v>601918960</v>
      </c>
      <c r="AI117" s="39" t="s">
        <v>1155</v>
      </c>
      <c r="AJ117" s="198"/>
      <c r="AK117" s="198"/>
      <c r="AL117" s="42"/>
      <c r="AM117" s="68"/>
      <c r="AN117" s="68"/>
      <c r="AO117" s="68"/>
      <c r="AP117" s="68"/>
      <c r="AQ117" s="68">
        <v>0</v>
      </c>
      <c r="AR117" s="68">
        <v>0</v>
      </c>
      <c r="AS117" s="68" t="s">
        <v>307</v>
      </c>
      <c r="AT117" s="68"/>
      <c r="AU117" s="69" t="s">
        <v>277</v>
      </c>
      <c r="AV117" s="69" t="s">
        <v>277</v>
      </c>
      <c r="AW117" s="69" t="s">
        <v>277</v>
      </c>
      <c r="AX117" s="69"/>
      <c r="AY117" s="68">
        <v>0</v>
      </c>
      <c r="AZ117" s="68">
        <v>0</v>
      </c>
      <c r="BA117" s="68" t="s">
        <v>307</v>
      </c>
      <c r="BB117" s="68"/>
      <c r="BC117" s="69" t="s">
        <v>1156</v>
      </c>
      <c r="BD117" s="69" t="s">
        <v>277</v>
      </c>
      <c r="BE117" s="56" t="s">
        <v>277</v>
      </c>
      <c r="BF117" s="56" t="s">
        <v>277</v>
      </c>
      <c r="BG117" s="56" t="s">
        <v>277</v>
      </c>
      <c r="BH117" s="56" t="s">
        <v>277</v>
      </c>
      <c r="BI117" s="69">
        <v>0</v>
      </c>
      <c r="BJ117" s="69">
        <v>0</v>
      </c>
      <c r="BK117" s="69">
        <v>0</v>
      </c>
      <c r="BL117" s="69">
        <v>0</v>
      </c>
      <c r="BM117" s="69">
        <v>0</v>
      </c>
      <c r="BN117" s="69">
        <v>0</v>
      </c>
      <c r="BO117" s="69">
        <v>0</v>
      </c>
      <c r="BP117" s="69">
        <v>0</v>
      </c>
      <c r="BQ117" s="69"/>
      <c r="BR117" s="69" t="s">
        <v>1065</v>
      </c>
      <c r="BS117" s="69" t="s">
        <v>1024</v>
      </c>
      <c r="BT117" s="68">
        <v>0</v>
      </c>
      <c r="BU117" s="68">
        <v>0</v>
      </c>
      <c r="BV117" s="68">
        <v>20831000</v>
      </c>
      <c r="BW117" s="94">
        <v>0</v>
      </c>
      <c r="BX117" s="94">
        <v>0</v>
      </c>
      <c r="BY117" s="94">
        <v>0</v>
      </c>
      <c r="BZ117" s="94">
        <v>0</v>
      </c>
      <c r="CA117" s="94">
        <v>622749960</v>
      </c>
      <c r="CB117" s="94">
        <v>0</v>
      </c>
      <c r="CC117" s="94">
        <v>0</v>
      </c>
      <c r="CD117" s="94">
        <v>0</v>
      </c>
      <c r="CE117" s="94">
        <v>0</v>
      </c>
      <c r="CF117" s="108">
        <f>SUM(BT117:CE117)</f>
        <v>643580960</v>
      </c>
      <c r="CG117" s="108">
        <f>$CF117-$AF117</f>
        <v>20831000</v>
      </c>
      <c r="CH117" s="37" t="s">
        <v>289</v>
      </c>
      <c r="CI117" s="37" t="s">
        <v>290</v>
      </c>
      <c r="CJ117" s="37" t="s">
        <v>277</v>
      </c>
      <c r="CK117" s="37" t="s">
        <v>290</v>
      </c>
      <c r="CL117" s="37" t="s">
        <v>277</v>
      </c>
      <c r="CM117" s="37" t="s">
        <v>277</v>
      </c>
      <c r="CN117" s="37" t="s">
        <v>290</v>
      </c>
      <c r="CO117" s="37" t="s">
        <v>275</v>
      </c>
      <c r="CP117" s="41">
        <v>46023</v>
      </c>
      <c r="CQ117" s="41">
        <v>46387</v>
      </c>
      <c r="CR117" s="37" t="s">
        <v>293</v>
      </c>
      <c r="CS117" s="37" t="s">
        <v>454</v>
      </c>
      <c r="CT117" s="37" t="s">
        <v>524</v>
      </c>
      <c r="CU117" s="37" t="s">
        <v>341</v>
      </c>
      <c r="CV117" s="37" t="s">
        <v>1065</v>
      </c>
      <c r="CW117" s="172">
        <v>4200002375</v>
      </c>
      <c r="CX117" s="172" t="s">
        <v>1157</v>
      </c>
      <c r="CY117" s="172">
        <v>62274996000</v>
      </c>
      <c r="CZ117" s="173">
        <v>44927</v>
      </c>
      <c r="DA117" s="173">
        <v>46023</v>
      </c>
      <c r="DB117" s="172" t="s">
        <v>277</v>
      </c>
      <c r="DC117" s="172" t="s">
        <v>485</v>
      </c>
      <c r="DD117" s="68">
        <v>0</v>
      </c>
      <c r="DE117" s="68">
        <v>0</v>
      </c>
      <c r="DF117" s="68">
        <v>1245499920</v>
      </c>
      <c r="DG117" s="68">
        <v>0</v>
      </c>
      <c r="DH117" s="68">
        <v>0</v>
      </c>
      <c r="DI117" s="68">
        <v>0</v>
      </c>
      <c r="DJ117" s="68">
        <v>0</v>
      </c>
      <c r="DK117" s="68">
        <v>0</v>
      </c>
      <c r="DL117" s="68">
        <v>0</v>
      </c>
      <c r="DM117" s="68">
        <v>0</v>
      </c>
      <c r="DN117" s="68">
        <v>0</v>
      </c>
      <c r="DO117" s="68">
        <v>0</v>
      </c>
      <c r="DP117" s="68">
        <f>SUM(DD117:DO117)</f>
        <v>1245499920</v>
      </c>
      <c r="DQ117" s="68">
        <f>DP117-AB117</f>
        <v>0</v>
      </c>
      <c r="DR117" s="68">
        <f>$DD117</f>
        <v>0</v>
      </c>
      <c r="DS117" s="68">
        <f>DR117+DE117</f>
        <v>0</v>
      </c>
      <c r="DT117" s="68">
        <f>DS117+DF117</f>
        <v>1245499920</v>
      </c>
      <c r="DU117" s="68">
        <f>DT117+DG117</f>
        <v>1245499920</v>
      </c>
      <c r="DV117" s="68">
        <f>DU117+DH117</f>
        <v>1245499920</v>
      </c>
      <c r="DW117" s="68">
        <f>DV117+DI117</f>
        <v>1245499920</v>
      </c>
      <c r="DX117" s="68">
        <f>DW117+DJ117</f>
        <v>1245499920</v>
      </c>
      <c r="DY117" s="68">
        <f>DX117+DK117</f>
        <v>1245499920</v>
      </c>
      <c r="DZ117" s="68">
        <f>DY117+DL117</f>
        <v>1245499920</v>
      </c>
      <c r="EA117" s="68">
        <f>DZ117+DM117</f>
        <v>1245499920</v>
      </c>
      <c r="EB117" s="68">
        <f>EA117+DN117</f>
        <v>1245499920</v>
      </c>
      <c r="EC117" s="68">
        <f>EB117+DO117</f>
        <v>1245499920</v>
      </c>
      <c r="ED117" s="68">
        <f>$EC117-$AB117</f>
        <v>0</v>
      </c>
    </row>
    <row r="118" spans="1:134" ht="30">
      <c r="A118" s="74"/>
      <c r="B118" s="50">
        <v>113</v>
      </c>
      <c r="C118" s="50" t="s">
        <v>269</v>
      </c>
      <c r="D118" s="50" t="s">
        <v>297</v>
      </c>
      <c r="E118" s="50"/>
      <c r="F118" s="50" t="s">
        <v>272</v>
      </c>
      <c r="G118" s="50" t="s">
        <v>273</v>
      </c>
      <c r="H118" s="37" t="s">
        <v>151</v>
      </c>
      <c r="I118" s="37" t="s">
        <v>1158</v>
      </c>
      <c r="J118" s="37" t="s">
        <v>1159</v>
      </c>
      <c r="K118" s="50" t="s">
        <v>3</v>
      </c>
      <c r="L118" s="50" t="s">
        <v>14</v>
      </c>
      <c r="M118" s="50" t="s">
        <v>16</v>
      </c>
      <c r="N118" s="50" t="s">
        <v>276</v>
      </c>
      <c r="O118" s="37" t="s">
        <v>3</v>
      </c>
      <c r="P118" s="37" t="s">
        <v>14</v>
      </c>
      <c r="Q118" s="37" t="s">
        <v>16</v>
      </c>
      <c r="R118" s="37" t="s">
        <v>276</v>
      </c>
      <c r="S118" s="50" t="s">
        <v>1160</v>
      </c>
      <c r="T118" s="50" t="s">
        <v>1161</v>
      </c>
      <c r="U118" s="50" t="s">
        <v>1162</v>
      </c>
      <c r="V118" s="56" t="s">
        <v>1163</v>
      </c>
      <c r="W118" s="56" t="s">
        <v>1163</v>
      </c>
      <c r="X118" s="38" t="s">
        <v>1163</v>
      </c>
      <c r="Y118" s="60">
        <v>2401100800</v>
      </c>
      <c r="Z118" s="60">
        <v>480221000</v>
      </c>
      <c r="AA118" s="60"/>
      <c r="AB118" s="60">
        <f>Z118+AA118</f>
        <v>480221000</v>
      </c>
      <c r="AC118" s="61"/>
      <c r="AD118" s="61"/>
      <c r="AE118" s="109">
        <v>2401100800</v>
      </c>
      <c r="AF118" s="109">
        <v>560000000</v>
      </c>
      <c r="AG118" s="108">
        <f>$AR118+$AZ118+$BQ118+$BT118+$BU118+$BV118</f>
        <v>0</v>
      </c>
      <c r="AH118" s="121">
        <f>AF118-AG118</f>
        <v>560000000</v>
      </c>
      <c r="AI118" s="39" t="s">
        <v>1164</v>
      </c>
      <c r="AJ118" s="198"/>
      <c r="AK118" s="198"/>
      <c r="AL118" s="42"/>
      <c r="AM118" s="68"/>
      <c r="AN118" s="68"/>
      <c r="AO118" s="68"/>
      <c r="AP118" s="68"/>
      <c r="AQ118" s="68">
        <v>0</v>
      </c>
      <c r="AR118" s="68">
        <v>0</v>
      </c>
      <c r="AS118" s="68" t="s">
        <v>307</v>
      </c>
      <c r="AT118" s="68"/>
      <c r="AU118" s="69" t="s">
        <v>277</v>
      </c>
      <c r="AV118" s="69" t="s">
        <v>277</v>
      </c>
      <c r="AW118" s="69" t="s">
        <v>277</v>
      </c>
      <c r="AX118" s="69"/>
      <c r="AY118" s="68">
        <v>0</v>
      </c>
      <c r="AZ118" s="68">
        <v>0</v>
      </c>
      <c r="BA118" s="68" t="s">
        <v>307</v>
      </c>
      <c r="BB118" s="68"/>
      <c r="BC118" s="69" t="s">
        <v>1165</v>
      </c>
      <c r="BD118" s="69" t="s">
        <v>277</v>
      </c>
      <c r="BE118" s="56" t="s">
        <v>277</v>
      </c>
      <c r="BF118" s="56" t="s">
        <v>277</v>
      </c>
      <c r="BG118" s="56" t="s">
        <v>277</v>
      </c>
      <c r="BH118" s="56" t="s">
        <v>277</v>
      </c>
      <c r="BI118" s="69">
        <v>0</v>
      </c>
      <c r="BJ118" s="69">
        <v>0</v>
      </c>
      <c r="BK118" s="69">
        <v>0</v>
      </c>
      <c r="BL118" s="69">
        <v>0</v>
      </c>
      <c r="BM118" s="69">
        <v>0</v>
      </c>
      <c r="BN118" s="69">
        <v>0</v>
      </c>
      <c r="BO118" s="69">
        <v>0</v>
      </c>
      <c r="BP118" s="69">
        <v>0</v>
      </c>
      <c r="BQ118" s="69"/>
      <c r="BR118" s="69" t="s">
        <v>382</v>
      </c>
      <c r="BS118" s="69" t="s">
        <v>798</v>
      </c>
      <c r="BT118" s="68">
        <v>0</v>
      </c>
      <c r="BU118" s="68">
        <v>0</v>
      </c>
      <c r="BV118" s="68">
        <v>0</v>
      </c>
      <c r="BW118" s="94">
        <v>0</v>
      </c>
      <c r="BX118" s="94">
        <v>560000000</v>
      </c>
      <c r="BY118" s="94">
        <v>0</v>
      </c>
      <c r="BZ118" s="94">
        <v>0</v>
      </c>
      <c r="CA118" s="94">
        <v>0</v>
      </c>
      <c r="CB118" s="94">
        <v>0</v>
      </c>
      <c r="CC118" s="94">
        <v>0</v>
      </c>
      <c r="CD118" s="94">
        <v>0</v>
      </c>
      <c r="CE118" s="94">
        <v>0</v>
      </c>
      <c r="CF118" s="108">
        <f>SUM(BT118:CE118)</f>
        <v>560000000</v>
      </c>
      <c r="CG118" s="108">
        <f>$CF118-$AF118</f>
        <v>0</v>
      </c>
      <c r="CH118" s="37" t="s">
        <v>289</v>
      </c>
      <c r="CI118" s="37" t="s">
        <v>290</v>
      </c>
      <c r="CJ118" s="37" t="s">
        <v>277</v>
      </c>
      <c r="CK118" s="37" t="s">
        <v>290</v>
      </c>
      <c r="CL118" s="37" t="s">
        <v>277</v>
      </c>
      <c r="CM118" s="37" t="s">
        <v>277</v>
      </c>
      <c r="CN118" s="37" t="s">
        <v>290</v>
      </c>
      <c r="CO118" s="37" t="s">
        <v>1166</v>
      </c>
      <c r="CP118" s="41">
        <v>46023</v>
      </c>
      <c r="CQ118" s="41">
        <v>46387</v>
      </c>
      <c r="CR118" s="37" t="s">
        <v>293</v>
      </c>
      <c r="CS118" s="37" t="s">
        <v>322</v>
      </c>
      <c r="CT118" s="37" t="s">
        <v>295</v>
      </c>
      <c r="CU118" s="37" t="s">
        <v>341</v>
      </c>
      <c r="CV118" s="37" t="s">
        <v>382</v>
      </c>
      <c r="CW118" s="37" t="s">
        <v>1167</v>
      </c>
      <c r="CX118" s="37" t="s">
        <v>1168</v>
      </c>
      <c r="CY118" s="37">
        <v>2401100800</v>
      </c>
      <c r="CZ118" s="123">
        <v>45627</v>
      </c>
      <c r="DA118" s="173">
        <v>46357</v>
      </c>
      <c r="DB118" s="172" t="s">
        <v>277</v>
      </c>
      <c r="DC118" s="172" t="s">
        <v>1169</v>
      </c>
      <c r="DD118" s="68">
        <v>0</v>
      </c>
      <c r="DE118" s="68">
        <v>480221000</v>
      </c>
      <c r="DF118" s="68">
        <v>0</v>
      </c>
      <c r="DG118" s="68">
        <v>0</v>
      </c>
      <c r="DH118" s="68">
        <v>0</v>
      </c>
      <c r="DI118" s="68">
        <v>0</v>
      </c>
      <c r="DJ118" s="68">
        <v>0</v>
      </c>
      <c r="DK118" s="68">
        <v>0</v>
      </c>
      <c r="DL118" s="68">
        <v>0</v>
      </c>
      <c r="DM118" s="68">
        <v>0</v>
      </c>
      <c r="DN118" s="68">
        <v>0</v>
      </c>
      <c r="DO118" s="68">
        <v>0</v>
      </c>
      <c r="DP118" s="68">
        <f>SUM(DD118:DO118)</f>
        <v>480221000</v>
      </c>
      <c r="DQ118" s="68">
        <f>DP118-AB118</f>
        <v>0</v>
      </c>
      <c r="DR118" s="68">
        <f>$DD118</f>
        <v>0</v>
      </c>
      <c r="DS118" s="68">
        <f>DR118+DE118</f>
        <v>480221000</v>
      </c>
      <c r="DT118" s="68">
        <f>DS118+DF118</f>
        <v>480221000</v>
      </c>
      <c r="DU118" s="68">
        <f>DT118+DG118</f>
        <v>480221000</v>
      </c>
      <c r="DV118" s="68">
        <f>DU118+DH118</f>
        <v>480221000</v>
      </c>
      <c r="DW118" s="68">
        <f>DV118+DI118</f>
        <v>480221000</v>
      </c>
      <c r="DX118" s="68">
        <f>DW118+DJ118</f>
        <v>480221000</v>
      </c>
      <c r="DY118" s="68">
        <f>DX118+DK118</f>
        <v>480221000</v>
      </c>
      <c r="DZ118" s="68">
        <f>DY118+DL118</f>
        <v>480221000</v>
      </c>
      <c r="EA118" s="68">
        <f>DZ118+DM118</f>
        <v>480221000</v>
      </c>
      <c r="EB118" s="68">
        <f>EA118+DN118</f>
        <v>480221000</v>
      </c>
      <c r="EC118" s="68">
        <f>EB118+DO118</f>
        <v>480221000</v>
      </c>
      <c r="ED118" s="68">
        <f>$EC118-$AB118</f>
        <v>0</v>
      </c>
    </row>
    <row r="119" spans="1:134" ht="45">
      <c r="A119" s="74"/>
      <c r="B119" s="50">
        <v>71</v>
      </c>
      <c r="C119" s="50" t="s">
        <v>269</v>
      </c>
      <c r="D119" s="50" t="s">
        <v>297</v>
      </c>
      <c r="E119" s="50"/>
      <c r="F119" s="50" t="s">
        <v>272</v>
      </c>
      <c r="G119" s="50" t="s">
        <v>273</v>
      </c>
      <c r="H119" s="37" t="s">
        <v>151</v>
      </c>
      <c r="I119" s="37" t="s">
        <v>750</v>
      </c>
      <c r="J119" s="37" t="s">
        <v>1170</v>
      </c>
      <c r="K119" s="50" t="s">
        <v>3</v>
      </c>
      <c r="L119" s="50" t="s">
        <v>14</v>
      </c>
      <c r="M119" s="50" t="s">
        <v>16</v>
      </c>
      <c r="N119" s="50" t="s">
        <v>276</v>
      </c>
      <c r="O119" s="37" t="s">
        <v>3</v>
      </c>
      <c r="P119" s="37" t="s">
        <v>14</v>
      </c>
      <c r="Q119" s="37" t="s">
        <v>16</v>
      </c>
      <c r="R119" s="37" t="s">
        <v>276</v>
      </c>
      <c r="S119" s="50" t="s">
        <v>277</v>
      </c>
      <c r="T119" s="50" t="s">
        <v>1171</v>
      </c>
      <c r="U119" s="50" t="s">
        <v>1172</v>
      </c>
      <c r="V119" s="56" t="s">
        <v>1173</v>
      </c>
      <c r="W119" s="56" t="s">
        <v>1173</v>
      </c>
      <c r="X119" s="38" t="s">
        <v>1173</v>
      </c>
      <c r="Y119" s="60">
        <v>8795800000</v>
      </c>
      <c r="Z119" s="60">
        <v>109947500</v>
      </c>
      <c r="AA119" s="60"/>
      <c r="AB119" s="60">
        <f>Z119+AA119</f>
        <v>109947500</v>
      </c>
      <c r="AC119" s="61"/>
      <c r="AD119" s="61"/>
      <c r="AE119" s="94">
        <v>8795800000</v>
      </c>
      <c r="AF119" s="94">
        <v>549340520</v>
      </c>
      <c r="AG119" s="108">
        <f>$AR119+$AZ119+$BQ119+$BT119+$BU119+$BV119</f>
        <v>0</v>
      </c>
      <c r="AH119" s="121">
        <f>AF119-AG119</f>
        <v>549340520</v>
      </c>
      <c r="AI119" s="39" t="s">
        <v>277</v>
      </c>
      <c r="AJ119" s="200"/>
      <c r="AK119" s="200"/>
      <c r="AL119" s="39"/>
      <c r="AM119" s="68"/>
      <c r="AN119" s="68"/>
      <c r="AO119" s="68"/>
      <c r="AP119" s="68"/>
      <c r="AQ119" s="68">
        <v>0</v>
      </c>
      <c r="AR119" s="68">
        <v>0</v>
      </c>
      <c r="AS119" s="68" t="s">
        <v>307</v>
      </c>
      <c r="AT119" s="68"/>
      <c r="AU119" s="69" t="s">
        <v>277</v>
      </c>
      <c r="AV119" s="69" t="s">
        <v>277</v>
      </c>
      <c r="AW119" s="69" t="s">
        <v>277</v>
      </c>
      <c r="AX119" s="69"/>
      <c r="AY119" s="68">
        <v>0</v>
      </c>
      <c r="AZ119" s="68">
        <v>0</v>
      </c>
      <c r="BA119" s="68" t="s">
        <v>307</v>
      </c>
      <c r="BB119" s="68"/>
      <c r="BC119" s="69" t="s">
        <v>1174</v>
      </c>
      <c r="BD119" s="69" t="s">
        <v>277</v>
      </c>
      <c r="BE119" s="56" t="s">
        <v>277</v>
      </c>
      <c r="BF119" s="56" t="s">
        <v>277</v>
      </c>
      <c r="BG119" s="56" t="s">
        <v>277</v>
      </c>
      <c r="BH119" s="56" t="s">
        <v>277</v>
      </c>
      <c r="BI119" s="69">
        <v>0</v>
      </c>
      <c r="BJ119" s="69">
        <v>0</v>
      </c>
      <c r="BK119" s="69">
        <v>0</v>
      </c>
      <c r="BL119" s="69">
        <v>0</v>
      </c>
      <c r="BM119" s="69">
        <v>0</v>
      </c>
      <c r="BN119" s="69">
        <v>0</v>
      </c>
      <c r="BO119" s="69">
        <v>0</v>
      </c>
      <c r="BP119" s="69">
        <v>0</v>
      </c>
      <c r="BQ119" s="69"/>
      <c r="BR119" s="69" t="s">
        <v>382</v>
      </c>
      <c r="BS119" s="69" t="s">
        <v>798</v>
      </c>
      <c r="BT119" s="68">
        <v>0</v>
      </c>
      <c r="BU119" s="68">
        <v>0</v>
      </c>
      <c r="BV119" s="68">
        <v>0</v>
      </c>
      <c r="BW119" s="94">
        <v>0</v>
      </c>
      <c r="BX119" s="94">
        <v>0</v>
      </c>
      <c r="BY119" s="94">
        <v>0</v>
      </c>
      <c r="BZ119" s="94">
        <v>0</v>
      </c>
      <c r="CA119" s="94">
        <v>0</v>
      </c>
      <c r="CB119" s="96">
        <v>549340520</v>
      </c>
      <c r="CC119" s="94">
        <v>0</v>
      </c>
      <c r="CD119" s="94">
        <v>0</v>
      </c>
      <c r="CE119" s="94">
        <v>0</v>
      </c>
      <c r="CF119" s="108">
        <f>SUM(BT119:CE119)</f>
        <v>549340520</v>
      </c>
      <c r="CG119" s="108">
        <f>$CF119-$AF119</f>
        <v>0</v>
      </c>
      <c r="CH119" s="37" t="s">
        <v>289</v>
      </c>
      <c r="CI119" s="37" t="s">
        <v>290</v>
      </c>
      <c r="CJ119" s="37" t="s">
        <v>277</v>
      </c>
      <c r="CK119" s="37" t="s">
        <v>290</v>
      </c>
      <c r="CL119" s="37" t="s">
        <v>277</v>
      </c>
      <c r="CM119" s="37" t="s">
        <v>277</v>
      </c>
      <c r="CN119" s="37" t="s">
        <v>290</v>
      </c>
      <c r="CO119" s="37" t="s">
        <v>1175</v>
      </c>
      <c r="CP119" s="41">
        <v>45597</v>
      </c>
      <c r="CQ119" s="41">
        <v>46327</v>
      </c>
      <c r="CR119" s="37" t="s">
        <v>293</v>
      </c>
      <c r="CS119" s="37" t="s">
        <v>454</v>
      </c>
      <c r="CT119" s="37" t="s">
        <v>295</v>
      </c>
      <c r="CU119" s="37" t="s">
        <v>341</v>
      </c>
      <c r="CV119" s="37" t="s">
        <v>382</v>
      </c>
      <c r="CW119" s="37" t="s">
        <v>1176</v>
      </c>
      <c r="CX119" s="37" t="s">
        <v>1177</v>
      </c>
      <c r="CY119" s="37">
        <v>8795800000</v>
      </c>
      <c r="CZ119" s="123">
        <v>45597</v>
      </c>
      <c r="DA119" s="123">
        <v>46327</v>
      </c>
      <c r="DB119" s="37" t="s">
        <v>277</v>
      </c>
      <c r="DC119" s="37" t="s">
        <v>1017</v>
      </c>
      <c r="DD119" s="68">
        <v>0</v>
      </c>
      <c r="DE119" s="68">
        <v>109947500</v>
      </c>
      <c r="DF119" s="68">
        <v>0</v>
      </c>
      <c r="DG119" s="68">
        <v>0</v>
      </c>
      <c r="DH119" s="68">
        <v>0</v>
      </c>
      <c r="DI119" s="68">
        <v>0</v>
      </c>
      <c r="DJ119" s="68">
        <v>0</v>
      </c>
      <c r="DK119" s="68">
        <v>0</v>
      </c>
      <c r="DL119" s="68">
        <v>0</v>
      </c>
      <c r="DM119" s="68">
        <v>0</v>
      </c>
      <c r="DN119" s="68">
        <v>0</v>
      </c>
      <c r="DO119" s="68">
        <v>0</v>
      </c>
      <c r="DP119" s="68">
        <f>SUM(DD119:DO119)</f>
        <v>109947500</v>
      </c>
      <c r="DQ119" s="68">
        <f>DP119-AB119</f>
        <v>0</v>
      </c>
      <c r="DR119" s="68">
        <f>$DD119</f>
        <v>0</v>
      </c>
      <c r="DS119" s="68">
        <f>DR119+DE119</f>
        <v>109947500</v>
      </c>
      <c r="DT119" s="68">
        <f>DS119+DF119</f>
        <v>109947500</v>
      </c>
      <c r="DU119" s="68">
        <f>DT119+DG119</f>
        <v>109947500</v>
      </c>
      <c r="DV119" s="68">
        <f>DU119+DH119</f>
        <v>109947500</v>
      </c>
      <c r="DW119" s="68">
        <f>DV119+DI119</f>
        <v>109947500</v>
      </c>
      <c r="DX119" s="68">
        <f>DW119+DJ119</f>
        <v>109947500</v>
      </c>
      <c r="DY119" s="68">
        <f>DX119+DK119</f>
        <v>109947500</v>
      </c>
      <c r="DZ119" s="68">
        <f>DY119+DL119</f>
        <v>109947500</v>
      </c>
      <c r="EA119" s="68">
        <f>DZ119+DM119</f>
        <v>109947500</v>
      </c>
      <c r="EB119" s="68">
        <f>EA119+DN119</f>
        <v>109947500</v>
      </c>
      <c r="EC119" s="68">
        <f>EB119+DO119</f>
        <v>109947500</v>
      </c>
      <c r="ED119" s="68">
        <f>$EC119-$AB119</f>
        <v>0</v>
      </c>
    </row>
    <row r="120" spans="1:134">
      <c r="A120" s="74"/>
      <c r="B120" s="50">
        <v>84</v>
      </c>
      <c r="C120" s="50" t="s">
        <v>269</v>
      </c>
      <c r="D120" s="50" t="s">
        <v>297</v>
      </c>
      <c r="E120" s="50"/>
      <c r="F120" s="50" t="s">
        <v>272</v>
      </c>
      <c r="G120" s="50" t="s">
        <v>273</v>
      </c>
      <c r="H120" s="37" t="s">
        <v>151</v>
      </c>
      <c r="I120" s="37" t="s">
        <v>326</v>
      </c>
      <c r="J120" s="37" t="s">
        <v>447</v>
      </c>
      <c r="K120" s="50" t="s">
        <v>3</v>
      </c>
      <c r="L120" s="50" t="s">
        <v>14</v>
      </c>
      <c r="M120" s="50" t="s">
        <v>16</v>
      </c>
      <c r="N120" s="50" t="s">
        <v>276</v>
      </c>
      <c r="O120" s="37" t="s">
        <v>3</v>
      </c>
      <c r="P120" s="37" t="s">
        <v>14</v>
      </c>
      <c r="Q120" s="37" t="s">
        <v>16</v>
      </c>
      <c r="R120" s="37" t="s">
        <v>276</v>
      </c>
      <c r="S120" s="50" t="s">
        <v>1178</v>
      </c>
      <c r="T120" s="50" t="s">
        <v>1179</v>
      </c>
      <c r="U120" s="50" t="s">
        <v>1180</v>
      </c>
      <c r="V120" s="56" t="s">
        <v>1181</v>
      </c>
      <c r="W120" s="56" t="s">
        <v>1181</v>
      </c>
      <c r="X120" s="38" t="s">
        <v>1181</v>
      </c>
      <c r="Y120" s="60">
        <v>80999919000</v>
      </c>
      <c r="Z120" s="60">
        <v>177600000</v>
      </c>
      <c r="AA120" s="60"/>
      <c r="AB120" s="60">
        <f>Z120+AA120</f>
        <v>177600000</v>
      </c>
      <c r="AC120" s="61"/>
      <c r="AD120" s="61"/>
      <c r="AE120" s="109">
        <v>80999919000</v>
      </c>
      <c r="AF120" s="109">
        <v>532800000</v>
      </c>
      <c r="AG120" s="108">
        <f>$AR120+$AZ120+$BQ120+$BT120+$BU120+$BV120</f>
        <v>0</v>
      </c>
      <c r="AH120" s="121">
        <f>AF120-AG120</f>
        <v>532800000</v>
      </c>
      <c r="AI120" s="39" t="s">
        <v>1182</v>
      </c>
      <c r="AJ120" s="200"/>
      <c r="AK120" s="200"/>
      <c r="AL120" s="39"/>
      <c r="AM120" s="68"/>
      <c r="AN120" s="68"/>
      <c r="AO120" s="68"/>
      <c r="AP120" s="68"/>
      <c r="AQ120" s="68">
        <v>0</v>
      </c>
      <c r="AR120" s="68">
        <v>0</v>
      </c>
      <c r="AS120" s="68" t="s">
        <v>307</v>
      </c>
      <c r="AT120" s="68"/>
      <c r="AU120" s="69" t="s">
        <v>277</v>
      </c>
      <c r="AV120" s="69" t="s">
        <v>277</v>
      </c>
      <c r="AW120" s="69" t="s">
        <v>277</v>
      </c>
      <c r="AX120" s="69"/>
      <c r="AY120" s="68">
        <v>0</v>
      </c>
      <c r="AZ120" s="68">
        <v>0</v>
      </c>
      <c r="BA120" s="68" t="s">
        <v>307</v>
      </c>
      <c r="BB120" s="68"/>
      <c r="BC120" s="69" t="s">
        <v>1183</v>
      </c>
      <c r="BD120" s="69" t="s">
        <v>277</v>
      </c>
      <c r="BE120" s="56" t="s">
        <v>277</v>
      </c>
      <c r="BF120" s="56" t="s">
        <v>277</v>
      </c>
      <c r="BG120" s="56" t="s">
        <v>277</v>
      </c>
      <c r="BH120" s="56" t="s">
        <v>277</v>
      </c>
      <c r="BI120" s="69">
        <v>0</v>
      </c>
      <c r="BJ120" s="69">
        <v>0</v>
      </c>
      <c r="BK120" s="69">
        <v>0</v>
      </c>
      <c r="BL120" s="69">
        <v>0</v>
      </c>
      <c r="BM120" s="69">
        <v>0</v>
      </c>
      <c r="BN120" s="69">
        <v>0</v>
      </c>
      <c r="BO120" s="69">
        <v>0</v>
      </c>
      <c r="BP120" s="69">
        <v>0</v>
      </c>
      <c r="BQ120" s="69"/>
      <c r="BR120" s="69" t="s">
        <v>382</v>
      </c>
      <c r="BS120" s="69" t="s">
        <v>798</v>
      </c>
      <c r="BT120" s="68">
        <v>0</v>
      </c>
      <c r="BU120" s="68">
        <v>0</v>
      </c>
      <c r="BV120" s="68">
        <v>0</v>
      </c>
      <c r="BW120" s="94">
        <v>0</v>
      </c>
      <c r="BX120" s="94">
        <v>532800000</v>
      </c>
      <c r="BY120" s="94">
        <v>0</v>
      </c>
      <c r="BZ120" s="94">
        <v>0</v>
      </c>
      <c r="CA120" s="94">
        <v>0</v>
      </c>
      <c r="CB120" s="94">
        <v>0</v>
      </c>
      <c r="CC120" s="94">
        <v>0</v>
      </c>
      <c r="CD120" s="94">
        <v>0</v>
      </c>
      <c r="CE120" s="94">
        <v>0</v>
      </c>
      <c r="CF120" s="108">
        <f>SUM(BT120:CE120)</f>
        <v>532800000</v>
      </c>
      <c r="CG120" s="108">
        <f>$CF120-$AF120</f>
        <v>0</v>
      </c>
      <c r="CH120" s="37" t="s">
        <v>289</v>
      </c>
      <c r="CI120" s="37" t="s">
        <v>290</v>
      </c>
      <c r="CJ120" s="37" t="s">
        <v>277</v>
      </c>
      <c r="CK120" s="37" t="s">
        <v>290</v>
      </c>
      <c r="CL120" s="37" t="s">
        <v>1184</v>
      </c>
      <c r="CM120" s="37" t="s">
        <v>646</v>
      </c>
      <c r="CN120" s="37" t="s">
        <v>290</v>
      </c>
      <c r="CO120" s="37" t="s">
        <v>277</v>
      </c>
      <c r="CP120" s="41">
        <v>45108</v>
      </c>
      <c r="CQ120" s="41">
        <v>46905</v>
      </c>
      <c r="CR120" s="37" t="s">
        <v>577</v>
      </c>
      <c r="CS120" s="37" t="s">
        <v>454</v>
      </c>
      <c r="CT120" s="37" t="s">
        <v>524</v>
      </c>
      <c r="CU120" s="37" t="s">
        <v>341</v>
      </c>
      <c r="CV120" s="37" t="s">
        <v>384</v>
      </c>
      <c r="CW120" s="37" t="s">
        <v>1185</v>
      </c>
      <c r="CX120" s="37" t="s">
        <v>1186</v>
      </c>
      <c r="CY120" s="37">
        <v>80999919000</v>
      </c>
      <c r="CZ120" s="123">
        <v>45108</v>
      </c>
      <c r="DA120" s="123">
        <v>46357</v>
      </c>
      <c r="DB120" s="37" t="s">
        <v>509</v>
      </c>
      <c r="DC120" s="37" t="s">
        <v>1187</v>
      </c>
      <c r="DD120" s="68">
        <v>0</v>
      </c>
      <c r="DE120" s="68">
        <v>177600000</v>
      </c>
      <c r="DF120" s="68">
        <v>0</v>
      </c>
      <c r="DG120" s="68">
        <v>0</v>
      </c>
      <c r="DH120" s="68">
        <v>0</v>
      </c>
      <c r="DI120" s="68">
        <v>0</v>
      </c>
      <c r="DJ120" s="68">
        <v>0</v>
      </c>
      <c r="DK120" s="68">
        <v>0</v>
      </c>
      <c r="DL120" s="68">
        <v>0</v>
      </c>
      <c r="DM120" s="68">
        <v>0</v>
      </c>
      <c r="DN120" s="68">
        <v>0</v>
      </c>
      <c r="DO120" s="68">
        <v>0</v>
      </c>
      <c r="DP120" s="68">
        <f>SUM(DD120:DO120)</f>
        <v>177600000</v>
      </c>
      <c r="DQ120" s="68">
        <f>DP120-AB120</f>
        <v>0</v>
      </c>
      <c r="DR120" s="68">
        <f>$DD120</f>
        <v>0</v>
      </c>
      <c r="DS120" s="68">
        <f>DR120+DE120</f>
        <v>177600000</v>
      </c>
      <c r="DT120" s="68">
        <f>DS120+DF120</f>
        <v>177600000</v>
      </c>
      <c r="DU120" s="68">
        <f>DT120+DG120</f>
        <v>177600000</v>
      </c>
      <c r="DV120" s="68">
        <f>DU120+DH120</f>
        <v>177600000</v>
      </c>
      <c r="DW120" s="68">
        <f>DV120+DI120</f>
        <v>177600000</v>
      </c>
      <c r="DX120" s="68">
        <f>DW120+DJ120</f>
        <v>177600000</v>
      </c>
      <c r="DY120" s="68">
        <f>DX120+DK120</f>
        <v>177600000</v>
      </c>
      <c r="DZ120" s="68">
        <f>DY120+DL120</f>
        <v>177600000</v>
      </c>
      <c r="EA120" s="68">
        <f>DZ120+DM120</f>
        <v>177600000</v>
      </c>
      <c r="EB120" s="68">
        <f>EA120+DN120</f>
        <v>177600000</v>
      </c>
      <c r="EC120" s="68">
        <f>EB120+DO120</f>
        <v>177600000</v>
      </c>
      <c r="ED120" s="68">
        <f>$EC120-$AB120</f>
        <v>0</v>
      </c>
    </row>
    <row r="121" spans="1:134" ht="45">
      <c r="A121" s="74"/>
      <c r="B121" s="50">
        <v>49</v>
      </c>
      <c r="C121" s="50" t="s">
        <v>269</v>
      </c>
      <c r="D121" s="50" t="s">
        <v>297</v>
      </c>
      <c r="E121" s="50"/>
      <c r="F121" s="50" t="s">
        <v>272</v>
      </c>
      <c r="G121" s="50" t="s">
        <v>273</v>
      </c>
      <c r="H121" s="37" t="s">
        <v>151</v>
      </c>
      <c r="I121" s="37" t="s">
        <v>702</v>
      </c>
      <c r="J121" s="37" t="s">
        <v>703</v>
      </c>
      <c r="K121" s="50" t="s">
        <v>3</v>
      </c>
      <c r="L121" s="50" t="s">
        <v>14</v>
      </c>
      <c r="M121" s="50" t="s">
        <v>16</v>
      </c>
      <c r="N121" s="50" t="s">
        <v>276</v>
      </c>
      <c r="O121" s="37" t="s">
        <v>3</v>
      </c>
      <c r="P121" s="37" t="s">
        <v>14</v>
      </c>
      <c r="Q121" s="37" t="s">
        <v>16</v>
      </c>
      <c r="R121" s="37" t="s">
        <v>276</v>
      </c>
      <c r="S121" s="50" t="s">
        <v>1188</v>
      </c>
      <c r="T121" s="50" t="s">
        <v>1189</v>
      </c>
      <c r="U121" s="50" t="s">
        <v>1190</v>
      </c>
      <c r="V121" s="56" t="s">
        <v>1191</v>
      </c>
      <c r="W121" s="56" t="s">
        <v>1191</v>
      </c>
      <c r="X121" s="38" t="s">
        <v>1191</v>
      </c>
      <c r="Y121" s="60">
        <v>1499960000</v>
      </c>
      <c r="Z121" s="60">
        <v>482369000</v>
      </c>
      <c r="AA121" s="60"/>
      <c r="AB121" s="60">
        <f>Z121+AA121</f>
        <v>482369000</v>
      </c>
      <c r="AC121" s="61"/>
      <c r="AD121" s="61"/>
      <c r="AE121" s="111">
        <v>1499960000</v>
      </c>
      <c r="AF121" s="111">
        <v>482369000</v>
      </c>
      <c r="AG121" s="108">
        <f>$AR121+$AZ121+$BQ121+$BT121+$BU121+$BV121</f>
        <v>0</v>
      </c>
      <c r="AH121" s="121">
        <f>AF121-AG121</f>
        <v>482369000</v>
      </c>
      <c r="AI121" s="39" t="s">
        <v>1192</v>
      </c>
      <c r="AJ121" s="198"/>
      <c r="AK121" s="198"/>
      <c r="AL121" s="42"/>
      <c r="AM121" s="68"/>
      <c r="AN121" s="68"/>
      <c r="AO121" s="68"/>
      <c r="AP121" s="68"/>
      <c r="AQ121" s="68">
        <v>0</v>
      </c>
      <c r="AR121" s="68">
        <v>0</v>
      </c>
      <c r="AS121" s="68" t="s">
        <v>307</v>
      </c>
      <c r="AT121" s="68"/>
      <c r="AU121" s="69" t="s">
        <v>277</v>
      </c>
      <c r="AV121" s="69" t="s">
        <v>277</v>
      </c>
      <c r="AW121" s="69" t="s">
        <v>277</v>
      </c>
      <c r="AX121" s="69"/>
      <c r="AY121" s="68">
        <v>0</v>
      </c>
      <c r="AZ121" s="68">
        <v>0</v>
      </c>
      <c r="BA121" s="68" t="s">
        <v>307</v>
      </c>
      <c r="BB121" s="68"/>
      <c r="BC121" s="69" t="s">
        <v>1193</v>
      </c>
      <c r="BD121" s="69" t="s">
        <v>277</v>
      </c>
      <c r="BE121" s="56" t="s">
        <v>277</v>
      </c>
      <c r="BF121" s="56" t="s">
        <v>277</v>
      </c>
      <c r="BG121" s="56" t="s">
        <v>277</v>
      </c>
      <c r="BH121" s="56" t="s">
        <v>277</v>
      </c>
      <c r="BI121" s="69">
        <v>0</v>
      </c>
      <c r="BJ121" s="69">
        <v>0</v>
      </c>
      <c r="BK121" s="69">
        <v>0</v>
      </c>
      <c r="BL121" s="69">
        <v>0</v>
      </c>
      <c r="BM121" s="69">
        <v>0</v>
      </c>
      <c r="BN121" s="69">
        <v>0</v>
      </c>
      <c r="BO121" s="69">
        <v>0</v>
      </c>
      <c r="BP121" s="69">
        <v>0</v>
      </c>
      <c r="BQ121" s="69"/>
      <c r="BR121" s="69" t="s">
        <v>382</v>
      </c>
      <c r="BS121" s="69" t="s">
        <v>798</v>
      </c>
      <c r="BT121" s="68">
        <v>0</v>
      </c>
      <c r="BU121" s="68">
        <v>0</v>
      </c>
      <c r="BV121" s="68">
        <v>0</v>
      </c>
      <c r="BW121" s="94">
        <v>0</v>
      </c>
      <c r="BX121" s="94">
        <v>0</v>
      </c>
      <c r="BY121" s="94">
        <v>0</v>
      </c>
      <c r="BZ121" s="107">
        <v>482369000</v>
      </c>
      <c r="CA121" s="94">
        <v>0</v>
      </c>
      <c r="CB121" s="94">
        <v>0</v>
      </c>
      <c r="CC121" s="94">
        <v>0</v>
      </c>
      <c r="CD121" s="94">
        <v>0</v>
      </c>
      <c r="CE121" s="94">
        <v>0</v>
      </c>
      <c r="CF121" s="108">
        <f>SUM(BT121:CE121)</f>
        <v>482369000</v>
      </c>
      <c r="CG121" s="108">
        <f>$CF121-$AF121</f>
        <v>0</v>
      </c>
      <c r="CH121" s="37" t="s">
        <v>289</v>
      </c>
      <c r="CI121" s="37" t="s">
        <v>290</v>
      </c>
      <c r="CJ121" s="37" t="s">
        <v>277</v>
      </c>
      <c r="CK121" s="37" t="s">
        <v>290</v>
      </c>
      <c r="CL121" s="37" t="s">
        <v>277</v>
      </c>
      <c r="CM121" s="37" t="s">
        <v>277</v>
      </c>
      <c r="CN121" s="37" t="s">
        <v>290</v>
      </c>
      <c r="CO121" s="37" t="s">
        <v>732</v>
      </c>
      <c r="CP121" s="41">
        <v>46023</v>
      </c>
      <c r="CQ121" s="41">
        <v>46387</v>
      </c>
      <c r="CR121" s="37" t="s">
        <v>293</v>
      </c>
      <c r="CS121" s="37" t="s">
        <v>294</v>
      </c>
      <c r="CT121" s="37" t="s">
        <v>295</v>
      </c>
      <c r="CU121" s="37" t="s">
        <v>341</v>
      </c>
      <c r="CV121" s="37" t="s">
        <v>382</v>
      </c>
      <c r="CW121" s="37" t="s">
        <v>1194</v>
      </c>
      <c r="CX121" s="37" t="s">
        <v>1191</v>
      </c>
      <c r="CY121" s="37">
        <v>1499960000</v>
      </c>
      <c r="CZ121" s="123">
        <v>44440</v>
      </c>
      <c r="DA121" s="123">
        <v>45536</v>
      </c>
      <c r="DB121" s="37" t="s">
        <v>277</v>
      </c>
      <c r="DC121" s="37" t="s">
        <v>987</v>
      </c>
      <c r="DD121" s="68">
        <v>0</v>
      </c>
      <c r="DE121" s="68">
        <v>482369000</v>
      </c>
      <c r="DF121" s="68">
        <v>0</v>
      </c>
      <c r="DG121" s="68">
        <v>0</v>
      </c>
      <c r="DH121" s="68">
        <v>0</v>
      </c>
      <c r="DI121" s="68">
        <v>0</v>
      </c>
      <c r="DJ121" s="68">
        <v>0</v>
      </c>
      <c r="DK121" s="68">
        <v>0</v>
      </c>
      <c r="DL121" s="68">
        <v>0</v>
      </c>
      <c r="DM121" s="68">
        <v>0</v>
      </c>
      <c r="DN121" s="68">
        <v>0</v>
      </c>
      <c r="DO121" s="68">
        <v>0</v>
      </c>
      <c r="DP121" s="68">
        <f>SUM(DD121:DO121)</f>
        <v>482369000</v>
      </c>
      <c r="DQ121" s="68">
        <f>DP121-AB121</f>
        <v>0</v>
      </c>
      <c r="DR121" s="68">
        <f>$DD121</f>
        <v>0</v>
      </c>
      <c r="DS121" s="68">
        <f>DR121+DE121</f>
        <v>482369000</v>
      </c>
      <c r="DT121" s="68">
        <f>DS121+DF121</f>
        <v>482369000</v>
      </c>
      <c r="DU121" s="68">
        <f>DT121+DG121</f>
        <v>482369000</v>
      </c>
      <c r="DV121" s="68">
        <f>DU121+DH121</f>
        <v>482369000</v>
      </c>
      <c r="DW121" s="68">
        <f>DV121+DI121</f>
        <v>482369000</v>
      </c>
      <c r="DX121" s="68">
        <f>DW121+DJ121</f>
        <v>482369000</v>
      </c>
      <c r="DY121" s="68">
        <f>DX121+DK121</f>
        <v>482369000</v>
      </c>
      <c r="DZ121" s="68">
        <f>DY121+DL121</f>
        <v>482369000</v>
      </c>
      <c r="EA121" s="68">
        <f>DZ121+DM121</f>
        <v>482369000</v>
      </c>
      <c r="EB121" s="68">
        <f>EA121+DN121</f>
        <v>482369000</v>
      </c>
      <c r="EC121" s="68">
        <f>EB121+DO121</f>
        <v>482369000</v>
      </c>
      <c r="ED121" s="68">
        <f>$EC121-$AB121</f>
        <v>0</v>
      </c>
    </row>
    <row r="122" spans="1:134" ht="30">
      <c r="A122" s="74"/>
      <c r="B122" s="50">
        <v>144</v>
      </c>
      <c r="C122" s="50" t="s">
        <v>269</v>
      </c>
      <c r="D122" s="50" t="s">
        <v>297</v>
      </c>
      <c r="E122" s="50"/>
      <c r="F122" s="50" t="s">
        <v>1085</v>
      </c>
      <c r="G122" s="50" t="s">
        <v>273</v>
      </c>
      <c r="H122" s="37" t="s">
        <v>151</v>
      </c>
      <c r="I122" s="37" t="s">
        <v>274</v>
      </c>
      <c r="J122" s="37" t="s">
        <v>275</v>
      </c>
      <c r="K122" s="50" t="s">
        <v>3</v>
      </c>
      <c r="L122" s="50" t="s">
        <v>25</v>
      </c>
      <c r="M122" s="50" t="s">
        <v>52</v>
      </c>
      <c r="N122" s="50" t="s">
        <v>276</v>
      </c>
      <c r="O122" s="37" t="s">
        <v>3</v>
      </c>
      <c r="P122" s="37" t="s">
        <v>25</v>
      </c>
      <c r="Q122" s="37" t="s">
        <v>52</v>
      </c>
      <c r="R122" s="87" t="s">
        <v>512</v>
      </c>
      <c r="S122" s="50" t="s">
        <v>1195</v>
      </c>
      <c r="T122" s="50" t="s">
        <v>1196</v>
      </c>
      <c r="U122" s="50" t="s">
        <v>1197</v>
      </c>
      <c r="V122" s="56" t="s">
        <v>1198</v>
      </c>
      <c r="W122" s="56" t="s">
        <v>1198</v>
      </c>
      <c r="X122" s="38" t="s">
        <v>1198</v>
      </c>
      <c r="Y122" s="60">
        <v>497280000</v>
      </c>
      <c r="Z122" s="60">
        <v>0</v>
      </c>
      <c r="AA122" s="60"/>
      <c r="AB122" s="60">
        <f>Z122+AA122</f>
        <v>0</v>
      </c>
      <c r="AC122" s="61"/>
      <c r="AD122" s="61"/>
      <c r="AE122" s="109">
        <v>497280000</v>
      </c>
      <c r="AF122" s="109">
        <v>482361600</v>
      </c>
      <c r="AG122" s="108">
        <f>$AR122+$AZ122+$BQ122+$BT122+$BU122+$BV122</f>
        <v>482361600</v>
      </c>
      <c r="AH122" s="121">
        <f>AF122-AG122</f>
        <v>0</v>
      </c>
      <c r="AI122" s="39" t="s">
        <v>1199</v>
      </c>
      <c r="AJ122" s="198"/>
      <c r="AK122" s="198"/>
      <c r="AL122" s="42"/>
      <c r="AM122" s="68"/>
      <c r="AN122" s="68"/>
      <c r="AO122" s="68"/>
      <c r="AP122" s="68"/>
      <c r="AQ122" s="68">
        <v>0</v>
      </c>
      <c r="AR122" s="68">
        <v>0</v>
      </c>
      <c r="AS122" s="68" t="s">
        <v>307</v>
      </c>
      <c r="AT122" s="68"/>
      <c r="AU122" s="69" t="s">
        <v>1200</v>
      </c>
      <c r="AV122" s="69" t="s">
        <v>1201</v>
      </c>
      <c r="AW122" s="69" t="s">
        <v>1202</v>
      </c>
      <c r="AX122" s="69"/>
      <c r="AY122" s="68">
        <v>482361600</v>
      </c>
      <c r="AZ122" s="68">
        <v>482361600</v>
      </c>
      <c r="BA122" s="68" t="s">
        <v>307</v>
      </c>
      <c r="BB122" s="68"/>
      <c r="BC122" s="69" t="s">
        <v>277</v>
      </c>
      <c r="BD122" s="69" t="s">
        <v>277</v>
      </c>
      <c r="BE122" s="56" t="s">
        <v>277</v>
      </c>
      <c r="BF122" s="56" t="s">
        <v>277</v>
      </c>
      <c r="BG122" s="56" t="s">
        <v>277</v>
      </c>
      <c r="BH122" s="56" t="s">
        <v>277</v>
      </c>
      <c r="BI122" s="69">
        <v>0</v>
      </c>
      <c r="BJ122" s="69">
        <v>0</v>
      </c>
      <c r="BK122" s="69">
        <v>0</v>
      </c>
      <c r="BL122" s="69">
        <v>0</v>
      </c>
      <c r="BM122" s="69">
        <v>0</v>
      </c>
      <c r="BN122" s="69">
        <v>0</v>
      </c>
      <c r="BO122" s="69">
        <v>0</v>
      </c>
      <c r="BP122" s="69">
        <v>0</v>
      </c>
      <c r="BQ122" s="69"/>
      <c r="BR122" s="69" t="s">
        <v>384</v>
      </c>
      <c r="BS122" s="69" t="s">
        <v>798</v>
      </c>
      <c r="BT122" s="68">
        <v>0</v>
      </c>
      <c r="BU122" s="68">
        <v>0</v>
      </c>
      <c r="BV122" s="68">
        <v>0</v>
      </c>
      <c r="BW122" s="94">
        <v>0</v>
      </c>
      <c r="BX122" s="94">
        <v>0</v>
      </c>
      <c r="BY122" s="94">
        <v>0</v>
      </c>
      <c r="BZ122" s="94">
        <v>0</v>
      </c>
      <c r="CA122" s="94">
        <v>0</v>
      </c>
      <c r="CB122" s="94">
        <v>0</v>
      </c>
      <c r="CC122" s="94">
        <v>0</v>
      </c>
      <c r="CD122" s="94">
        <v>0</v>
      </c>
      <c r="CE122" s="109">
        <v>0</v>
      </c>
      <c r="CF122" s="108">
        <f>SUM(BT122:CE122)</f>
        <v>0</v>
      </c>
      <c r="CG122" s="108">
        <f>$CF122-$AF122</f>
        <v>-482361600</v>
      </c>
      <c r="CH122" s="37" t="s">
        <v>289</v>
      </c>
      <c r="CI122" s="37" t="s">
        <v>290</v>
      </c>
      <c r="CJ122" s="37" t="s">
        <v>277</v>
      </c>
      <c r="CK122" s="37" t="s">
        <v>290</v>
      </c>
      <c r="CL122" s="37" t="s">
        <v>277</v>
      </c>
      <c r="CM122" s="37" t="s">
        <v>277</v>
      </c>
      <c r="CN122" s="37" t="s">
        <v>290</v>
      </c>
      <c r="CO122" s="37" t="s">
        <v>277</v>
      </c>
      <c r="CP122" s="41">
        <v>45992</v>
      </c>
      <c r="CQ122" s="41">
        <v>46478</v>
      </c>
      <c r="CR122" s="37" t="s">
        <v>293</v>
      </c>
      <c r="CS122" s="37" t="s">
        <v>322</v>
      </c>
      <c r="CT122" s="37" t="s">
        <v>295</v>
      </c>
      <c r="CU122" s="37" t="s">
        <v>296</v>
      </c>
      <c r="CV122" s="37" t="s">
        <v>323</v>
      </c>
      <c r="CW122" s="37">
        <v>0</v>
      </c>
      <c r="CX122" s="172">
        <v>0</v>
      </c>
      <c r="CY122" s="37">
        <v>0</v>
      </c>
      <c r="CZ122" s="123" t="s">
        <v>277</v>
      </c>
      <c r="DA122" s="173" t="s">
        <v>277</v>
      </c>
      <c r="DB122" s="172" t="s">
        <v>1203</v>
      </c>
      <c r="DC122" s="172" t="s">
        <v>1204</v>
      </c>
      <c r="DD122" s="68">
        <v>0</v>
      </c>
      <c r="DE122" s="68">
        <v>0</v>
      </c>
      <c r="DF122" s="68">
        <v>0</v>
      </c>
      <c r="DG122" s="68">
        <v>0</v>
      </c>
      <c r="DH122" s="68">
        <v>0</v>
      </c>
      <c r="DI122" s="68">
        <v>0</v>
      </c>
      <c r="DJ122" s="68">
        <v>0</v>
      </c>
      <c r="DK122" s="68">
        <v>0</v>
      </c>
      <c r="DL122" s="68">
        <v>0</v>
      </c>
      <c r="DM122" s="68">
        <v>0</v>
      </c>
      <c r="DN122" s="68">
        <v>0</v>
      </c>
      <c r="DO122" s="68">
        <v>0</v>
      </c>
      <c r="DP122" s="68">
        <f>SUM(DD122:DO122)</f>
        <v>0</v>
      </c>
      <c r="DQ122" s="68">
        <f>DP122-AB122</f>
        <v>0</v>
      </c>
      <c r="DR122" s="68">
        <f>$DD122</f>
        <v>0</v>
      </c>
      <c r="DS122" s="68">
        <f>DR122+DE122</f>
        <v>0</v>
      </c>
      <c r="DT122" s="68">
        <f>DS122+DF122</f>
        <v>0</v>
      </c>
      <c r="DU122" s="68">
        <f>DT122+DG122</f>
        <v>0</v>
      </c>
      <c r="DV122" s="68">
        <f>DU122+DH122</f>
        <v>0</v>
      </c>
      <c r="DW122" s="68">
        <f>DV122+DI122</f>
        <v>0</v>
      </c>
      <c r="DX122" s="68">
        <f>DW122+DJ122</f>
        <v>0</v>
      </c>
      <c r="DY122" s="68">
        <f>DX122+DK122</f>
        <v>0</v>
      </c>
      <c r="DZ122" s="68">
        <f>DY122+DL122</f>
        <v>0</v>
      </c>
      <c r="EA122" s="68">
        <f>DZ122+DM122</f>
        <v>0</v>
      </c>
      <c r="EB122" s="68">
        <f>EA122+DN122</f>
        <v>0</v>
      </c>
      <c r="EC122" s="68">
        <f>EB122+DO122</f>
        <v>0</v>
      </c>
      <c r="ED122" s="68">
        <f>$EC122-$AB122</f>
        <v>0</v>
      </c>
    </row>
    <row r="123" spans="1:134" ht="45">
      <c r="A123" s="74"/>
      <c r="B123" s="50">
        <v>41</v>
      </c>
      <c r="C123" s="50" t="s">
        <v>269</v>
      </c>
      <c r="D123" s="50" t="s">
        <v>297</v>
      </c>
      <c r="E123" s="50"/>
      <c r="F123" s="50" t="s">
        <v>272</v>
      </c>
      <c r="G123" s="50" t="s">
        <v>273</v>
      </c>
      <c r="H123" s="37" t="s">
        <v>151</v>
      </c>
      <c r="I123" s="37" t="s">
        <v>604</v>
      </c>
      <c r="J123" s="37" t="s">
        <v>852</v>
      </c>
      <c r="K123" s="50" t="s">
        <v>3</v>
      </c>
      <c r="L123" s="50" t="s">
        <v>14</v>
      </c>
      <c r="M123" s="50" t="s">
        <v>16</v>
      </c>
      <c r="N123" s="50" t="s">
        <v>276</v>
      </c>
      <c r="O123" s="37" t="s">
        <v>3</v>
      </c>
      <c r="P123" s="37" t="s">
        <v>14</v>
      </c>
      <c r="Q123" s="37" t="s">
        <v>16</v>
      </c>
      <c r="R123" s="37" t="s">
        <v>276</v>
      </c>
      <c r="S123" s="50" t="s">
        <v>1205</v>
      </c>
      <c r="T123" s="50" t="s">
        <v>1206</v>
      </c>
      <c r="U123" s="50" t="s">
        <v>1207</v>
      </c>
      <c r="V123" s="56" t="s">
        <v>1208</v>
      </c>
      <c r="W123" s="56" t="s">
        <v>1208</v>
      </c>
      <c r="X123" s="38" t="s">
        <v>1208</v>
      </c>
      <c r="Y123" s="60">
        <v>29000000000</v>
      </c>
      <c r="Z123" s="60">
        <v>453333333</v>
      </c>
      <c r="AA123" s="60"/>
      <c r="AB123" s="60">
        <f>Z123+AA123</f>
        <v>453333333</v>
      </c>
      <c r="AC123" s="61"/>
      <c r="AD123" s="61"/>
      <c r="AE123" s="107">
        <v>29000000000</v>
      </c>
      <c r="AF123" s="107">
        <v>453333333</v>
      </c>
      <c r="AG123" s="108">
        <f>$AR123+$AZ123+$BQ123+$BT123+$BU123+$BV123</f>
        <v>0</v>
      </c>
      <c r="AH123" s="121">
        <f>AF123-AG123</f>
        <v>453333333</v>
      </c>
      <c r="AI123" s="39" t="s">
        <v>1209</v>
      </c>
      <c r="AJ123" s="200"/>
      <c r="AK123" s="200"/>
      <c r="AL123" s="39"/>
      <c r="AM123" s="68"/>
      <c r="AN123" s="68"/>
      <c r="AO123" s="68"/>
      <c r="AP123" s="68"/>
      <c r="AQ123" s="68">
        <v>0</v>
      </c>
      <c r="AR123" s="68">
        <v>0</v>
      </c>
      <c r="AS123" s="68" t="s">
        <v>307</v>
      </c>
      <c r="AT123" s="68"/>
      <c r="AU123" s="69" t="s">
        <v>277</v>
      </c>
      <c r="AV123" s="69" t="s">
        <v>277</v>
      </c>
      <c r="AW123" s="69" t="s">
        <v>277</v>
      </c>
      <c r="AX123" s="69"/>
      <c r="AY123" s="68">
        <v>0</v>
      </c>
      <c r="AZ123" s="68">
        <v>0</v>
      </c>
      <c r="BA123" s="68" t="s">
        <v>307</v>
      </c>
      <c r="BB123" s="68"/>
      <c r="BC123" s="69" t="s">
        <v>1210</v>
      </c>
      <c r="BD123" s="69" t="s">
        <v>277</v>
      </c>
      <c r="BE123" s="56" t="s">
        <v>277</v>
      </c>
      <c r="BF123" s="56" t="s">
        <v>277</v>
      </c>
      <c r="BG123" s="56" t="s">
        <v>277</v>
      </c>
      <c r="BH123" s="56" t="s">
        <v>277</v>
      </c>
      <c r="BI123" s="69">
        <v>0</v>
      </c>
      <c r="BJ123" s="69">
        <v>0</v>
      </c>
      <c r="BK123" s="69">
        <v>0</v>
      </c>
      <c r="BL123" s="69">
        <v>0</v>
      </c>
      <c r="BM123" s="69">
        <v>0</v>
      </c>
      <c r="BN123" s="69">
        <v>0</v>
      </c>
      <c r="BO123" s="69">
        <v>0</v>
      </c>
      <c r="BP123" s="69">
        <v>0</v>
      </c>
      <c r="BQ123" s="69"/>
      <c r="BR123" s="69" t="s">
        <v>382</v>
      </c>
      <c r="BS123" s="69" t="s">
        <v>798</v>
      </c>
      <c r="BT123" s="68">
        <v>0</v>
      </c>
      <c r="BU123" s="68">
        <v>0</v>
      </c>
      <c r="BV123" s="68">
        <v>0</v>
      </c>
      <c r="BW123" s="94">
        <v>0</v>
      </c>
      <c r="BX123" s="94">
        <v>0</v>
      </c>
      <c r="BY123" s="94">
        <v>0</v>
      </c>
      <c r="BZ123" s="94">
        <v>453333333</v>
      </c>
      <c r="CA123" s="94">
        <v>0</v>
      </c>
      <c r="CB123" s="94">
        <v>0</v>
      </c>
      <c r="CC123" s="94">
        <v>0</v>
      </c>
      <c r="CD123" s="94">
        <v>0</v>
      </c>
      <c r="CE123" s="94">
        <v>0</v>
      </c>
      <c r="CF123" s="108">
        <f>SUM(BT123:CE123)</f>
        <v>453333333</v>
      </c>
      <c r="CG123" s="108">
        <f>$CF123-$AF123</f>
        <v>0</v>
      </c>
      <c r="CH123" s="37" t="s">
        <v>289</v>
      </c>
      <c r="CI123" s="37" t="s">
        <v>290</v>
      </c>
      <c r="CJ123" s="37" t="s">
        <v>277</v>
      </c>
      <c r="CK123" s="37" t="s">
        <v>290</v>
      </c>
      <c r="CL123" s="37" t="s">
        <v>277</v>
      </c>
      <c r="CM123" s="37" t="s">
        <v>277</v>
      </c>
      <c r="CN123" s="37" t="s">
        <v>290</v>
      </c>
      <c r="CO123" s="37" t="s">
        <v>902</v>
      </c>
      <c r="CP123" s="41">
        <v>46023</v>
      </c>
      <c r="CQ123" s="41">
        <v>46387</v>
      </c>
      <c r="CR123" s="37" t="s">
        <v>293</v>
      </c>
      <c r="CS123" s="37" t="s">
        <v>322</v>
      </c>
      <c r="CT123" s="37" t="s">
        <v>295</v>
      </c>
      <c r="CU123" s="37" t="s">
        <v>341</v>
      </c>
      <c r="CV123" s="37" t="s">
        <v>382</v>
      </c>
      <c r="CW123" s="37">
        <v>4200002939</v>
      </c>
      <c r="CX123" s="37" t="s">
        <v>1208</v>
      </c>
      <c r="CY123" s="37">
        <v>29000000000</v>
      </c>
      <c r="CZ123" s="123">
        <v>45108</v>
      </c>
      <c r="DA123" s="123">
        <v>46204</v>
      </c>
      <c r="DB123" s="37" t="s">
        <v>277</v>
      </c>
      <c r="DC123" s="37" t="s">
        <v>968</v>
      </c>
      <c r="DD123" s="68">
        <v>0</v>
      </c>
      <c r="DE123" s="68">
        <v>453333333</v>
      </c>
      <c r="DF123" s="68">
        <v>0</v>
      </c>
      <c r="DG123" s="68">
        <v>0</v>
      </c>
      <c r="DH123" s="68">
        <v>0</v>
      </c>
      <c r="DI123" s="68">
        <v>0</v>
      </c>
      <c r="DJ123" s="68">
        <v>0</v>
      </c>
      <c r="DK123" s="68">
        <v>0</v>
      </c>
      <c r="DL123" s="68">
        <v>0</v>
      </c>
      <c r="DM123" s="68">
        <v>0</v>
      </c>
      <c r="DN123" s="68">
        <v>0</v>
      </c>
      <c r="DO123" s="68">
        <v>0</v>
      </c>
      <c r="DP123" s="68">
        <f>SUM(DD123:DO123)</f>
        <v>453333333</v>
      </c>
      <c r="DQ123" s="68">
        <f>DP123-AB123</f>
        <v>0</v>
      </c>
      <c r="DR123" s="68">
        <f>$DD123</f>
        <v>0</v>
      </c>
      <c r="DS123" s="68">
        <f>DR123+DE123</f>
        <v>453333333</v>
      </c>
      <c r="DT123" s="68">
        <f>DS123+DF123</f>
        <v>453333333</v>
      </c>
      <c r="DU123" s="68">
        <f>DT123+DG123</f>
        <v>453333333</v>
      </c>
      <c r="DV123" s="68">
        <f>DU123+DH123</f>
        <v>453333333</v>
      </c>
      <c r="DW123" s="68">
        <f>DV123+DI123</f>
        <v>453333333</v>
      </c>
      <c r="DX123" s="68">
        <f>DW123+DJ123</f>
        <v>453333333</v>
      </c>
      <c r="DY123" s="68">
        <f>DX123+DK123</f>
        <v>453333333</v>
      </c>
      <c r="DZ123" s="68">
        <f>DY123+DL123</f>
        <v>453333333</v>
      </c>
      <c r="EA123" s="68">
        <f>DZ123+DM123</f>
        <v>453333333</v>
      </c>
      <c r="EB123" s="68">
        <f>EA123+DN123</f>
        <v>453333333</v>
      </c>
      <c r="EC123" s="68">
        <f>EB123+DO123</f>
        <v>453333333</v>
      </c>
      <c r="ED123" s="68">
        <f>$EC123-$AB123</f>
        <v>0</v>
      </c>
    </row>
    <row r="124" spans="1:134" ht="30">
      <c r="A124" s="74"/>
      <c r="B124" s="50">
        <v>47</v>
      </c>
      <c r="C124" s="50" t="s">
        <v>269</v>
      </c>
      <c r="D124" s="50" t="s">
        <v>297</v>
      </c>
      <c r="E124" s="50"/>
      <c r="F124" s="50" t="s">
        <v>272</v>
      </c>
      <c r="G124" s="50" t="s">
        <v>273</v>
      </c>
      <c r="H124" s="37" t="s">
        <v>151</v>
      </c>
      <c r="I124" s="37" t="s">
        <v>750</v>
      </c>
      <c r="J124" s="37" t="s">
        <v>751</v>
      </c>
      <c r="K124" s="50" t="s">
        <v>3</v>
      </c>
      <c r="L124" s="50" t="s">
        <v>14</v>
      </c>
      <c r="M124" s="50" t="s">
        <v>16</v>
      </c>
      <c r="N124" s="50" t="s">
        <v>276</v>
      </c>
      <c r="O124" s="37" t="s">
        <v>3</v>
      </c>
      <c r="P124" s="37" t="s">
        <v>14</v>
      </c>
      <c r="Q124" s="37" t="s">
        <v>16</v>
      </c>
      <c r="R124" s="37" t="s">
        <v>276</v>
      </c>
      <c r="S124" s="50" t="s">
        <v>1211</v>
      </c>
      <c r="T124" s="50" t="s">
        <v>1212</v>
      </c>
      <c r="U124" s="50" t="s">
        <v>1213</v>
      </c>
      <c r="V124" s="56" t="s">
        <v>1214</v>
      </c>
      <c r="W124" s="56" t="s">
        <v>1214</v>
      </c>
      <c r="X124" s="38" t="s">
        <v>1214</v>
      </c>
      <c r="Y124" s="60">
        <v>9700000000</v>
      </c>
      <c r="Z124" s="60">
        <v>903122908</v>
      </c>
      <c r="AA124" s="60">
        <v>0</v>
      </c>
      <c r="AB124" s="60">
        <f>Z124+AA124</f>
        <v>903122908</v>
      </c>
      <c r="AC124" s="61"/>
      <c r="AD124" s="61"/>
      <c r="AE124" s="111">
        <v>9700000000</v>
      </c>
      <c r="AF124" s="112">
        <v>451561454</v>
      </c>
      <c r="AG124" s="110">
        <f>$AR124+$AZ124+$BQ124+$BT124+$BU124+$BV124</f>
        <v>0</v>
      </c>
      <c r="AH124" s="121">
        <f>AF124-AG124</f>
        <v>451561454</v>
      </c>
      <c r="AI124" s="39" t="s">
        <v>1215</v>
      </c>
      <c r="AJ124" s="198"/>
      <c r="AK124" s="198"/>
      <c r="AL124" s="42"/>
      <c r="AM124" s="68"/>
      <c r="AN124" s="68"/>
      <c r="AO124" s="68"/>
      <c r="AP124" s="68"/>
      <c r="AQ124" s="68">
        <v>0</v>
      </c>
      <c r="AR124" s="68">
        <v>0</v>
      </c>
      <c r="AS124" s="68" t="s">
        <v>307</v>
      </c>
      <c r="AT124" s="68"/>
      <c r="AU124" s="69" t="s">
        <v>277</v>
      </c>
      <c r="AV124" s="69" t="s">
        <v>277</v>
      </c>
      <c r="AW124" s="69" t="s">
        <v>277</v>
      </c>
      <c r="AX124" s="69"/>
      <c r="AY124" s="68">
        <v>0</v>
      </c>
      <c r="AZ124" s="68">
        <v>0</v>
      </c>
      <c r="BA124" s="68" t="s">
        <v>307</v>
      </c>
      <c r="BB124" s="68"/>
      <c r="BC124" s="69" t="s">
        <v>1216</v>
      </c>
      <c r="BD124" s="69" t="s">
        <v>277</v>
      </c>
      <c r="BE124" s="56" t="s">
        <v>277</v>
      </c>
      <c r="BF124" s="56" t="s">
        <v>277</v>
      </c>
      <c r="BG124" s="56" t="s">
        <v>277</v>
      </c>
      <c r="BH124" s="56" t="s">
        <v>277</v>
      </c>
      <c r="BI124" s="69">
        <v>0</v>
      </c>
      <c r="BJ124" s="69">
        <v>0</v>
      </c>
      <c r="BK124" s="69">
        <v>0</v>
      </c>
      <c r="BL124" s="69">
        <v>0</v>
      </c>
      <c r="BM124" s="69">
        <v>0</v>
      </c>
      <c r="BN124" s="69">
        <v>0</v>
      </c>
      <c r="BO124" s="69">
        <v>0</v>
      </c>
      <c r="BP124" s="69">
        <v>0</v>
      </c>
      <c r="BQ124" s="69"/>
      <c r="BR124" s="69" t="s">
        <v>382</v>
      </c>
      <c r="BS124" s="69" t="s">
        <v>1217</v>
      </c>
      <c r="BT124" s="68">
        <v>0</v>
      </c>
      <c r="BU124" s="68">
        <v>0</v>
      </c>
      <c r="BV124" s="68">
        <v>0</v>
      </c>
      <c r="BW124" s="94">
        <v>0</v>
      </c>
      <c r="BX124" s="94">
        <v>0</v>
      </c>
      <c r="BY124" s="94">
        <v>0</v>
      </c>
      <c r="BZ124" s="94">
        <v>0</v>
      </c>
      <c r="CA124" s="94">
        <v>0</v>
      </c>
      <c r="CB124" s="94">
        <v>0</v>
      </c>
      <c r="CC124" s="109">
        <v>451561454</v>
      </c>
      <c r="CD124" s="94">
        <v>0</v>
      </c>
      <c r="CE124" s="94">
        <v>0</v>
      </c>
      <c r="CF124" s="108">
        <f>SUM(BT124:CE124)</f>
        <v>451561454</v>
      </c>
      <c r="CG124" s="108">
        <f>$CF124-$AF124</f>
        <v>0</v>
      </c>
      <c r="CH124" s="37" t="s">
        <v>289</v>
      </c>
      <c r="CI124" s="37" t="s">
        <v>290</v>
      </c>
      <c r="CJ124" s="37" t="s">
        <v>277</v>
      </c>
      <c r="CK124" s="37" t="s">
        <v>290</v>
      </c>
      <c r="CL124" s="37" t="s">
        <v>277</v>
      </c>
      <c r="CM124" s="37" t="s">
        <v>277</v>
      </c>
      <c r="CN124" s="37" t="s">
        <v>290</v>
      </c>
      <c r="CO124" s="37" t="s">
        <v>732</v>
      </c>
      <c r="CP124" s="41">
        <v>46023</v>
      </c>
      <c r="CQ124" s="41">
        <v>46387</v>
      </c>
      <c r="CR124" s="37" t="s">
        <v>293</v>
      </c>
      <c r="CS124" s="37" t="s">
        <v>322</v>
      </c>
      <c r="CT124" s="37" t="s">
        <v>295</v>
      </c>
      <c r="CU124" s="37" t="s">
        <v>341</v>
      </c>
      <c r="CV124" s="37" t="s">
        <v>382</v>
      </c>
      <c r="CW124" s="37">
        <v>4200002218</v>
      </c>
      <c r="CX124" s="37" t="s">
        <v>1214</v>
      </c>
      <c r="CY124" s="37">
        <v>9700000000</v>
      </c>
      <c r="CZ124" s="173">
        <v>44896</v>
      </c>
      <c r="DA124" s="173">
        <v>45992</v>
      </c>
      <c r="DB124" s="172" t="s">
        <v>277</v>
      </c>
      <c r="DC124" s="172" t="s">
        <v>1218</v>
      </c>
      <c r="DD124" s="68">
        <v>0</v>
      </c>
      <c r="DE124" s="68">
        <v>903122908</v>
      </c>
      <c r="DF124" s="68">
        <f>0+847268707</f>
        <v>847268707</v>
      </c>
      <c r="DG124" s="68">
        <v>0</v>
      </c>
      <c r="DH124" s="68">
        <v>0</v>
      </c>
      <c r="DI124" s="68">
        <v>0</v>
      </c>
      <c r="DJ124" s="68">
        <v>0</v>
      </c>
      <c r="DK124" s="68">
        <v>0</v>
      </c>
      <c r="DL124" s="68">
        <v>0</v>
      </c>
      <c r="DM124" s="68">
        <v>0</v>
      </c>
      <c r="DN124" s="68">
        <v>0</v>
      </c>
      <c r="DO124" s="68">
        <v>0</v>
      </c>
      <c r="DP124" s="68">
        <f>SUM(DD124:DO124)</f>
        <v>1750391615</v>
      </c>
      <c r="DQ124" s="68">
        <f>DP124-AB124</f>
        <v>847268707</v>
      </c>
      <c r="DR124" s="68">
        <f>$DD124</f>
        <v>0</v>
      </c>
      <c r="DS124" s="68">
        <f>DR124+DE124</f>
        <v>903122908</v>
      </c>
      <c r="DT124" s="68">
        <f>DS124+DF124</f>
        <v>1750391615</v>
      </c>
      <c r="DU124" s="68">
        <f>DT124+DG124</f>
        <v>1750391615</v>
      </c>
      <c r="DV124" s="68">
        <f>DU124+DH124</f>
        <v>1750391615</v>
      </c>
      <c r="DW124" s="68">
        <f>DV124+DI124</f>
        <v>1750391615</v>
      </c>
      <c r="DX124" s="68">
        <f>DW124+DJ124</f>
        <v>1750391615</v>
      </c>
      <c r="DY124" s="68">
        <f>DX124+DK124</f>
        <v>1750391615</v>
      </c>
      <c r="DZ124" s="68">
        <f>DY124+DL124</f>
        <v>1750391615</v>
      </c>
      <c r="EA124" s="68">
        <f>DZ124+DM124</f>
        <v>1750391615</v>
      </c>
      <c r="EB124" s="68">
        <f>EA124+DN124</f>
        <v>1750391615</v>
      </c>
      <c r="EC124" s="68">
        <f>EB124+DO124</f>
        <v>1750391615</v>
      </c>
      <c r="ED124" s="68">
        <f>$EC124-$AB124</f>
        <v>847268707</v>
      </c>
    </row>
    <row r="125" spans="1:134" ht="30">
      <c r="A125" s="74"/>
      <c r="B125" s="50">
        <v>178</v>
      </c>
      <c r="C125" s="50" t="s">
        <v>269</v>
      </c>
      <c r="D125" s="50" t="s">
        <v>297</v>
      </c>
      <c r="E125" s="50"/>
      <c r="F125" s="50"/>
      <c r="G125" s="50"/>
      <c r="H125" s="37" t="s">
        <v>151</v>
      </c>
      <c r="I125" s="37" t="s">
        <v>274</v>
      </c>
      <c r="J125" s="37" t="s">
        <v>275</v>
      </c>
      <c r="K125" s="50"/>
      <c r="L125" s="50"/>
      <c r="M125" s="50"/>
      <c r="N125" s="50" t="s">
        <v>276</v>
      </c>
      <c r="O125" s="37" t="s">
        <v>3</v>
      </c>
      <c r="P125" s="37" t="s">
        <v>25</v>
      </c>
      <c r="Q125" s="87" t="s">
        <v>52</v>
      </c>
      <c r="R125" s="87" t="s">
        <v>512</v>
      </c>
      <c r="S125" s="50"/>
      <c r="T125" s="50"/>
      <c r="U125" s="50" t="s">
        <v>1219</v>
      </c>
      <c r="V125" s="56" t="s">
        <v>1220</v>
      </c>
      <c r="W125" s="56" t="s">
        <v>1220</v>
      </c>
      <c r="X125" s="38" t="s">
        <v>1220</v>
      </c>
      <c r="Y125" s="60"/>
      <c r="Z125" s="60"/>
      <c r="AA125" s="60"/>
      <c r="AB125" s="60"/>
      <c r="AC125" s="61"/>
      <c r="AD125" s="61"/>
      <c r="AE125" s="109">
        <v>446554852</v>
      </c>
      <c r="AF125" s="109">
        <v>433158206</v>
      </c>
      <c r="AG125" s="108">
        <f>$AR125+$AZ125+$BQ125+$BT125+$BU125+$BV125</f>
        <v>0</v>
      </c>
      <c r="AH125" s="121">
        <f>AF125-AG125</f>
        <v>433158206</v>
      </c>
      <c r="AI125" s="39" t="s">
        <v>1221</v>
      </c>
      <c r="AJ125" s="198"/>
      <c r="AK125" s="198"/>
      <c r="AL125" s="42"/>
      <c r="AM125" s="68"/>
      <c r="AN125" s="68"/>
      <c r="AO125" s="68"/>
      <c r="AP125" s="68"/>
      <c r="AQ125" s="68"/>
      <c r="AR125" s="68"/>
      <c r="AS125" s="68"/>
      <c r="AT125" s="68"/>
      <c r="AU125" s="69"/>
      <c r="AV125" s="69"/>
      <c r="AW125" s="69"/>
      <c r="AX125" s="69"/>
      <c r="AY125" s="68"/>
      <c r="AZ125" s="68"/>
      <c r="BA125" s="68"/>
      <c r="BB125" s="68"/>
      <c r="BC125" s="69"/>
      <c r="BD125" s="69"/>
      <c r="BE125" s="56" t="s">
        <v>277</v>
      </c>
      <c r="BF125" s="56" t="s">
        <v>277</v>
      </c>
      <c r="BG125" s="56" t="s">
        <v>277</v>
      </c>
      <c r="BH125" s="56" t="s">
        <v>277</v>
      </c>
      <c r="BI125" s="69">
        <v>0</v>
      </c>
      <c r="BJ125" s="69">
        <v>0</v>
      </c>
      <c r="BK125" s="69">
        <v>0</v>
      </c>
      <c r="BL125" s="69">
        <v>0</v>
      </c>
      <c r="BM125" s="69">
        <v>0</v>
      </c>
      <c r="BN125" s="69">
        <v>0</v>
      </c>
      <c r="BO125" s="69">
        <v>0</v>
      </c>
      <c r="BP125" s="69">
        <v>0</v>
      </c>
      <c r="BQ125" s="69"/>
      <c r="BR125" s="69" t="s">
        <v>384</v>
      </c>
      <c r="BS125" s="69" t="s">
        <v>1222</v>
      </c>
      <c r="BT125" s="68">
        <v>0</v>
      </c>
      <c r="BU125" s="68">
        <v>0</v>
      </c>
      <c r="BV125" s="68">
        <v>0</v>
      </c>
      <c r="BW125" s="94">
        <v>0</v>
      </c>
      <c r="BX125" s="94">
        <v>433158206</v>
      </c>
      <c r="BY125" s="94">
        <v>0</v>
      </c>
      <c r="BZ125" s="94">
        <v>0</v>
      </c>
      <c r="CA125" s="94">
        <v>0</v>
      </c>
      <c r="CB125" s="94">
        <v>0</v>
      </c>
      <c r="CC125" s="94">
        <v>0</v>
      </c>
      <c r="CD125" s="94">
        <v>0</v>
      </c>
      <c r="CE125" s="94">
        <v>0</v>
      </c>
      <c r="CF125" s="108">
        <f>SUM(BT125:CE125)</f>
        <v>433158206</v>
      </c>
      <c r="CG125" s="108">
        <f>$CF125-$AF125</f>
        <v>0</v>
      </c>
      <c r="CH125" s="37" t="s">
        <v>289</v>
      </c>
      <c r="CI125" s="37" t="s">
        <v>290</v>
      </c>
      <c r="CJ125" s="37" t="s">
        <v>277</v>
      </c>
      <c r="CK125" s="37" t="s">
        <v>290</v>
      </c>
      <c r="CL125" s="37" t="s">
        <v>277</v>
      </c>
      <c r="CM125" s="37" t="s">
        <v>277</v>
      </c>
      <c r="CN125" s="37" t="s">
        <v>290</v>
      </c>
      <c r="CO125" s="37" t="s">
        <v>277</v>
      </c>
      <c r="CP125" s="87" t="s">
        <v>277</v>
      </c>
      <c r="CQ125" s="87" t="s">
        <v>277</v>
      </c>
      <c r="CR125" s="37" t="s">
        <v>293</v>
      </c>
      <c r="CS125" s="37" t="s">
        <v>322</v>
      </c>
      <c r="CT125" s="37" t="s">
        <v>295</v>
      </c>
      <c r="CU125" s="89" t="s">
        <v>296</v>
      </c>
      <c r="CV125" s="37" t="s">
        <v>384</v>
      </c>
      <c r="CW125" s="37" t="s">
        <v>277</v>
      </c>
      <c r="CX125" s="37" t="s">
        <v>277</v>
      </c>
      <c r="CY125" s="37" t="s">
        <v>277</v>
      </c>
      <c r="CZ125" s="131" t="s">
        <v>277</v>
      </c>
      <c r="DA125" s="131" t="s">
        <v>277</v>
      </c>
      <c r="DB125" s="172" t="s">
        <v>277</v>
      </c>
      <c r="DC125" s="172" t="s">
        <v>277</v>
      </c>
      <c r="DD125" s="68"/>
      <c r="DE125" s="68"/>
      <c r="DF125" s="68"/>
      <c r="DG125" s="68"/>
      <c r="DH125" s="68"/>
      <c r="DI125" s="68"/>
      <c r="DJ125" s="68"/>
      <c r="DK125" s="68"/>
      <c r="DL125" s="68"/>
      <c r="DM125" s="68"/>
      <c r="DN125" s="68"/>
      <c r="DO125" s="68"/>
      <c r="DP125" s="68">
        <f>SUM(DD125:DO125)</f>
        <v>0</v>
      </c>
      <c r="DQ125" s="68">
        <f>DP125-AB125</f>
        <v>0</v>
      </c>
      <c r="DR125" s="68">
        <f>$DD125</f>
        <v>0</v>
      </c>
      <c r="DS125" s="68">
        <f>DR125+DE125</f>
        <v>0</v>
      </c>
      <c r="DT125" s="68">
        <f>DS125+DF125</f>
        <v>0</v>
      </c>
      <c r="DU125" s="68">
        <f>DT125+DG125</f>
        <v>0</v>
      </c>
      <c r="DV125" s="68">
        <f>DU125+DH125</f>
        <v>0</v>
      </c>
      <c r="DW125" s="68">
        <f>DV125+DI125</f>
        <v>0</v>
      </c>
      <c r="DX125" s="68">
        <f>DW125+DJ125</f>
        <v>0</v>
      </c>
      <c r="DY125" s="68">
        <f>DX125+DK125</f>
        <v>0</v>
      </c>
      <c r="DZ125" s="68">
        <f>DY125+DL125</f>
        <v>0</v>
      </c>
      <c r="EA125" s="68">
        <f>DZ125+DM125</f>
        <v>0</v>
      </c>
      <c r="EB125" s="68">
        <f>EA125+DN125</f>
        <v>0</v>
      </c>
      <c r="EC125" s="68">
        <f>EB125+DO125</f>
        <v>0</v>
      </c>
      <c r="ED125" s="68">
        <f>$EC125-$AB125</f>
        <v>0</v>
      </c>
    </row>
    <row r="126" spans="1:134" ht="30">
      <c r="A126" s="74"/>
      <c r="B126" s="50">
        <v>62</v>
      </c>
      <c r="C126" s="50" t="s">
        <v>269</v>
      </c>
      <c r="D126" s="50" t="s">
        <v>297</v>
      </c>
      <c r="E126" s="50"/>
      <c r="F126" s="50" t="s">
        <v>272</v>
      </c>
      <c r="G126" s="50" t="s">
        <v>273</v>
      </c>
      <c r="H126" s="37" t="s">
        <v>151</v>
      </c>
      <c r="I126" s="37" t="s">
        <v>604</v>
      </c>
      <c r="J126" s="37" t="s">
        <v>852</v>
      </c>
      <c r="K126" s="50" t="s">
        <v>3</v>
      </c>
      <c r="L126" s="50" t="s">
        <v>14</v>
      </c>
      <c r="M126" s="50" t="s">
        <v>16</v>
      </c>
      <c r="N126" s="50" t="s">
        <v>276</v>
      </c>
      <c r="O126" s="37" t="s">
        <v>3</v>
      </c>
      <c r="P126" s="37" t="s">
        <v>14</v>
      </c>
      <c r="Q126" s="37" t="s">
        <v>16</v>
      </c>
      <c r="R126" s="37" t="s">
        <v>276</v>
      </c>
      <c r="S126" s="50" t="s">
        <v>1223</v>
      </c>
      <c r="T126" s="50" t="s">
        <v>1224</v>
      </c>
      <c r="U126" s="50" t="s">
        <v>1225</v>
      </c>
      <c r="V126" s="56" t="s">
        <v>1226</v>
      </c>
      <c r="W126" s="56" t="s">
        <v>1226</v>
      </c>
      <c r="X126" s="38" t="s">
        <v>1226</v>
      </c>
      <c r="Y126" s="60">
        <v>16700000000</v>
      </c>
      <c r="Z126" s="60">
        <v>100000000</v>
      </c>
      <c r="AA126" s="60"/>
      <c r="AB126" s="60">
        <f>Z126+AA126</f>
        <v>100000000</v>
      </c>
      <c r="AC126" s="61"/>
      <c r="AD126" s="61"/>
      <c r="AE126" s="109">
        <v>16700000000</v>
      </c>
      <c r="AF126" s="109">
        <v>400000000</v>
      </c>
      <c r="AG126" s="108">
        <f>$AR126+$AZ126+$BQ126+$BT126+$BU126+$BV126</f>
        <v>0</v>
      </c>
      <c r="AH126" s="121">
        <f>AF126-AG126</f>
        <v>400000000</v>
      </c>
      <c r="AI126" s="85" t="s">
        <v>1227</v>
      </c>
      <c r="AJ126" s="199"/>
      <c r="AK126" s="199"/>
      <c r="AL126" s="86"/>
      <c r="AM126" s="68"/>
      <c r="AN126" s="68"/>
      <c r="AO126" s="68"/>
      <c r="AP126" s="68"/>
      <c r="AQ126" s="68">
        <v>0</v>
      </c>
      <c r="AR126" s="68">
        <v>0</v>
      </c>
      <c r="AS126" s="68" t="s">
        <v>307</v>
      </c>
      <c r="AT126" s="68"/>
      <c r="AU126" s="69" t="s">
        <v>277</v>
      </c>
      <c r="AV126" s="69" t="s">
        <v>277</v>
      </c>
      <c r="AW126" s="69" t="s">
        <v>277</v>
      </c>
      <c r="AX126" s="69"/>
      <c r="AY126" s="68">
        <v>0</v>
      </c>
      <c r="AZ126" s="68">
        <v>0</v>
      </c>
      <c r="BA126" s="68" t="s">
        <v>307</v>
      </c>
      <c r="BB126" s="68"/>
      <c r="BC126" s="69" t="s">
        <v>1228</v>
      </c>
      <c r="BD126" s="69" t="s">
        <v>277</v>
      </c>
      <c r="BE126" s="56" t="s">
        <v>277</v>
      </c>
      <c r="BF126" s="56" t="s">
        <v>277</v>
      </c>
      <c r="BG126" s="56" t="s">
        <v>277</v>
      </c>
      <c r="BH126" s="56" t="s">
        <v>277</v>
      </c>
      <c r="BI126" s="69">
        <v>0</v>
      </c>
      <c r="BJ126" s="69">
        <v>0</v>
      </c>
      <c r="BK126" s="69">
        <v>0</v>
      </c>
      <c r="BL126" s="69">
        <v>0</v>
      </c>
      <c r="BM126" s="69">
        <v>0</v>
      </c>
      <c r="BN126" s="69">
        <v>0</v>
      </c>
      <c r="BO126" s="69">
        <v>0</v>
      </c>
      <c r="BP126" s="69">
        <v>0</v>
      </c>
      <c r="BQ126" s="69"/>
      <c r="BR126" s="69" t="s">
        <v>382</v>
      </c>
      <c r="BS126" s="69" t="s">
        <v>1005</v>
      </c>
      <c r="BT126" s="68">
        <v>0</v>
      </c>
      <c r="BU126" s="68">
        <v>0</v>
      </c>
      <c r="BV126" s="68">
        <v>0</v>
      </c>
      <c r="BW126" s="94">
        <v>0</v>
      </c>
      <c r="BX126" s="94">
        <v>0</v>
      </c>
      <c r="BY126" s="94">
        <v>400000000</v>
      </c>
      <c r="BZ126" s="94">
        <v>0</v>
      </c>
      <c r="CA126" s="94">
        <v>0</v>
      </c>
      <c r="CB126" s="94">
        <v>0</v>
      </c>
      <c r="CC126" s="94">
        <v>0</v>
      </c>
      <c r="CD126" s="94">
        <v>0</v>
      </c>
      <c r="CE126" s="94">
        <v>0</v>
      </c>
      <c r="CF126" s="108">
        <f>SUM(BT126:CE126)</f>
        <v>400000000</v>
      </c>
      <c r="CG126" s="108">
        <f>$CF126-$AF126</f>
        <v>0</v>
      </c>
      <c r="CH126" s="37" t="s">
        <v>289</v>
      </c>
      <c r="CI126" s="37" t="s">
        <v>290</v>
      </c>
      <c r="CJ126" s="37" t="s">
        <v>277</v>
      </c>
      <c r="CK126" s="37" t="s">
        <v>290</v>
      </c>
      <c r="CL126" s="37" t="s">
        <v>277</v>
      </c>
      <c r="CM126" s="37" t="s">
        <v>277</v>
      </c>
      <c r="CN126" s="37" t="s">
        <v>290</v>
      </c>
      <c r="CO126" s="37" t="s">
        <v>340</v>
      </c>
      <c r="CP126" s="41">
        <v>46023</v>
      </c>
      <c r="CQ126" s="41">
        <v>46387</v>
      </c>
      <c r="CR126" s="37" t="s">
        <v>293</v>
      </c>
      <c r="CS126" s="37" t="s">
        <v>322</v>
      </c>
      <c r="CT126" s="37" t="s">
        <v>295</v>
      </c>
      <c r="CU126" s="37" t="s">
        <v>341</v>
      </c>
      <c r="CV126" s="37" t="s">
        <v>382</v>
      </c>
      <c r="CW126" s="37">
        <v>4200004303</v>
      </c>
      <c r="CX126" s="37" t="s">
        <v>1229</v>
      </c>
      <c r="CY126" s="37">
        <v>16700000000</v>
      </c>
      <c r="CZ126" s="173">
        <v>45566</v>
      </c>
      <c r="DA126" s="173">
        <v>46661</v>
      </c>
      <c r="DB126" s="172" t="s">
        <v>277</v>
      </c>
      <c r="DC126" s="172" t="s">
        <v>388</v>
      </c>
      <c r="DD126" s="68">
        <v>0</v>
      </c>
      <c r="DE126" s="68">
        <v>100000000</v>
      </c>
      <c r="DF126" s="68">
        <v>0</v>
      </c>
      <c r="DG126" s="68">
        <v>0</v>
      </c>
      <c r="DH126" s="68">
        <v>0</v>
      </c>
      <c r="DI126" s="68">
        <v>0</v>
      </c>
      <c r="DJ126" s="68">
        <v>0</v>
      </c>
      <c r="DK126" s="68">
        <v>0</v>
      </c>
      <c r="DL126" s="68">
        <v>0</v>
      </c>
      <c r="DM126" s="68">
        <v>0</v>
      </c>
      <c r="DN126" s="68">
        <v>0</v>
      </c>
      <c r="DO126" s="68">
        <v>0</v>
      </c>
      <c r="DP126" s="68">
        <f>SUM(DD126:DO126)</f>
        <v>100000000</v>
      </c>
      <c r="DQ126" s="68">
        <f>DP126-AB126</f>
        <v>0</v>
      </c>
      <c r="DR126" s="68">
        <f>$DD126</f>
        <v>0</v>
      </c>
      <c r="DS126" s="68">
        <f>DR126+DE126</f>
        <v>100000000</v>
      </c>
      <c r="DT126" s="68">
        <f>DS126+DF126</f>
        <v>100000000</v>
      </c>
      <c r="DU126" s="68">
        <f>DT126+DG126</f>
        <v>100000000</v>
      </c>
      <c r="DV126" s="68">
        <f>DU126+DH126</f>
        <v>100000000</v>
      </c>
      <c r="DW126" s="68">
        <f>DV126+DI126</f>
        <v>100000000</v>
      </c>
      <c r="DX126" s="68">
        <f>DW126+DJ126</f>
        <v>100000000</v>
      </c>
      <c r="DY126" s="68">
        <f>DX126+DK126</f>
        <v>100000000</v>
      </c>
      <c r="DZ126" s="68">
        <f>DY126+DL126</f>
        <v>100000000</v>
      </c>
      <c r="EA126" s="68">
        <f>DZ126+DM126</f>
        <v>100000000</v>
      </c>
      <c r="EB126" s="68">
        <f>EA126+DN126</f>
        <v>100000000</v>
      </c>
      <c r="EC126" s="68">
        <f>EB126+DO126</f>
        <v>100000000</v>
      </c>
      <c r="ED126" s="68">
        <f>$EC126-$AB126</f>
        <v>0</v>
      </c>
    </row>
    <row r="127" spans="1:134" ht="30">
      <c r="A127" s="74"/>
      <c r="B127" s="50">
        <v>20</v>
      </c>
      <c r="C127" s="50" t="s">
        <v>269</v>
      </c>
      <c r="D127" s="50" t="s">
        <v>297</v>
      </c>
      <c r="E127" s="50"/>
      <c r="F127" s="50" t="s">
        <v>272</v>
      </c>
      <c r="G127" s="50" t="s">
        <v>273</v>
      </c>
      <c r="H127" s="37" t="s">
        <v>151</v>
      </c>
      <c r="I127" s="37" t="s">
        <v>326</v>
      </c>
      <c r="J127" s="37" t="s">
        <v>327</v>
      </c>
      <c r="K127" s="50" t="s">
        <v>3</v>
      </c>
      <c r="L127" s="50" t="s">
        <v>14</v>
      </c>
      <c r="M127" s="50" t="s">
        <v>16</v>
      </c>
      <c r="N127" s="50" t="s">
        <v>276</v>
      </c>
      <c r="O127" s="37" t="s">
        <v>3</v>
      </c>
      <c r="P127" s="37" t="s">
        <v>14</v>
      </c>
      <c r="Q127" s="37" t="s">
        <v>16</v>
      </c>
      <c r="R127" s="37" t="s">
        <v>276</v>
      </c>
      <c r="S127" s="50" t="s">
        <v>277</v>
      </c>
      <c r="T127" s="50" t="s">
        <v>896</v>
      </c>
      <c r="U127" s="50" t="s">
        <v>1230</v>
      </c>
      <c r="V127" s="56" t="s">
        <v>1231</v>
      </c>
      <c r="W127" s="56" t="s">
        <v>1231</v>
      </c>
      <c r="X127" s="38" t="s">
        <v>1232</v>
      </c>
      <c r="Y127" s="60">
        <v>23000000000</v>
      </c>
      <c r="Z127" s="60">
        <v>4600000000</v>
      </c>
      <c r="AA127" s="60"/>
      <c r="AB127" s="60">
        <f>Z127+AA127</f>
        <v>4600000000</v>
      </c>
      <c r="AC127" s="61"/>
      <c r="AD127" s="61"/>
      <c r="AE127" s="109">
        <v>468491040</v>
      </c>
      <c r="AF127" s="109">
        <v>398217384</v>
      </c>
      <c r="AG127" s="108">
        <f>$AR127+$AZ127+$BQ127+$BT127+$BU127+$BV127</f>
        <v>0</v>
      </c>
      <c r="AH127" s="121">
        <f>AF127-AG127</f>
        <v>398217384</v>
      </c>
      <c r="AI127" s="39" t="s">
        <v>1233</v>
      </c>
      <c r="AJ127" s="198"/>
      <c r="AK127" s="198"/>
      <c r="AL127" s="42"/>
      <c r="AM127" s="68"/>
      <c r="AN127" s="68"/>
      <c r="AO127" s="68"/>
      <c r="AP127" s="68"/>
      <c r="AQ127" s="68">
        <v>0</v>
      </c>
      <c r="AR127" s="68">
        <v>0</v>
      </c>
      <c r="AS127" s="68" t="s">
        <v>307</v>
      </c>
      <c r="AT127" s="68"/>
      <c r="AU127" s="69" t="s">
        <v>277</v>
      </c>
      <c r="AV127" s="69" t="s">
        <v>277</v>
      </c>
      <c r="AW127" s="69" t="s">
        <v>277</v>
      </c>
      <c r="AX127" s="69"/>
      <c r="AY127" s="68">
        <v>0</v>
      </c>
      <c r="AZ127" s="68">
        <v>0</v>
      </c>
      <c r="BA127" s="68" t="s">
        <v>307</v>
      </c>
      <c r="BB127" s="68"/>
      <c r="BC127" s="69" t="s">
        <v>1234</v>
      </c>
      <c r="BD127" s="69" t="s">
        <v>277</v>
      </c>
      <c r="BE127" s="56" t="s">
        <v>277</v>
      </c>
      <c r="BF127" s="56" t="s">
        <v>277</v>
      </c>
      <c r="BG127" s="56" t="s">
        <v>277</v>
      </c>
      <c r="BH127" s="56" t="s">
        <v>277</v>
      </c>
      <c r="BI127" s="69">
        <v>0</v>
      </c>
      <c r="BJ127" s="69">
        <v>0</v>
      </c>
      <c r="BK127" s="69">
        <v>0</v>
      </c>
      <c r="BL127" s="69">
        <v>0</v>
      </c>
      <c r="BM127" s="69">
        <v>0</v>
      </c>
      <c r="BN127" s="69">
        <v>0</v>
      </c>
      <c r="BO127" s="69">
        <v>0</v>
      </c>
      <c r="BP127" s="69">
        <v>0</v>
      </c>
      <c r="BQ127" s="69"/>
      <c r="BR127" s="69" t="s">
        <v>156</v>
      </c>
      <c r="BS127" s="69" t="s">
        <v>1235</v>
      </c>
      <c r="BT127" s="68">
        <v>0</v>
      </c>
      <c r="BU127" s="68">
        <v>0</v>
      </c>
      <c r="BV127" s="68">
        <v>0</v>
      </c>
      <c r="BW127" s="94">
        <v>0</v>
      </c>
      <c r="BX127" s="94">
        <v>0</v>
      </c>
      <c r="BY127" s="94">
        <v>0</v>
      </c>
      <c r="BZ127" s="94">
        <v>0</v>
      </c>
      <c r="CA127" s="94">
        <v>0</v>
      </c>
      <c r="CB127" s="94">
        <v>0</v>
      </c>
      <c r="CC127" s="94">
        <v>0</v>
      </c>
      <c r="CD127" s="94">
        <v>0</v>
      </c>
      <c r="CE127" s="109">
        <v>398217384</v>
      </c>
      <c r="CF127" s="108">
        <f>SUM(BT127:CE127)</f>
        <v>398217384</v>
      </c>
      <c r="CG127" s="108">
        <f>$CF127-$AF127</f>
        <v>0</v>
      </c>
      <c r="CH127" s="37" t="s">
        <v>289</v>
      </c>
      <c r="CI127" s="37" t="s">
        <v>290</v>
      </c>
      <c r="CJ127" s="37" t="s">
        <v>277</v>
      </c>
      <c r="CK127" s="37" t="s">
        <v>290</v>
      </c>
      <c r="CL127" s="37" t="s">
        <v>277</v>
      </c>
      <c r="CM127" s="37" t="s">
        <v>277</v>
      </c>
      <c r="CN127" s="37" t="s">
        <v>290</v>
      </c>
      <c r="CO127" s="37" t="s">
        <v>340</v>
      </c>
      <c r="CP127" s="41">
        <v>45870</v>
      </c>
      <c r="CQ127" s="41">
        <v>46357</v>
      </c>
      <c r="CR127" s="37" t="s">
        <v>293</v>
      </c>
      <c r="CS127" s="37" t="s">
        <v>322</v>
      </c>
      <c r="CT127" s="37" t="s">
        <v>295</v>
      </c>
      <c r="CU127" s="37" t="s">
        <v>296</v>
      </c>
      <c r="CV127" s="37" t="s">
        <v>323</v>
      </c>
      <c r="CW127" s="37" t="s">
        <v>277</v>
      </c>
      <c r="CX127" s="37" t="s">
        <v>277</v>
      </c>
      <c r="CY127" s="37">
        <v>0</v>
      </c>
      <c r="CZ127" s="173" t="s">
        <v>277</v>
      </c>
      <c r="DA127" s="173" t="s">
        <v>277</v>
      </c>
      <c r="DB127" s="172" t="s">
        <v>277</v>
      </c>
      <c r="DC127" s="172" t="s">
        <v>455</v>
      </c>
      <c r="DD127" s="68">
        <v>0</v>
      </c>
      <c r="DE127" s="68">
        <v>0</v>
      </c>
      <c r="DF127" s="68">
        <v>0</v>
      </c>
      <c r="DG127" s="68">
        <v>0</v>
      </c>
      <c r="DH127" s="68">
        <v>0</v>
      </c>
      <c r="DI127" s="68">
        <v>0</v>
      </c>
      <c r="DJ127" s="68">
        <v>0</v>
      </c>
      <c r="DK127" s="68">
        <v>0</v>
      </c>
      <c r="DL127" s="68">
        <v>0</v>
      </c>
      <c r="DM127" s="68">
        <v>0</v>
      </c>
      <c r="DN127" s="68">
        <v>0</v>
      </c>
      <c r="DO127" s="68">
        <v>4600000000</v>
      </c>
      <c r="DP127" s="68">
        <f>SUM(DD127:DO127)</f>
        <v>4600000000</v>
      </c>
      <c r="DQ127" s="68">
        <f>DP127-AB127</f>
        <v>0</v>
      </c>
      <c r="DR127" s="68">
        <f>$DD127</f>
        <v>0</v>
      </c>
      <c r="DS127" s="68">
        <f>DR127+DE127</f>
        <v>0</v>
      </c>
      <c r="DT127" s="68">
        <f>DS127+DF127</f>
        <v>0</v>
      </c>
      <c r="DU127" s="68">
        <f>DT127+DG127</f>
        <v>0</v>
      </c>
      <c r="DV127" s="68">
        <f>DU127+DH127</f>
        <v>0</v>
      </c>
      <c r="DW127" s="68">
        <f>DV127+DI127</f>
        <v>0</v>
      </c>
      <c r="DX127" s="68">
        <f>DW127+DJ127</f>
        <v>0</v>
      </c>
      <c r="DY127" s="68">
        <f>DX127+DK127</f>
        <v>0</v>
      </c>
      <c r="DZ127" s="68">
        <f>DY127+DL127</f>
        <v>0</v>
      </c>
      <c r="EA127" s="68">
        <f>DZ127+DM127</f>
        <v>0</v>
      </c>
      <c r="EB127" s="68">
        <f>EA127+DN127</f>
        <v>0</v>
      </c>
      <c r="EC127" s="68">
        <f>EB127+DO127</f>
        <v>4600000000</v>
      </c>
      <c r="ED127" s="68">
        <f>$EC127-$AB127</f>
        <v>0</v>
      </c>
    </row>
    <row r="128" spans="1:134" ht="30">
      <c r="A128" s="74"/>
      <c r="B128" s="50">
        <v>54</v>
      </c>
      <c r="C128" s="50" t="s">
        <v>269</v>
      </c>
      <c r="D128" s="50" t="s">
        <v>297</v>
      </c>
      <c r="E128" s="50"/>
      <c r="F128" s="50" t="s">
        <v>272</v>
      </c>
      <c r="G128" s="50" t="s">
        <v>273</v>
      </c>
      <c r="H128" s="37" t="s">
        <v>151</v>
      </c>
      <c r="I128" s="37" t="s">
        <v>702</v>
      </c>
      <c r="J128" s="37" t="s">
        <v>703</v>
      </c>
      <c r="K128" s="50" t="s">
        <v>3</v>
      </c>
      <c r="L128" s="50" t="s">
        <v>14</v>
      </c>
      <c r="M128" s="50" t="s">
        <v>16</v>
      </c>
      <c r="N128" s="50" t="s">
        <v>276</v>
      </c>
      <c r="O128" s="37" t="s">
        <v>3</v>
      </c>
      <c r="P128" s="37" t="s">
        <v>14</v>
      </c>
      <c r="Q128" s="37" t="s">
        <v>16</v>
      </c>
      <c r="R128" s="37" t="s">
        <v>276</v>
      </c>
      <c r="S128" s="50" t="s">
        <v>1236</v>
      </c>
      <c r="T128" s="50" t="s">
        <v>1237</v>
      </c>
      <c r="U128" s="50" t="s">
        <v>1238</v>
      </c>
      <c r="V128" s="56" t="s">
        <v>1239</v>
      </c>
      <c r="W128" s="56" t="s">
        <v>1239</v>
      </c>
      <c r="X128" s="38" t="s">
        <v>1239</v>
      </c>
      <c r="Y128" s="60">
        <v>17200000000</v>
      </c>
      <c r="Z128" s="60">
        <v>333333332</v>
      </c>
      <c r="AA128" s="60"/>
      <c r="AB128" s="60">
        <f>Z128+AA128</f>
        <v>333333332</v>
      </c>
      <c r="AC128" s="61"/>
      <c r="AD128" s="61"/>
      <c r="AE128" s="109">
        <v>17200000000</v>
      </c>
      <c r="AF128" s="109">
        <v>333333332</v>
      </c>
      <c r="AG128" s="108">
        <f>$AR128+$AZ128+$BQ128+$BT128+$BU128+$BV128</f>
        <v>0</v>
      </c>
      <c r="AH128" s="121">
        <f>AF128-AG128</f>
        <v>333333332</v>
      </c>
      <c r="AI128" s="39" t="s">
        <v>1240</v>
      </c>
      <c r="AJ128" s="198"/>
      <c r="AK128" s="198"/>
      <c r="AL128" s="42"/>
      <c r="AM128" s="68"/>
      <c r="AN128" s="68"/>
      <c r="AO128" s="68"/>
      <c r="AP128" s="68"/>
      <c r="AQ128" s="68">
        <v>0</v>
      </c>
      <c r="AR128" s="68">
        <v>0</v>
      </c>
      <c r="AS128" s="68" t="s">
        <v>307</v>
      </c>
      <c r="AT128" s="68"/>
      <c r="AU128" s="69" t="s">
        <v>277</v>
      </c>
      <c r="AV128" s="69" t="s">
        <v>277</v>
      </c>
      <c r="AW128" s="69" t="s">
        <v>277</v>
      </c>
      <c r="AX128" s="69"/>
      <c r="AY128" s="68">
        <v>0</v>
      </c>
      <c r="AZ128" s="68">
        <v>0</v>
      </c>
      <c r="BA128" s="68" t="s">
        <v>307</v>
      </c>
      <c r="BB128" s="68"/>
      <c r="BC128" s="69" t="s">
        <v>1241</v>
      </c>
      <c r="BD128" s="69" t="s">
        <v>277</v>
      </c>
      <c r="BE128" s="56" t="s">
        <v>277</v>
      </c>
      <c r="BF128" s="56" t="s">
        <v>277</v>
      </c>
      <c r="BG128" s="56" t="s">
        <v>277</v>
      </c>
      <c r="BH128" s="56" t="s">
        <v>277</v>
      </c>
      <c r="BI128" s="69">
        <v>0</v>
      </c>
      <c r="BJ128" s="69">
        <v>0</v>
      </c>
      <c r="BK128" s="69">
        <v>0</v>
      </c>
      <c r="BL128" s="69">
        <v>0</v>
      </c>
      <c r="BM128" s="69">
        <v>0</v>
      </c>
      <c r="BN128" s="69">
        <v>0</v>
      </c>
      <c r="BO128" s="69">
        <v>0</v>
      </c>
      <c r="BP128" s="69">
        <v>0</v>
      </c>
      <c r="BQ128" s="69"/>
      <c r="BR128" s="69" t="s">
        <v>382</v>
      </c>
      <c r="BS128" s="69" t="s">
        <v>798</v>
      </c>
      <c r="BT128" s="68">
        <v>0</v>
      </c>
      <c r="BU128" s="68">
        <v>0</v>
      </c>
      <c r="BV128" s="68">
        <v>0</v>
      </c>
      <c r="BW128" s="94">
        <v>0</v>
      </c>
      <c r="BX128" s="94">
        <v>0</v>
      </c>
      <c r="BY128" s="94">
        <v>0</v>
      </c>
      <c r="BZ128" s="94">
        <v>333333332</v>
      </c>
      <c r="CA128" s="94">
        <v>0</v>
      </c>
      <c r="CB128" s="94">
        <v>0</v>
      </c>
      <c r="CC128" s="94">
        <v>0</v>
      </c>
      <c r="CD128" s="94">
        <v>0</v>
      </c>
      <c r="CE128" s="94">
        <v>0</v>
      </c>
      <c r="CF128" s="108">
        <f>SUM(BT128:CE128)</f>
        <v>333333332</v>
      </c>
      <c r="CG128" s="108">
        <f>$CF128-$AF128</f>
        <v>0</v>
      </c>
      <c r="CH128" s="37" t="s">
        <v>289</v>
      </c>
      <c r="CI128" s="37" t="s">
        <v>290</v>
      </c>
      <c r="CJ128" s="37" t="s">
        <v>277</v>
      </c>
      <c r="CK128" s="37" t="s">
        <v>290</v>
      </c>
      <c r="CL128" s="37" t="s">
        <v>277</v>
      </c>
      <c r="CM128" s="37" t="s">
        <v>277</v>
      </c>
      <c r="CN128" s="37" t="s">
        <v>290</v>
      </c>
      <c r="CO128" s="37" t="s">
        <v>340</v>
      </c>
      <c r="CP128" s="41">
        <v>46023</v>
      </c>
      <c r="CQ128" s="41">
        <v>46387</v>
      </c>
      <c r="CR128" s="37" t="s">
        <v>293</v>
      </c>
      <c r="CS128" s="37" t="s">
        <v>322</v>
      </c>
      <c r="CT128" s="37" t="s">
        <v>295</v>
      </c>
      <c r="CU128" s="37" t="s">
        <v>341</v>
      </c>
      <c r="CV128" s="37" t="s">
        <v>382</v>
      </c>
      <c r="CW128" s="37">
        <v>4200002897</v>
      </c>
      <c r="CX128" s="37" t="s">
        <v>1242</v>
      </c>
      <c r="CY128" s="37">
        <v>17200000000</v>
      </c>
      <c r="CZ128" s="173">
        <v>45108</v>
      </c>
      <c r="DA128" s="173">
        <v>46204</v>
      </c>
      <c r="DB128" s="172" t="s">
        <v>277</v>
      </c>
      <c r="DC128" s="172" t="s">
        <v>388</v>
      </c>
      <c r="DD128" s="68">
        <v>0</v>
      </c>
      <c r="DE128" s="68">
        <v>333333332</v>
      </c>
      <c r="DF128" s="68">
        <v>0</v>
      </c>
      <c r="DG128" s="68">
        <v>0</v>
      </c>
      <c r="DH128" s="68">
        <v>0</v>
      </c>
      <c r="DI128" s="68">
        <v>0</v>
      </c>
      <c r="DJ128" s="68">
        <v>0</v>
      </c>
      <c r="DK128" s="68">
        <v>0</v>
      </c>
      <c r="DL128" s="68">
        <v>0</v>
      </c>
      <c r="DM128" s="68">
        <v>0</v>
      </c>
      <c r="DN128" s="68">
        <v>0</v>
      </c>
      <c r="DO128" s="68">
        <v>0</v>
      </c>
      <c r="DP128" s="68">
        <f>SUM(DD128:DO128)</f>
        <v>333333332</v>
      </c>
      <c r="DQ128" s="68">
        <f>DP128-AB128</f>
        <v>0</v>
      </c>
      <c r="DR128" s="68">
        <f>$DD128</f>
        <v>0</v>
      </c>
      <c r="DS128" s="68">
        <f>DR128+DE128</f>
        <v>333333332</v>
      </c>
      <c r="DT128" s="68">
        <f>DS128+DF128</f>
        <v>333333332</v>
      </c>
      <c r="DU128" s="68">
        <f>DT128+DG128</f>
        <v>333333332</v>
      </c>
      <c r="DV128" s="68">
        <f>DU128+DH128</f>
        <v>333333332</v>
      </c>
      <c r="DW128" s="68">
        <f>DV128+DI128</f>
        <v>333333332</v>
      </c>
      <c r="DX128" s="68">
        <f>DW128+DJ128</f>
        <v>333333332</v>
      </c>
      <c r="DY128" s="68">
        <f>DX128+DK128</f>
        <v>333333332</v>
      </c>
      <c r="DZ128" s="68">
        <f>DY128+DL128</f>
        <v>333333332</v>
      </c>
      <c r="EA128" s="68">
        <f>DZ128+DM128</f>
        <v>333333332</v>
      </c>
      <c r="EB128" s="68">
        <f>EA128+DN128</f>
        <v>333333332</v>
      </c>
      <c r="EC128" s="68">
        <f>EB128+DO128</f>
        <v>333333332</v>
      </c>
      <c r="ED128" s="68">
        <f>$EC128-$AB128</f>
        <v>0</v>
      </c>
    </row>
    <row r="129" spans="1:134" ht="30">
      <c r="A129" s="74"/>
      <c r="B129" s="50">
        <v>92</v>
      </c>
      <c r="C129" s="50" t="s">
        <v>269</v>
      </c>
      <c r="D129" s="50" t="s">
        <v>297</v>
      </c>
      <c r="E129" s="50"/>
      <c r="F129" s="50" t="s">
        <v>272</v>
      </c>
      <c r="G129" s="50" t="s">
        <v>273</v>
      </c>
      <c r="H129" s="37" t="s">
        <v>151</v>
      </c>
      <c r="I129" s="37" t="s">
        <v>424</v>
      </c>
      <c r="J129" s="37" t="s">
        <v>694</v>
      </c>
      <c r="K129" s="50" t="s">
        <v>3</v>
      </c>
      <c r="L129" s="50" t="s">
        <v>14</v>
      </c>
      <c r="M129" s="50" t="s">
        <v>16</v>
      </c>
      <c r="N129" s="50" t="s">
        <v>276</v>
      </c>
      <c r="O129" s="37" t="s">
        <v>3</v>
      </c>
      <c r="P129" s="37" t="s">
        <v>14</v>
      </c>
      <c r="Q129" s="37" t="s">
        <v>16</v>
      </c>
      <c r="R129" s="37" t="s">
        <v>276</v>
      </c>
      <c r="S129" s="50" t="s">
        <v>1243</v>
      </c>
      <c r="T129" s="50" t="s">
        <v>1244</v>
      </c>
      <c r="U129" s="50" t="s">
        <v>1245</v>
      </c>
      <c r="V129" s="56" t="s">
        <v>1246</v>
      </c>
      <c r="W129" s="56" t="s">
        <v>1246</v>
      </c>
      <c r="X129" s="38" t="s">
        <v>1246</v>
      </c>
      <c r="Y129" s="60">
        <v>1020358620</v>
      </c>
      <c r="Z129" s="60">
        <v>332625196</v>
      </c>
      <c r="AA129" s="60"/>
      <c r="AB129" s="60">
        <f>Z129+AA129</f>
        <v>332625196</v>
      </c>
      <c r="AC129" s="61"/>
      <c r="AD129" s="61"/>
      <c r="AE129" s="109">
        <v>1020358620</v>
      </c>
      <c r="AF129" s="109">
        <v>332625196</v>
      </c>
      <c r="AG129" s="108">
        <f>$AR129+$AZ129+$BQ129+$BT129+$BU129+$BV129</f>
        <v>0</v>
      </c>
      <c r="AH129" s="121">
        <f>AF129-AG129</f>
        <v>332625196</v>
      </c>
      <c r="AI129" s="39" t="s">
        <v>1247</v>
      </c>
      <c r="AJ129" s="198"/>
      <c r="AK129" s="198"/>
      <c r="AL129" s="42"/>
      <c r="AM129" s="68"/>
      <c r="AN129" s="68"/>
      <c r="AO129" s="68"/>
      <c r="AP129" s="68"/>
      <c r="AQ129" s="68">
        <v>0</v>
      </c>
      <c r="AR129" s="68">
        <v>0</v>
      </c>
      <c r="AS129" s="68" t="s">
        <v>307</v>
      </c>
      <c r="AT129" s="68"/>
      <c r="AU129" s="69" t="s">
        <v>277</v>
      </c>
      <c r="AV129" s="69" t="s">
        <v>277</v>
      </c>
      <c r="AW129" s="69" t="s">
        <v>277</v>
      </c>
      <c r="AX129" s="69"/>
      <c r="AY129" s="68">
        <v>0</v>
      </c>
      <c r="AZ129" s="68">
        <v>0</v>
      </c>
      <c r="BA129" s="68" t="s">
        <v>307</v>
      </c>
      <c r="BB129" s="68"/>
      <c r="BC129" s="69" t="s">
        <v>1248</v>
      </c>
      <c r="BD129" s="69" t="s">
        <v>277</v>
      </c>
      <c r="BE129" s="56" t="s">
        <v>277</v>
      </c>
      <c r="BF129" s="56" t="s">
        <v>277</v>
      </c>
      <c r="BG129" s="56" t="s">
        <v>277</v>
      </c>
      <c r="BH129" s="56" t="s">
        <v>277</v>
      </c>
      <c r="BI129" s="69">
        <v>0</v>
      </c>
      <c r="BJ129" s="69">
        <v>0</v>
      </c>
      <c r="BK129" s="69">
        <v>0</v>
      </c>
      <c r="BL129" s="69">
        <v>0</v>
      </c>
      <c r="BM129" s="69">
        <v>0</v>
      </c>
      <c r="BN129" s="69">
        <v>0</v>
      </c>
      <c r="BO129" s="69">
        <v>0</v>
      </c>
      <c r="BP129" s="69">
        <v>0</v>
      </c>
      <c r="BQ129" s="69"/>
      <c r="BR129" s="69" t="s">
        <v>382</v>
      </c>
      <c r="BS129" s="69" t="s">
        <v>798</v>
      </c>
      <c r="BT129" s="68">
        <v>0</v>
      </c>
      <c r="BU129" s="68">
        <v>0</v>
      </c>
      <c r="BV129" s="68">
        <v>0</v>
      </c>
      <c r="BW129" s="94">
        <v>0</v>
      </c>
      <c r="BX129" s="94">
        <v>0</v>
      </c>
      <c r="BY129" s="94">
        <v>0</v>
      </c>
      <c r="BZ129" s="94">
        <v>0</v>
      </c>
      <c r="CA129" s="94">
        <v>0</v>
      </c>
      <c r="CB129" s="109">
        <v>332625196</v>
      </c>
      <c r="CC129" s="94">
        <v>0</v>
      </c>
      <c r="CD129" s="94">
        <v>0</v>
      </c>
      <c r="CE129" s="94">
        <v>0</v>
      </c>
      <c r="CF129" s="108">
        <f>SUM(BT129:CE129)</f>
        <v>332625196</v>
      </c>
      <c r="CG129" s="108">
        <f>$CF129-$AF129</f>
        <v>0</v>
      </c>
      <c r="CH129" s="37" t="s">
        <v>289</v>
      </c>
      <c r="CI129" s="37" t="s">
        <v>290</v>
      </c>
      <c r="CJ129" s="37" t="s">
        <v>277</v>
      </c>
      <c r="CK129" s="37" t="s">
        <v>290</v>
      </c>
      <c r="CL129" s="37" t="s">
        <v>277</v>
      </c>
      <c r="CM129" s="37" t="s">
        <v>277</v>
      </c>
      <c r="CN129" s="37" t="s">
        <v>290</v>
      </c>
      <c r="CO129" s="37" t="s">
        <v>767</v>
      </c>
      <c r="CP129" s="41">
        <v>46023</v>
      </c>
      <c r="CQ129" s="41">
        <v>46387</v>
      </c>
      <c r="CR129" s="37" t="s">
        <v>293</v>
      </c>
      <c r="CS129" s="37" t="s">
        <v>454</v>
      </c>
      <c r="CT129" s="37" t="s">
        <v>295</v>
      </c>
      <c r="CU129" s="37" t="s">
        <v>341</v>
      </c>
      <c r="CV129" s="37" t="s">
        <v>382</v>
      </c>
      <c r="CW129" s="37">
        <v>4200004588</v>
      </c>
      <c r="CX129" s="37" t="s">
        <v>1246</v>
      </c>
      <c r="CY129" s="37">
        <v>1020358620</v>
      </c>
      <c r="CZ129" s="173">
        <v>45627</v>
      </c>
      <c r="DA129" s="173">
        <v>45992</v>
      </c>
      <c r="DB129" s="172" t="s">
        <v>277</v>
      </c>
      <c r="DC129" s="172" t="s">
        <v>1249</v>
      </c>
      <c r="DD129" s="68">
        <v>0</v>
      </c>
      <c r="DE129" s="68">
        <v>332625196</v>
      </c>
      <c r="DF129" s="68">
        <v>0</v>
      </c>
      <c r="DG129" s="68">
        <v>0</v>
      </c>
      <c r="DH129" s="68">
        <v>0</v>
      </c>
      <c r="DI129" s="68">
        <v>0</v>
      </c>
      <c r="DJ129" s="68">
        <v>0</v>
      </c>
      <c r="DK129" s="68">
        <v>0</v>
      </c>
      <c r="DL129" s="68">
        <v>0</v>
      </c>
      <c r="DM129" s="68">
        <v>0</v>
      </c>
      <c r="DN129" s="68">
        <v>0</v>
      </c>
      <c r="DO129" s="68">
        <v>0</v>
      </c>
      <c r="DP129" s="68">
        <f>SUM(DD129:DO129)</f>
        <v>332625196</v>
      </c>
      <c r="DQ129" s="68">
        <f>DP129-AB129</f>
        <v>0</v>
      </c>
      <c r="DR129" s="68">
        <f>$DD129</f>
        <v>0</v>
      </c>
      <c r="DS129" s="68">
        <f>DR129+DE129</f>
        <v>332625196</v>
      </c>
      <c r="DT129" s="68">
        <f>DS129+DF129</f>
        <v>332625196</v>
      </c>
      <c r="DU129" s="68">
        <f>DT129+DG129</f>
        <v>332625196</v>
      </c>
      <c r="DV129" s="68">
        <f>DU129+DH129</f>
        <v>332625196</v>
      </c>
      <c r="DW129" s="68">
        <f>DV129+DI129</f>
        <v>332625196</v>
      </c>
      <c r="DX129" s="68">
        <f>DW129+DJ129</f>
        <v>332625196</v>
      </c>
      <c r="DY129" s="68">
        <f>DX129+DK129</f>
        <v>332625196</v>
      </c>
      <c r="DZ129" s="68">
        <f>DY129+DL129</f>
        <v>332625196</v>
      </c>
      <c r="EA129" s="68">
        <f>DZ129+DM129</f>
        <v>332625196</v>
      </c>
      <c r="EB129" s="68">
        <f>EA129+DN129</f>
        <v>332625196</v>
      </c>
      <c r="EC129" s="68">
        <f>EB129+DO129</f>
        <v>332625196</v>
      </c>
      <c r="ED129" s="68">
        <f>$EC129-$AB129</f>
        <v>0</v>
      </c>
    </row>
    <row r="130" spans="1:134" ht="30">
      <c r="A130" s="74"/>
      <c r="B130" s="50">
        <v>170</v>
      </c>
      <c r="C130" s="50" t="s">
        <v>269</v>
      </c>
      <c r="D130" s="50" t="s">
        <v>297</v>
      </c>
      <c r="E130" s="50"/>
      <c r="F130" s="50" t="s">
        <v>272</v>
      </c>
      <c r="G130" s="50" t="s">
        <v>273</v>
      </c>
      <c r="H130" s="37" t="s">
        <v>151</v>
      </c>
      <c r="I130" s="37" t="s">
        <v>546</v>
      </c>
      <c r="J130" s="37" t="s">
        <v>621</v>
      </c>
      <c r="K130" s="50" t="s">
        <v>3</v>
      </c>
      <c r="L130" s="50" t="s">
        <v>14</v>
      </c>
      <c r="M130" s="50" t="s">
        <v>16</v>
      </c>
      <c r="N130" s="50" t="s">
        <v>276</v>
      </c>
      <c r="O130" s="37" t="s">
        <v>3</v>
      </c>
      <c r="P130" s="37" t="s">
        <v>14</v>
      </c>
      <c r="Q130" s="37" t="s">
        <v>16</v>
      </c>
      <c r="R130" s="37" t="s">
        <v>276</v>
      </c>
      <c r="S130" s="50" t="s">
        <v>277</v>
      </c>
      <c r="T130" s="50"/>
      <c r="U130" s="50" t="s">
        <v>1250</v>
      </c>
      <c r="V130" s="56" t="s">
        <v>1251</v>
      </c>
      <c r="W130" s="56" t="s">
        <v>1251</v>
      </c>
      <c r="X130" s="38" t="s">
        <v>1251</v>
      </c>
      <c r="Y130" s="60"/>
      <c r="Z130" s="60"/>
      <c r="AA130" s="60"/>
      <c r="AB130" s="60"/>
      <c r="AC130" s="61"/>
      <c r="AD130" s="61"/>
      <c r="AE130" s="109">
        <v>137760000</v>
      </c>
      <c r="AF130" s="109">
        <v>300000000</v>
      </c>
      <c r="AG130" s="108">
        <f>$AR130+$AZ130+$BQ130+$BT130+$BU130+$BV130</f>
        <v>0</v>
      </c>
      <c r="AH130" s="121">
        <f>AF130-AG130</f>
        <v>300000000</v>
      </c>
      <c r="AI130" s="39" t="s">
        <v>1252</v>
      </c>
      <c r="AJ130" s="200"/>
      <c r="AK130" s="200"/>
      <c r="AL130" s="39"/>
      <c r="AM130" s="68"/>
      <c r="AN130" s="68"/>
      <c r="AO130" s="68"/>
      <c r="AP130" s="68"/>
      <c r="AQ130" s="68"/>
      <c r="AR130" s="68"/>
      <c r="AS130" s="68"/>
      <c r="AT130" s="68"/>
      <c r="AU130" s="69"/>
      <c r="AV130" s="69"/>
      <c r="AW130" s="69"/>
      <c r="AX130" s="69"/>
      <c r="AY130" s="68"/>
      <c r="AZ130" s="68"/>
      <c r="BA130" s="68"/>
      <c r="BB130" s="68"/>
      <c r="BC130" s="69"/>
      <c r="BD130" s="69"/>
      <c r="BE130" s="56" t="s">
        <v>277</v>
      </c>
      <c r="BF130" s="56" t="s">
        <v>277</v>
      </c>
      <c r="BG130" s="56" t="s">
        <v>277</v>
      </c>
      <c r="BH130" s="56" t="s">
        <v>277</v>
      </c>
      <c r="BI130" s="69">
        <v>0</v>
      </c>
      <c r="BJ130" s="69">
        <v>0</v>
      </c>
      <c r="BK130" s="69">
        <v>0</v>
      </c>
      <c r="BL130" s="69">
        <v>0</v>
      </c>
      <c r="BM130" s="69">
        <v>0</v>
      </c>
      <c r="BN130" s="69">
        <v>0</v>
      </c>
      <c r="BO130" s="69">
        <v>0</v>
      </c>
      <c r="BP130" s="69">
        <v>0</v>
      </c>
      <c r="BQ130" s="69"/>
      <c r="BR130" s="69" t="s">
        <v>156</v>
      </c>
      <c r="BS130" s="69" t="s">
        <v>798</v>
      </c>
      <c r="BT130" s="68">
        <v>0</v>
      </c>
      <c r="BU130" s="68">
        <v>0</v>
      </c>
      <c r="BV130" s="68">
        <v>0</v>
      </c>
      <c r="BW130" s="94">
        <v>0</v>
      </c>
      <c r="BX130" s="94">
        <v>0</v>
      </c>
      <c r="BY130" s="94">
        <v>0</v>
      </c>
      <c r="BZ130" s="94">
        <v>0</v>
      </c>
      <c r="CA130" s="94">
        <v>300000000</v>
      </c>
      <c r="CB130" s="94">
        <v>0</v>
      </c>
      <c r="CC130" s="94">
        <v>0</v>
      </c>
      <c r="CD130" s="94">
        <v>0</v>
      </c>
      <c r="CE130" s="94">
        <v>0</v>
      </c>
      <c r="CF130" s="108">
        <f>SUM(BT130:CE130)</f>
        <v>300000000</v>
      </c>
      <c r="CG130" s="108">
        <f>$CF130-$AF130</f>
        <v>0</v>
      </c>
      <c r="CH130" s="37" t="s">
        <v>289</v>
      </c>
      <c r="CI130" s="37" t="s">
        <v>290</v>
      </c>
      <c r="CJ130" s="37" t="s">
        <v>277</v>
      </c>
      <c r="CK130" s="37" t="s">
        <v>290</v>
      </c>
      <c r="CL130" s="37" t="s">
        <v>277</v>
      </c>
      <c r="CM130" s="37" t="s">
        <v>277</v>
      </c>
      <c r="CN130" s="37" t="s">
        <v>290</v>
      </c>
      <c r="CO130" s="37" t="s">
        <v>277</v>
      </c>
      <c r="CP130" s="87" t="s">
        <v>277</v>
      </c>
      <c r="CQ130" s="87" t="s">
        <v>277</v>
      </c>
      <c r="CR130" s="37" t="s">
        <v>293</v>
      </c>
      <c r="CS130" s="37" t="s">
        <v>322</v>
      </c>
      <c r="CT130" s="37" t="s">
        <v>295</v>
      </c>
      <c r="CU130" s="88" t="s">
        <v>296</v>
      </c>
      <c r="CV130" s="37" t="s">
        <v>156</v>
      </c>
      <c r="CW130" s="37" t="s">
        <v>277</v>
      </c>
      <c r="CX130" s="37" t="s">
        <v>277</v>
      </c>
      <c r="CY130" s="37" t="s">
        <v>277</v>
      </c>
      <c r="CZ130" s="131" t="s">
        <v>277</v>
      </c>
      <c r="DA130" s="131" t="s">
        <v>277</v>
      </c>
      <c r="DB130" s="172" t="s">
        <v>277</v>
      </c>
      <c r="DC130" s="172" t="s">
        <v>277</v>
      </c>
      <c r="DD130" s="68"/>
      <c r="DE130" s="68"/>
      <c r="DF130" s="68"/>
      <c r="DG130" s="68"/>
      <c r="DH130" s="68"/>
      <c r="DI130" s="68"/>
      <c r="DJ130" s="68"/>
      <c r="DK130" s="68"/>
      <c r="DL130" s="68"/>
      <c r="DM130" s="68"/>
      <c r="DN130" s="68"/>
      <c r="DO130" s="68"/>
      <c r="DP130" s="68">
        <f>SUM(DD130:DO130)</f>
        <v>0</v>
      </c>
      <c r="DQ130" s="68">
        <f>DP130-AB130</f>
        <v>0</v>
      </c>
      <c r="DR130" s="68">
        <f>$DD130</f>
        <v>0</v>
      </c>
      <c r="DS130" s="68">
        <f>DR130+DE130</f>
        <v>0</v>
      </c>
      <c r="DT130" s="68">
        <f>DS130+DF130</f>
        <v>0</v>
      </c>
      <c r="DU130" s="68">
        <f>DT130+DG130</f>
        <v>0</v>
      </c>
      <c r="DV130" s="68">
        <f>DU130+DH130</f>
        <v>0</v>
      </c>
      <c r="DW130" s="68">
        <f>DV130+DI130</f>
        <v>0</v>
      </c>
      <c r="DX130" s="68">
        <f>DW130+DJ130</f>
        <v>0</v>
      </c>
      <c r="DY130" s="68">
        <f>DX130+DK130</f>
        <v>0</v>
      </c>
      <c r="DZ130" s="68">
        <f>DY130+DL130</f>
        <v>0</v>
      </c>
      <c r="EA130" s="68">
        <f>DZ130+DM130</f>
        <v>0</v>
      </c>
      <c r="EB130" s="68">
        <f>EA130+DN130</f>
        <v>0</v>
      </c>
      <c r="EC130" s="68">
        <f>EB130+DO130</f>
        <v>0</v>
      </c>
      <c r="ED130" s="68">
        <f>$EC130-$AB130</f>
        <v>0</v>
      </c>
    </row>
    <row r="131" spans="1:134" ht="30">
      <c r="A131" s="74"/>
      <c r="B131" s="50">
        <v>16</v>
      </c>
      <c r="C131" s="50" t="s">
        <v>269</v>
      </c>
      <c r="D131" s="50" t="s">
        <v>297</v>
      </c>
      <c r="E131" s="50"/>
      <c r="F131" s="50" t="s">
        <v>272</v>
      </c>
      <c r="G131" s="50" t="s">
        <v>273</v>
      </c>
      <c r="H131" s="37" t="s">
        <v>151</v>
      </c>
      <c r="I131" s="87" t="s">
        <v>702</v>
      </c>
      <c r="J131" s="87" t="s">
        <v>751</v>
      </c>
      <c r="K131" s="50" t="s">
        <v>3</v>
      </c>
      <c r="L131" s="50" t="s">
        <v>14</v>
      </c>
      <c r="M131" s="50" t="s">
        <v>16</v>
      </c>
      <c r="N131" s="50" t="s">
        <v>276</v>
      </c>
      <c r="O131" s="37" t="s">
        <v>3</v>
      </c>
      <c r="P131" s="37" t="s">
        <v>14</v>
      </c>
      <c r="Q131" s="37" t="s">
        <v>16</v>
      </c>
      <c r="R131" s="37" t="s">
        <v>276</v>
      </c>
      <c r="S131" s="50" t="s">
        <v>1253</v>
      </c>
      <c r="T131" s="50" t="s">
        <v>514</v>
      </c>
      <c r="U131" s="50" t="s">
        <v>1254</v>
      </c>
      <c r="V131" s="56" t="s">
        <v>1255</v>
      </c>
      <c r="W131" s="56" t="s">
        <v>1255</v>
      </c>
      <c r="X131" s="38" t="s">
        <v>1255</v>
      </c>
      <c r="Y131" s="60">
        <v>7220000000</v>
      </c>
      <c r="Z131" s="60">
        <v>174293000</v>
      </c>
      <c r="AA131" s="60"/>
      <c r="AB131" s="60">
        <f>Z131+AA131</f>
        <v>174293000</v>
      </c>
      <c r="AC131" s="61"/>
      <c r="AD131" s="61"/>
      <c r="AE131" s="107">
        <v>7220000000</v>
      </c>
      <c r="AF131" s="109">
        <v>290487465</v>
      </c>
      <c r="AG131" s="108">
        <f>$AR131+$AZ131+$BQ131+$BT131+$BU131+$BV131</f>
        <v>58097492</v>
      </c>
      <c r="AH131" s="121">
        <f>AF131-AG131</f>
        <v>232389973</v>
      </c>
      <c r="AI131" s="39" t="s">
        <v>1256</v>
      </c>
      <c r="AJ131" s="198"/>
      <c r="AK131" s="198"/>
      <c r="AL131" s="42"/>
      <c r="AM131" s="68"/>
      <c r="AN131" s="68"/>
      <c r="AO131" s="68"/>
      <c r="AP131" s="68"/>
      <c r="AQ131" s="68">
        <v>0</v>
      </c>
      <c r="AR131" s="68">
        <v>0</v>
      </c>
      <c r="AS131" s="68" t="s">
        <v>307</v>
      </c>
      <c r="AT131" s="68"/>
      <c r="AU131" s="69" t="s">
        <v>277</v>
      </c>
      <c r="AV131" s="69" t="s">
        <v>277</v>
      </c>
      <c r="AW131" s="69" t="s">
        <v>277</v>
      </c>
      <c r="AX131" s="69"/>
      <c r="AY131" s="68">
        <v>0</v>
      </c>
      <c r="AZ131" s="68">
        <v>0</v>
      </c>
      <c r="BA131" s="68" t="s">
        <v>307</v>
      </c>
      <c r="BB131" s="68"/>
      <c r="BC131" s="69" t="s">
        <v>1257</v>
      </c>
      <c r="BD131" s="69" t="s">
        <v>277</v>
      </c>
      <c r="BE131" s="56" t="s">
        <v>277</v>
      </c>
      <c r="BF131" s="56" t="s">
        <v>277</v>
      </c>
      <c r="BG131" s="56" t="s">
        <v>277</v>
      </c>
      <c r="BH131" s="56" t="s">
        <v>277</v>
      </c>
      <c r="BI131" s="69">
        <v>0</v>
      </c>
      <c r="BJ131" s="69">
        <v>0</v>
      </c>
      <c r="BK131" s="69">
        <v>0</v>
      </c>
      <c r="BL131" s="69">
        <v>0</v>
      </c>
      <c r="BM131" s="69">
        <v>0</v>
      </c>
      <c r="BN131" s="69">
        <v>0</v>
      </c>
      <c r="BO131" s="69">
        <v>0</v>
      </c>
      <c r="BP131" s="69">
        <v>0</v>
      </c>
      <c r="BQ131" s="69">
        <f>$BJ131</f>
        <v>0</v>
      </c>
      <c r="BR131" s="69" t="s">
        <v>382</v>
      </c>
      <c r="BS131" s="69" t="s">
        <v>798</v>
      </c>
      <c r="BT131" s="68">
        <v>58097492</v>
      </c>
      <c r="BU131" s="68">
        <v>0</v>
      </c>
      <c r="BV131" s="68">
        <v>0</v>
      </c>
      <c r="BW131" s="94">
        <v>0</v>
      </c>
      <c r="BX131" s="94">
        <v>0</v>
      </c>
      <c r="BY131" s="107">
        <v>290487465</v>
      </c>
      <c r="BZ131" s="94">
        <v>0</v>
      </c>
      <c r="CA131" s="94">
        <v>0</v>
      </c>
      <c r="CB131" s="94">
        <v>0</v>
      </c>
      <c r="CC131" s="94">
        <v>0</v>
      </c>
      <c r="CD131" s="94">
        <v>0</v>
      </c>
      <c r="CE131" s="94">
        <v>0</v>
      </c>
      <c r="CF131" s="108">
        <f>SUM(BT131:CE131)</f>
        <v>348584957</v>
      </c>
      <c r="CG131" s="108">
        <f>$CF131-$AF131</f>
        <v>58097492</v>
      </c>
      <c r="CH131" s="37" t="s">
        <v>289</v>
      </c>
      <c r="CI131" s="37" t="s">
        <v>290</v>
      </c>
      <c r="CJ131" s="37" t="s">
        <v>277</v>
      </c>
      <c r="CK131" s="37" t="s">
        <v>290</v>
      </c>
      <c r="CL131" s="37" t="s">
        <v>277</v>
      </c>
      <c r="CM131" s="37" t="s">
        <v>277</v>
      </c>
      <c r="CN131" s="37" t="s">
        <v>290</v>
      </c>
      <c r="CO131" s="37" t="s">
        <v>340</v>
      </c>
      <c r="CP131" s="41">
        <v>46023</v>
      </c>
      <c r="CQ131" s="41">
        <v>46387</v>
      </c>
      <c r="CR131" s="37" t="s">
        <v>293</v>
      </c>
      <c r="CS131" s="37" t="s">
        <v>322</v>
      </c>
      <c r="CT131" s="37" t="s">
        <v>295</v>
      </c>
      <c r="CU131" s="37" t="s">
        <v>341</v>
      </c>
      <c r="CV131" s="37" t="s">
        <v>382</v>
      </c>
      <c r="CW131" s="37" t="s">
        <v>1258</v>
      </c>
      <c r="CX131" s="37" t="s">
        <v>1259</v>
      </c>
      <c r="CY131" s="37">
        <v>7220000000</v>
      </c>
      <c r="CZ131" s="123">
        <v>44835</v>
      </c>
      <c r="DA131" s="123">
        <v>46296</v>
      </c>
      <c r="DB131" s="37" t="s">
        <v>277</v>
      </c>
      <c r="DC131" s="37" t="s">
        <v>1260</v>
      </c>
      <c r="DD131" s="68">
        <v>0</v>
      </c>
      <c r="DE131" s="68">
        <v>174293000</v>
      </c>
      <c r="DF131" s="68">
        <v>0</v>
      </c>
      <c r="DG131" s="68">
        <v>0</v>
      </c>
      <c r="DH131" s="68">
        <v>0</v>
      </c>
      <c r="DI131" s="68">
        <v>0</v>
      </c>
      <c r="DJ131" s="68">
        <v>0</v>
      </c>
      <c r="DK131" s="68">
        <v>0</v>
      </c>
      <c r="DL131" s="68">
        <v>0</v>
      </c>
      <c r="DM131" s="68">
        <v>0</v>
      </c>
      <c r="DN131" s="68">
        <v>0</v>
      </c>
      <c r="DO131" s="68">
        <v>0</v>
      </c>
      <c r="DP131" s="68">
        <f>SUM(DD131:DO131)</f>
        <v>174293000</v>
      </c>
      <c r="DQ131" s="68">
        <f>DP131-AB131</f>
        <v>0</v>
      </c>
      <c r="DR131" s="68">
        <f>$DD131</f>
        <v>0</v>
      </c>
      <c r="DS131" s="68">
        <f>DR131+DE131</f>
        <v>174293000</v>
      </c>
      <c r="DT131" s="68">
        <f>DS131+DF131</f>
        <v>174293000</v>
      </c>
      <c r="DU131" s="68">
        <f>DT131+DG131</f>
        <v>174293000</v>
      </c>
      <c r="DV131" s="68">
        <f>DU131+DH131</f>
        <v>174293000</v>
      </c>
      <c r="DW131" s="68">
        <f>DV131+DI131</f>
        <v>174293000</v>
      </c>
      <c r="DX131" s="68">
        <f>DW131+DJ131</f>
        <v>174293000</v>
      </c>
      <c r="DY131" s="68">
        <f>DX131+DK131</f>
        <v>174293000</v>
      </c>
      <c r="DZ131" s="68">
        <f>DY131+DL131</f>
        <v>174293000</v>
      </c>
      <c r="EA131" s="68">
        <f>DZ131+DM131</f>
        <v>174293000</v>
      </c>
      <c r="EB131" s="68">
        <f>EA131+DN131</f>
        <v>174293000</v>
      </c>
      <c r="EC131" s="68">
        <f>EB131+DO131</f>
        <v>174293000</v>
      </c>
      <c r="ED131" s="68">
        <f>$EC131-$AB131</f>
        <v>0</v>
      </c>
    </row>
    <row r="132" spans="1:134" ht="30">
      <c r="A132" s="74"/>
      <c r="B132" s="50">
        <v>116</v>
      </c>
      <c r="C132" s="50" t="s">
        <v>269</v>
      </c>
      <c r="D132" s="50" t="s">
        <v>297</v>
      </c>
      <c r="E132" s="50"/>
      <c r="F132" s="50" t="s">
        <v>272</v>
      </c>
      <c r="G132" s="50" t="s">
        <v>273</v>
      </c>
      <c r="H132" s="37" t="s">
        <v>151</v>
      </c>
      <c r="I132" s="37" t="s">
        <v>546</v>
      </c>
      <c r="J132" s="37" t="s">
        <v>767</v>
      </c>
      <c r="K132" s="50" t="s">
        <v>3</v>
      </c>
      <c r="L132" s="50" t="s">
        <v>14</v>
      </c>
      <c r="M132" s="50" t="s">
        <v>27</v>
      </c>
      <c r="N132" s="50" t="s">
        <v>276</v>
      </c>
      <c r="O132" s="37" t="s">
        <v>3</v>
      </c>
      <c r="P132" s="37" t="s">
        <v>14</v>
      </c>
      <c r="Q132" s="37" t="s">
        <v>27</v>
      </c>
      <c r="R132" s="37" t="s">
        <v>276</v>
      </c>
      <c r="S132" s="50" t="s">
        <v>1261</v>
      </c>
      <c r="T132" s="50" t="s">
        <v>1262</v>
      </c>
      <c r="U132" s="50" t="s">
        <v>1263</v>
      </c>
      <c r="V132" s="56" t="s">
        <v>1264</v>
      </c>
      <c r="W132" s="56" t="s">
        <v>1264</v>
      </c>
      <c r="X132" s="38" t="s">
        <v>1264</v>
      </c>
      <c r="Y132" s="60">
        <v>342435000</v>
      </c>
      <c r="Z132" s="60">
        <v>273948000</v>
      </c>
      <c r="AA132" s="60"/>
      <c r="AB132" s="60">
        <f>Z132+AA132</f>
        <v>273948000</v>
      </c>
      <c r="AC132" s="61"/>
      <c r="AD132" s="61"/>
      <c r="AE132" s="109">
        <v>342435000</v>
      </c>
      <c r="AF132" s="109">
        <v>273948000</v>
      </c>
      <c r="AG132" s="108">
        <f>$AR132+$AZ132+$BQ132+$BT132+$BU132+$BV132</f>
        <v>273948000</v>
      </c>
      <c r="AH132" s="121">
        <f>AF132-AG132</f>
        <v>0</v>
      </c>
      <c r="AI132" s="39" t="s">
        <v>1265</v>
      </c>
      <c r="AJ132" s="198"/>
      <c r="AK132" s="198"/>
      <c r="AL132" s="42"/>
      <c r="AM132" s="68"/>
      <c r="AN132" s="68"/>
      <c r="AO132" s="68"/>
      <c r="AP132" s="68"/>
      <c r="AQ132" s="68">
        <v>0</v>
      </c>
      <c r="AR132" s="68">
        <v>0</v>
      </c>
      <c r="AS132" s="68" t="s">
        <v>307</v>
      </c>
      <c r="AT132" s="68"/>
      <c r="AU132" s="69" t="s">
        <v>1266</v>
      </c>
      <c r="AV132" s="69" t="s">
        <v>1267</v>
      </c>
      <c r="AW132" s="69" t="s">
        <v>1268</v>
      </c>
      <c r="AX132" s="69"/>
      <c r="AY132" s="68">
        <v>273948000</v>
      </c>
      <c r="AZ132" s="68">
        <v>273948000</v>
      </c>
      <c r="BA132" s="68" t="s">
        <v>307</v>
      </c>
      <c r="BB132" s="68"/>
      <c r="BC132" s="69" t="s">
        <v>1269</v>
      </c>
      <c r="BD132" s="69" t="s">
        <v>277</v>
      </c>
      <c r="BE132" s="56" t="s">
        <v>277</v>
      </c>
      <c r="BF132" s="56" t="s">
        <v>277</v>
      </c>
      <c r="BG132" s="56" t="s">
        <v>277</v>
      </c>
      <c r="BH132" s="56" t="s">
        <v>277</v>
      </c>
      <c r="BI132" s="69">
        <v>0</v>
      </c>
      <c r="BJ132" s="69">
        <v>0</v>
      </c>
      <c r="BK132" s="69">
        <v>0</v>
      </c>
      <c r="BL132" s="69">
        <v>0</v>
      </c>
      <c r="BM132" s="69">
        <v>0</v>
      </c>
      <c r="BN132" s="69">
        <v>0</v>
      </c>
      <c r="BO132" s="69">
        <v>0</v>
      </c>
      <c r="BP132" s="69">
        <v>0</v>
      </c>
      <c r="BQ132" s="69"/>
      <c r="BR132" s="69" t="s">
        <v>382</v>
      </c>
      <c r="BS132" s="69" t="s">
        <v>798</v>
      </c>
      <c r="BT132" s="68">
        <v>0</v>
      </c>
      <c r="BU132" s="68">
        <v>0</v>
      </c>
      <c r="BV132" s="68">
        <v>0</v>
      </c>
      <c r="BW132" s="94">
        <v>0</v>
      </c>
      <c r="BX132" s="94">
        <v>0</v>
      </c>
      <c r="BY132" s="94">
        <v>0</v>
      </c>
      <c r="BZ132" s="94">
        <v>0</v>
      </c>
      <c r="CA132" s="94">
        <v>273948000</v>
      </c>
      <c r="CB132" s="132">
        <v>0</v>
      </c>
      <c r="CC132" s="132">
        <v>0</v>
      </c>
      <c r="CD132" s="132">
        <v>0</v>
      </c>
      <c r="CE132" s="132">
        <v>0</v>
      </c>
      <c r="CF132" s="171">
        <f>SUM(BT132:CE132)</f>
        <v>273948000</v>
      </c>
      <c r="CG132" s="108">
        <f>$CF132-$AF132</f>
        <v>0</v>
      </c>
      <c r="CH132" s="37" t="s">
        <v>289</v>
      </c>
      <c r="CI132" s="37" t="s">
        <v>290</v>
      </c>
      <c r="CJ132" s="37" t="s">
        <v>277</v>
      </c>
      <c r="CK132" s="37" t="s">
        <v>290</v>
      </c>
      <c r="CL132" s="37" t="s">
        <v>277</v>
      </c>
      <c r="CM132" s="37" t="s">
        <v>277</v>
      </c>
      <c r="CN132" s="37" t="s">
        <v>290</v>
      </c>
      <c r="CO132" s="37" t="s">
        <v>767</v>
      </c>
      <c r="CP132" s="41">
        <v>45931</v>
      </c>
      <c r="CQ132" s="41">
        <v>46054</v>
      </c>
      <c r="CR132" s="37" t="s">
        <v>293</v>
      </c>
      <c r="CS132" s="37" t="s">
        <v>322</v>
      </c>
      <c r="CT132" s="37" t="s">
        <v>295</v>
      </c>
      <c r="CU132" s="37" t="s">
        <v>296</v>
      </c>
      <c r="CV132" s="37" t="s">
        <v>323</v>
      </c>
      <c r="CW132" s="37" t="s">
        <v>277</v>
      </c>
      <c r="CX132" s="37" t="s">
        <v>277</v>
      </c>
      <c r="CY132" s="37">
        <v>0</v>
      </c>
      <c r="CZ132" s="123" t="s">
        <v>277</v>
      </c>
      <c r="DA132" s="123" t="s">
        <v>277</v>
      </c>
      <c r="DB132" s="37" t="s">
        <v>277</v>
      </c>
      <c r="DC132" s="37" t="s">
        <v>1017</v>
      </c>
      <c r="DD132" s="68">
        <v>0</v>
      </c>
      <c r="DE132" s="68">
        <v>0</v>
      </c>
      <c r="DF132" s="68">
        <v>0</v>
      </c>
      <c r="DG132" s="68">
        <v>0</v>
      </c>
      <c r="DH132" s="68">
        <v>0</v>
      </c>
      <c r="DI132" s="68">
        <v>0</v>
      </c>
      <c r="DJ132" s="68">
        <v>0</v>
      </c>
      <c r="DK132" s="68">
        <v>0</v>
      </c>
      <c r="DL132" s="68">
        <v>0</v>
      </c>
      <c r="DM132" s="68">
        <v>0</v>
      </c>
      <c r="DN132" s="68">
        <v>0</v>
      </c>
      <c r="DO132" s="68">
        <v>273948000</v>
      </c>
      <c r="DP132" s="68">
        <f>SUM(DD132:DO132)</f>
        <v>273948000</v>
      </c>
      <c r="DQ132" s="68">
        <f>DP132-AB132</f>
        <v>0</v>
      </c>
      <c r="DR132" s="68">
        <f>$DD132</f>
        <v>0</v>
      </c>
      <c r="DS132" s="68">
        <f>DR132+DE132</f>
        <v>0</v>
      </c>
      <c r="DT132" s="68">
        <f>DS132+DF132</f>
        <v>0</v>
      </c>
      <c r="DU132" s="68">
        <f>DT132+DG132</f>
        <v>0</v>
      </c>
      <c r="DV132" s="68">
        <f>DU132+DH132</f>
        <v>0</v>
      </c>
      <c r="DW132" s="68">
        <f>DV132+DI132</f>
        <v>0</v>
      </c>
      <c r="DX132" s="68">
        <f>DW132+DJ132</f>
        <v>0</v>
      </c>
      <c r="DY132" s="68">
        <f>DX132+DK132</f>
        <v>0</v>
      </c>
      <c r="DZ132" s="68">
        <f>DY132+DL132</f>
        <v>0</v>
      </c>
      <c r="EA132" s="68">
        <f>DZ132+DM132</f>
        <v>0</v>
      </c>
      <c r="EB132" s="68">
        <f>EA132+DN132</f>
        <v>0</v>
      </c>
      <c r="EC132" s="68">
        <f>EB132+DO132</f>
        <v>273948000</v>
      </c>
      <c r="ED132" s="68">
        <f>$EC132-$AB132</f>
        <v>0</v>
      </c>
    </row>
    <row r="133" spans="1:134" ht="45">
      <c r="A133" s="74"/>
      <c r="B133" s="50">
        <v>12</v>
      </c>
      <c r="C133" s="50" t="s">
        <v>269</v>
      </c>
      <c r="D133" s="50" t="s">
        <v>297</v>
      </c>
      <c r="E133" s="50"/>
      <c r="F133" s="50" t="s">
        <v>272</v>
      </c>
      <c r="G133" s="50" t="s">
        <v>273</v>
      </c>
      <c r="H133" s="37" t="s">
        <v>151</v>
      </c>
      <c r="I133" s="37" t="s">
        <v>604</v>
      </c>
      <c r="J133" s="37" t="s">
        <v>852</v>
      </c>
      <c r="K133" s="50" t="s">
        <v>3</v>
      </c>
      <c r="L133" s="50" t="s">
        <v>14</v>
      </c>
      <c r="M133" s="50" t="s">
        <v>16</v>
      </c>
      <c r="N133" s="50" t="s">
        <v>276</v>
      </c>
      <c r="O133" s="37" t="s">
        <v>3</v>
      </c>
      <c r="P133" s="37" t="s">
        <v>14</v>
      </c>
      <c r="Q133" s="37" t="s">
        <v>16</v>
      </c>
      <c r="R133" s="37" t="s">
        <v>276</v>
      </c>
      <c r="S133" s="50" t="s">
        <v>1270</v>
      </c>
      <c r="T133" s="50" t="s">
        <v>1196</v>
      </c>
      <c r="U133" s="50" t="s">
        <v>1271</v>
      </c>
      <c r="V133" s="56" t="s">
        <v>1272</v>
      </c>
      <c r="W133" s="56" t="s">
        <v>1272</v>
      </c>
      <c r="X133" s="38" t="s">
        <v>1272</v>
      </c>
      <c r="Y133" s="60">
        <v>24783272727.27</v>
      </c>
      <c r="Z133" s="60">
        <v>294319000</v>
      </c>
      <c r="AA133" s="60"/>
      <c r="AB133" s="60">
        <f>Z133+AA133</f>
        <v>294319000</v>
      </c>
      <c r="AC133" s="61"/>
      <c r="AD133" s="61"/>
      <c r="AE133" s="109">
        <v>24783272727.27</v>
      </c>
      <c r="AF133" s="109">
        <v>252272724</v>
      </c>
      <c r="AG133" s="108">
        <f>$AR133+$AZ133+$BQ133+$BT133+$BU133+$BV133</f>
        <v>82282960</v>
      </c>
      <c r="AH133" s="121">
        <f>AF133-AG133</f>
        <v>169989764</v>
      </c>
      <c r="AI133" s="39" t="s">
        <v>1273</v>
      </c>
      <c r="AJ133" s="198"/>
      <c r="AK133" s="198"/>
      <c r="AL133" s="42"/>
      <c r="AM133" s="68"/>
      <c r="AN133" s="68"/>
      <c r="AO133" s="68"/>
      <c r="AP133" s="68"/>
      <c r="AQ133" s="68">
        <v>0</v>
      </c>
      <c r="AR133" s="68">
        <v>0</v>
      </c>
      <c r="AS133" s="68" t="s">
        <v>307</v>
      </c>
      <c r="AT133" s="68"/>
      <c r="AU133" s="69" t="s">
        <v>277</v>
      </c>
      <c r="AV133" s="69" t="s">
        <v>277</v>
      </c>
      <c r="AW133" s="69" t="s">
        <v>277</v>
      </c>
      <c r="AX133" s="69"/>
      <c r="AY133" s="68">
        <v>0</v>
      </c>
      <c r="AZ133" s="68">
        <v>0</v>
      </c>
      <c r="BA133" s="68" t="s">
        <v>307</v>
      </c>
      <c r="BB133" s="68"/>
      <c r="BC133" s="69" t="s">
        <v>1274</v>
      </c>
      <c r="BD133" s="69" t="s">
        <v>277</v>
      </c>
      <c r="BE133" s="56" t="s">
        <v>277</v>
      </c>
      <c r="BF133" s="56" t="s">
        <v>277</v>
      </c>
      <c r="BG133" s="56" t="s">
        <v>277</v>
      </c>
      <c r="BH133" s="56" t="s">
        <v>277</v>
      </c>
      <c r="BI133" s="69">
        <v>0</v>
      </c>
      <c r="BJ133" s="69">
        <v>0</v>
      </c>
      <c r="BK133" s="69">
        <v>0</v>
      </c>
      <c r="BL133" s="69">
        <v>0</v>
      </c>
      <c r="BM133" s="69">
        <v>0</v>
      </c>
      <c r="BN133" s="69">
        <v>0</v>
      </c>
      <c r="BO133" s="69">
        <v>0</v>
      </c>
      <c r="BP133" s="69">
        <v>0</v>
      </c>
      <c r="BQ133" s="69">
        <f>$BJ133</f>
        <v>0</v>
      </c>
      <c r="BR133" s="69" t="s">
        <v>382</v>
      </c>
      <c r="BS133" s="69" t="s">
        <v>798</v>
      </c>
      <c r="BT133" s="68">
        <v>42045460</v>
      </c>
      <c r="BU133" s="68">
        <v>0</v>
      </c>
      <c r="BV133" s="68">
        <v>40237500</v>
      </c>
      <c r="BW133" s="94">
        <v>0</v>
      </c>
      <c r="BX133" s="94">
        <v>0</v>
      </c>
      <c r="BY133" s="94">
        <v>0</v>
      </c>
      <c r="BZ133" s="94">
        <v>0</v>
      </c>
      <c r="CA133" s="94">
        <v>0</v>
      </c>
      <c r="CB133" s="169">
        <v>252272724</v>
      </c>
      <c r="CC133" s="132">
        <v>0</v>
      </c>
      <c r="CD133" s="132">
        <v>0</v>
      </c>
      <c r="CE133" s="132">
        <v>0</v>
      </c>
      <c r="CF133" s="171">
        <f>SUM(BT133:CE133)</f>
        <v>334555684</v>
      </c>
      <c r="CG133" s="108">
        <f>$CF133-$AF133</f>
        <v>82282960</v>
      </c>
      <c r="CH133" s="37" t="s">
        <v>289</v>
      </c>
      <c r="CI133" s="37" t="s">
        <v>290</v>
      </c>
      <c r="CJ133" s="37" t="s">
        <v>277</v>
      </c>
      <c r="CK133" s="37" t="s">
        <v>290</v>
      </c>
      <c r="CL133" s="37" t="s">
        <v>277</v>
      </c>
      <c r="CM133" s="37" t="s">
        <v>277</v>
      </c>
      <c r="CN133" s="37" t="s">
        <v>290</v>
      </c>
      <c r="CO133" s="37" t="s">
        <v>275</v>
      </c>
      <c r="CP133" s="41">
        <v>46023</v>
      </c>
      <c r="CQ133" s="41">
        <v>46387</v>
      </c>
      <c r="CR133" s="37" t="s">
        <v>293</v>
      </c>
      <c r="CS133" s="37" t="s">
        <v>322</v>
      </c>
      <c r="CT133" s="37" t="s">
        <v>295</v>
      </c>
      <c r="CU133" s="37" t="s">
        <v>341</v>
      </c>
      <c r="CV133" s="37" t="s">
        <v>382</v>
      </c>
      <c r="CW133" s="37" t="s">
        <v>1275</v>
      </c>
      <c r="CX133" s="37" t="s">
        <v>1276</v>
      </c>
      <c r="CY133" s="124">
        <v>85167272727</v>
      </c>
      <c r="CZ133" s="123">
        <v>44562</v>
      </c>
      <c r="DA133" s="123">
        <v>45658</v>
      </c>
      <c r="DB133" s="37" t="s">
        <v>277</v>
      </c>
      <c r="DC133" s="37" t="s">
        <v>485</v>
      </c>
      <c r="DD133" s="68">
        <v>0</v>
      </c>
      <c r="DE133" s="68">
        <v>294319000</v>
      </c>
      <c r="DF133" s="68">
        <v>0</v>
      </c>
      <c r="DG133" s="68">
        <v>0</v>
      </c>
      <c r="DH133" s="68">
        <v>0</v>
      </c>
      <c r="DI133" s="68">
        <v>0</v>
      </c>
      <c r="DJ133" s="68">
        <v>0</v>
      </c>
      <c r="DK133" s="68">
        <v>0</v>
      </c>
      <c r="DL133" s="68">
        <v>0</v>
      </c>
      <c r="DM133" s="68">
        <v>0</v>
      </c>
      <c r="DN133" s="68">
        <v>0</v>
      </c>
      <c r="DO133" s="68">
        <v>0</v>
      </c>
      <c r="DP133" s="68">
        <f>SUM(DD133:DO133)</f>
        <v>294319000</v>
      </c>
      <c r="DQ133" s="68">
        <f>DP133-AB133</f>
        <v>0</v>
      </c>
      <c r="DR133" s="68">
        <f>$DD133</f>
        <v>0</v>
      </c>
      <c r="DS133" s="68">
        <f>DR133+DE133</f>
        <v>294319000</v>
      </c>
      <c r="DT133" s="68">
        <f>DS133+DF133</f>
        <v>294319000</v>
      </c>
      <c r="DU133" s="68">
        <f>DT133+DG133</f>
        <v>294319000</v>
      </c>
      <c r="DV133" s="68">
        <f>DU133+DH133</f>
        <v>294319000</v>
      </c>
      <c r="DW133" s="68">
        <f>DV133+DI133</f>
        <v>294319000</v>
      </c>
      <c r="DX133" s="68">
        <f>DW133+DJ133</f>
        <v>294319000</v>
      </c>
      <c r="DY133" s="68">
        <f>DX133+DK133</f>
        <v>294319000</v>
      </c>
      <c r="DZ133" s="68">
        <f>DY133+DL133</f>
        <v>294319000</v>
      </c>
      <c r="EA133" s="68">
        <f>DZ133+DM133</f>
        <v>294319000</v>
      </c>
      <c r="EB133" s="68">
        <f>EA133+DN133</f>
        <v>294319000</v>
      </c>
      <c r="EC133" s="68">
        <f>EB133+DO133</f>
        <v>294319000</v>
      </c>
      <c r="ED133" s="68">
        <f>$EC133-$AB133</f>
        <v>0</v>
      </c>
    </row>
    <row r="134" spans="1:134" ht="45">
      <c r="A134" s="74"/>
      <c r="B134" s="50">
        <v>31</v>
      </c>
      <c r="C134" s="50" t="s">
        <v>269</v>
      </c>
      <c r="D134" s="50" t="s">
        <v>297</v>
      </c>
      <c r="E134" s="50"/>
      <c r="F134" s="50" t="s">
        <v>272</v>
      </c>
      <c r="G134" s="50" t="s">
        <v>273</v>
      </c>
      <c r="H134" s="37" t="s">
        <v>151</v>
      </c>
      <c r="I134" s="37" t="s">
        <v>326</v>
      </c>
      <c r="J134" s="37" t="s">
        <v>447</v>
      </c>
      <c r="K134" s="50" t="s">
        <v>3</v>
      </c>
      <c r="L134" s="50" t="s">
        <v>14</v>
      </c>
      <c r="M134" s="50" t="s">
        <v>16</v>
      </c>
      <c r="N134" s="50" t="s">
        <v>276</v>
      </c>
      <c r="O134" s="37" t="s">
        <v>3</v>
      </c>
      <c r="P134" s="37" t="s">
        <v>14</v>
      </c>
      <c r="Q134" s="37" t="s">
        <v>16</v>
      </c>
      <c r="R134" s="37" t="s">
        <v>276</v>
      </c>
      <c r="S134" s="50" t="s">
        <v>277</v>
      </c>
      <c r="T134" s="50" t="s">
        <v>1277</v>
      </c>
      <c r="U134" s="50" t="s">
        <v>1278</v>
      </c>
      <c r="V134" s="56" t="s">
        <v>1279</v>
      </c>
      <c r="W134" s="56" t="s">
        <v>1279</v>
      </c>
      <c r="X134" s="38" t="s">
        <v>1280</v>
      </c>
      <c r="Y134" s="60">
        <v>1200000000</v>
      </c>
      <c r="Z134" s="60">
        <v>1200000000</v>
      </c>
      <c r="AA134" s="60"/>
      <c r="AB134" s="60">
        <f>Z134+AA134</f>
        <v>1200000000</v>
      </c>
      <c r="AC134" s="61"/>
      <c r="AD134" s="61"/>
      <c r="AE134" s="109">
        <v>1200000000</v>
      </c>
      <c r="AF134" s="109">
        <v>250000000</v>
      </c>
      <c r="AG134" s="108">
        <f>$AR134+$AZ134+$BQ134+$BT134+$BU134+$BV134</f>
        <v>0</v>
      </c>
      <c r="AH134" s="121">
        <f>AF134-AG134</f>
        <v>250000000</v>
      </c>
      <c r="AI134" s="85" t="s">
        <v>1281</v>
      </c>
      <c r="AJ134" s="199"/>
      <c r="AK134" s="199"/>
      <c r="AL134" s="86"/>
      <c r="AM134" s="68"/>
      <c r="AN134" s="68"/>
      <c r="AO134" s="68"/>
      <c r="AP134" s="68"/>
      <c r="AQ134" s="68">
        <v>0</v>
      </c>
      <c r="AR134" s="68">
        <v>0</v>
      </c>
      <c r="AS134" s="68" t="s">
        <v>307</v>
      </c>
      <c r="AT134" s="68"/>
      <c r="AU134" s="69" t="s">
        <v>277</v>
      </c>
      <c r="AV134" s="69" t="s">
        <v>277</v>
      </c>
      <c r="AW134" s="69" t="s">
        <v>277</v>
      </c>
      <c r="AX134" s="69"/>
      <c r="AY134" s="68">
        <v>0</v>
      </c>
      <c r="AZ134" s="68">
        <v>0</v>
      </c>
      <c r="BA134" s="68" t="s">
        <v>307</v>
      </c>
      <c r="BB134" s="68"/>
      <c r="BC134" s="69" t="s">
        <v>277</v>
      </c>
      <c r="BD134" s="69" t="s">
        <v>277</v>
      </c>
      <c r="BE134" s="56" t="s">
        <v>277</v>
      </c>
      <c r="BF134" s="56" t="s">
        <v>277</v>
      </c>
      <c r="BG134" s="56" t="s">
        <v>277</v>
      </c>
      <c r="BH134" s="56" t="s">
        <v>277</v>
      </c>
      <c r="BI134" s="69">
        <v>0</v>
      </c>
      <c r="BJ134" s="69">
        <v>0</v>
      </c>
      <c r="BK134" s="69">
        <v>0</v>
      </c>
      <c r="BL134" s="69">
        <v>0</v>
      </c>
      <c r="BM134" s="69">
        <v>0</v>
      </c>
      <c r="BN134" s="69">
        <v>0</v>
      </c>
      <c r="BO134" s="69">
        <v>0</v>
      </c>
      <c r="BP134" s="69">
        <v>0</v>
      </c>
      <c r="BQ134" s="69"/>
      <c r="BR134" s="69" t="s">
        <v>156</v>
      </c>
      <c r="BS134" s="69" t="s">
        <v>1282</v>
      </c>
      <c r="BT134" s="68">
        <v>0</v>
      </c>
      <c r="BU134" s="68">
        <v>0</v>
      </c>
      <c r="BV134" s="68">
        <v>0</v>
      </c>
      <c r="BW134" s="94">
        <v>0</v>
      </c>
      <c r="BX134" s="94">
        <v>250000000</v>
      </c>
      <c r="BY134" s="94">
        <v>0</v>
      </c>
      <c r="BZ134" s="94">
        <v>0</v>
      </c>
      <c r="CA134" s="94">
        <v>0</v>
      </c>
      <c r="CB134" s="94">
        <v>0</v>
      </c>
      <c r="CC134" s="94">
        <v>0</v>
      </c>
      <c r="CD134" s="94">
        <v>0</v>
      </c>
      <c r="CE134" s="94">
        <v>0</v>
      </c>
      <c r="CF134" s="108">
        <f>SUM(BT134:CE134)</f>
        <v>250000000</v>
      </c>
      <c r="CG134" s="108">
        <f>$CF134-$AF134</f>
        <v>0</v>
      </c>
      <c r="CH134" s="37" t="s">
        <v>289</v>
      </c>
      <c r="CI134" s="37" t="s">
        <v>290</v>
      </c>
      <c r="CJ134" s="37" t="s">
        <v>277</v>
      </c>
      <c r="CK134" s="37" t="s">
        <v>290</v>
      </c>
      <c r="CL134" s="37" t="s">
        <v>277</v>
      </c>
      <c r="CM134" s="37" t="s">
        <v>277</v>
      </c>
      <c r="CN134" s="37" t="s">
        <v>290</v>
      </c>
      <c r="CO134" s="37" t="s">
        <v>340</v>
      </c>
      <c r="CP134" s="41">
        <v>46023</v>
      </c>
      <c r="CQ134" s="41">
        <v>46387</v>
      </c>
      <c r="CR134" s="37" t="s">
        <v>293</v>
      </c>
      <c r="CS134" s="37" t="s">
        <v>294</v>
      </c>
      <c r="CT134" s="37" t="s">
        <v>295</v>
      </c>
      <c r="CU134" s="37" t="s">
        <v>296</v>
      </c>
      <c r="CV134" s="37" t="s">
        <v>323</v>
      </c>
      <c r="CW134" s="37" t="s">
        <v>277</v>
      </c>
      <c r="CX134" s="37" t="s">
        <v>277</v>
      </c>
      <c r="CY134" s="37">
        <v>0</v>
      </c>
      <c r="CZ134" s="123" t="s">
        <v>277</v>
      </c>
      <c r="DA134" s="123" t="s">
        <v>277</v>
      </c>
      <c r="DB134" s="37" t="s">
        <v>277</v>
      </c>
      <c r="DC134" s="37" t="s">
        <v>455</v>
      </c>
      <c r="DD134" s="68">
        <v>0</v>
      </c>
      <c r="DE134" s="68">
        <v>0</v>
      </c>
      <c r="DF134" s="68">
        <v>0</v>
      </c>
      <c r="DG134" s="68">
        <v>0</v>
      </c>
      <c r="DH134" s="68">
        <v>0</v>
      </c>
      <c r="DI134" s="68">
        <v>0</v>
      </c>
      <c r="DJ134" s="68">
        <v>0</v>
      </c>
      <c r="DK134" s="68">
        <v>0</v>
      </c>
      <c r="DL134" s="68">
        <v>0</v>
      </c>
      <c r="DM134" s="68">
        <v>0</v>
      </c>
      <c r="DN134" s="68">
        <v>0</v>
      </c>
      <c r="DO134" s="68">
        <v>1200000000</v>
      </c>
      <c r="DP134" s="68">
        <f>SUM(DD134:DO134)</f>
        <v>1200000000</v>
      </c>
      <c r="DQ134" s="68">
        <f>DP134-AB134</f>
        <v>0</v>
      </c>
      <c r="DR134" s="68">
        <f>$DD134</f>
        <v>0</v>
      </c>
      <c r="DS134" s="68">
        <f>DR134+DE134</f>
        <v>0</v>
      </c>
      <c r="DT134" s="68">
        <f>DS134+DF134</f>
        <v>0</v>
      </c>
      <c r="DU134" s="68">
        <f>DT134+DG134</f>
        <v>0</v>
      </c>
      <c r="DV134" s="68">
        <f>DU134+DH134</f>
        <v>0</v>
      </c>
      <c r="DW134" s="68">
        <f>DV134+DI134</f>
        <v>0</v>
      </c>
      <c r="DX134" s="68">
        <f>DW134+DJ134</f>
        <v>0</v>
      </c>
      <c r="DY134" s="68">
        <f>DX134+DK134</f>
        <v>0</v>
      </c>
      <c r="DZ134" s="68">
        <f>DY134+DL134</f>
        <v>0</v>
      </c>
      <c r="EA134" s="68">
        <f>DZ134+DM134</f>
        <v>0</v>
      </c>
      <c r="EB134" s="68">
        <f>EA134+DN134</f>
        <v>0</v>
      </c>
      <c r="EC134" s="68">
        <f>EB134+DO134</f>
        <v>1200000000</v>
      </c>
      <c r="ED134" s="68">
        <f>$EC134-$AB134</f>
        <v>0</v>
      </c>
    </row>
    <row r="135" spans="1:134" ht="45">
      <c r="B135" s="159"/>
      <c r="C135" s="160" t="s">
        <v>269</v>
      </c>
      <c r="D135" s="160" t="s">
        <v>270</v>
      </c>
      <c r="E135" s="160"/>
      <c r="F135" s="160" t="s">
        <v>272</v>
      </c>
      <c r="G135" s="160" t="s">
        <v>273</v>
      </c>
      <c r="H135" s="160" t="s">
        <v>151</v>
      </c>
      <c r="I135" s="160" t="s">
        <v>424</v>
      </c>
      <c r="J135" s="160" t="s">
        <v>788</v>
      </c>
      <c r="K135" s="160" t="s">
        <v>277</v>
      </c>
      <c r="L135" s="160" t="s">
        <v>277</v>
      </c>
      <c r="M135" s="160" t="s">
        <v>277</v>
      </c>
      <c r="N135" s="160" t="s">
        <v>277</v>
      </c>
      <c r="O135" s="160" t="s">
        <v>3</v>
      </c>
      <c r="P135" s="160" t="s">
        <v>14</v>
      </c>
      <c r="Q135" s="160" t="s">
        <v>16</v>
      </c>
      <c r="R135" s="158" t="s">
        <v>276</v>
      </c>
      <c r="S135" s="159" t="s">
        <v>277</v>
      </c>
      <c r="T135" s="159" t="s">
        <v>277</v>
      </c>
      <c r="U135" s="160" t="s">
        <v>277</v>
      </c>
      <c r="V135" s="159" t="s">
        <v>277</v>
      </c>
      <c r="W135" s="159" t="s">
        <v>277</v>
      </c>
      <c r="X135" s="161" t="s">
        <v>1283</v>
      </c>
      <c r="Y135" s="155"/>
      <c r="Z135" s="159"/>
      <c r="AA135" s="159"/>
      <c r="AB135" s="159"/>
      <c r="AC135" s="159"/>
      <c r="AD135" s="159"/>
      <c r="AE135" s="155">
        <v>250000000</v>
      </c>
      <c r="AF135" s="155">
        <v>250000000</v>
      </c>
      <c r="AG135" s="155"/>
      <c r="AH135" s="121">
        <f>AF135-AG135</f>
        <v>250000000</v>
      </c>
      <c r="AI135" s="159" t="s">
        <v>1284</v>
      </c>
      <c r="AJ135" s="206"/>
      <c r="AK135" s="206"/>
      <c r="AL135" s="161"/>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c r="BR135" s="159"/>
      <c r="BS135" s="159"/>
      <c r="BT135" s="159"/>
      <c r="BU135" s="159"/>
      <c r="BV135" s="159"/>
      <c r="BW135" s="155">
        <v>0</v>
      </c>
      <c r="BX135" s="155">
        <v>0</v>
      </c>
      <c r="BY135" s="155">
        <v>0</v>
      </c>
      <c r="BZ135" s="155">
        <v>0</v>
      </c>
      <c r="CA135" s="155">
        <v>0</v>
      </c>
      <c r="CB135" s="154">
        <v>0</v>
      </c>
      <c r="CC135" s="154">
        <v>0</v>
      </c>
      <c r="CD135" s="154">
        <v>0</v>
      </c>
      <c r="CE135" s="154">
        <v>0</v>
      </c>
      <c r="CF135" s="239">
        <f>SUM(BT135:CE135)</f>
        <v>0</v>
      </c>
      <c r="CG135" s="156">
        <f>$CF135-$AF135</f>
        <v>-250000000</v>
      </c>
      <c r="CH135" s="160" t="s">
        <v>289</v>
      </c>
      <c r="CI135" s="160" t="s">
        <v>290</v>
      </c>
      <c r="CJ135" s="158" t="s">
        <v>277</v>
      </c>
      <c r="CK135" s="160" t="s">
        <v>290</v>
      </c>
      <c r="CL135" s="160" t="s">
        <v>277</v>
      </c>
      <c r="CM135" s="160" t="s">
        <v>277</v>
      </c>
      <c r="CN135" s="158" t="s">
        <v>290</v>
      </c>
      <c r="CO135" s="158" t="s">
        <v>277</v>
      </c>
      <c r="CP135" s="158" t="s">
        <v>277</v>
      </c>
      <c r="CQ135" s="158" t="s">
        <v>277</v>
      </c>
      <c r="CR135" s="158" t="s">
        <v>293</v>
      </c>
      <c r="CS135" s="158" t="s">
        <v>322</v>
      </c>
      <c r="CT135" s="158" t="s">
        <v>295</v>
      </c>
      <c r="CU135" s="160" t="s">
        <v>296</v>
      </c>
      <c r="CV135" s="160" t="s">
        <v>156</v>
      </c>
      <c r="CW135" s="158" t="s">
        <v>277</v>
      </c>
      <c r="CX135" s="158" t="s">
        <v>277</v>
      </c>
      <c r="CY135" s="158" t="s">
        <v>277</v>
      </c>
      <c r="CZ135" s="158" t="s">
        <v>277</v>
      </c>
      <c r="DA135" s="158" t="s">
        <v>277</v>
      </c>
      <c r="DB135" s="158" t="s">
        <v>277</v>
      </c>
      <c r="DC135" s="158" t="s">
        <v>277</v>
      </c>
      <c r="DD135" s="159"/>
      <c r="DE135" s="159"/>
      <c r="DF135" s="159"/>
      <c r="DG135" s="159"/>
      <c r="DH135" s="159"/>
      <c r="DI135" s="159"/>
      <c r="DJ135" s="159"/>
      <c r="DK135" s="159"/>
      <c r="DL135" s="159"/>
      <c r="DM135" s="159"/>
      <c r="DN135" s="159"/>
      <c r="DO135" s="155">
        <v>250000000</v>
      </c>
      <c r="DP135" s="159"/>
      <c r="DQ135" s="159"/>
      <c r="DR135" s="159"/>
      <c r="DS135" s="159"/>
      <c r="DT135" s="159"/>
      <c r="DU135" s="159"/>
      <c r="DV135" s="159"/>
      <c r="DW135" s="159"/>
      <c r="DX135" s="159"/>
      <c r="DY135" s="159"/>
      <c r="DZ135" s="159"/>
      <c r="EA135" s="159"/>
      <c r="EB135" s="159"/>
      <c r="EC135" s="159"/>
      <c r="ED135" s="159"/>
    </row>
    <row r="136" spans="1:134">
      <c r="A136" s="74"/>
      <c r="B136" s="50"/>
      <c r="C136" s="50" t="s">
        <v>269</v>
      </c>
      <c r="D136" s="50" t="s">
        <v>270</v>
      </c>
      <c r="E136" s="50" t="s">
        <v>1285</v>
      </c>
      <c r="F136" s="50" t="s">
        <v>272</v>
      </c>
      <c r="G136" s="50" t="s">
        <v>273</v>
      </c>
      <c r="H136" s="37" t="s">
        <v>151</v>
      </c>
      <c r="I136" s="37" t="s">
        <v>424</v>
      </c>
      <c r="J136" s="37" t="s">
        <v>788</v>
      </c>
      <c r="K136" s="50" t="s">
        <v>3</v>
      </c>
      <c r="L136" s="50" t="s">
        <v>25</v>
      </c>
      <c r="M136" s="50" t="s">
        <v>55</v>
      </c>
      <c r="N136" s="50" t="s">
        <v>276</v>
      </c>
      <c r="O136" s="37" t="s">
        <v>3</v>
      </c>
      <c r="P136" s="37" t="s">
        <v>25</v>
      </c>
      <c r="Q136" s="37" t="s">
        <v>55</v>
      </c>
      <c r="R136" s="37" t="s">
        <v>512</v>
      </c>
      <c r="S136" s="50" t="s">
        <v>277</v>
      </c>
      <c r="T136" s="50"/>
      <c r="U136" s="59" t="s">
        <v>1286</v>
      </c>
      <c r="V136" s="56" t="s">
        <v>277</v>
      </c>
      <c r="W136" s="56" t="s">
        <v>1287</v>
      </c>
      <c r="X136" s="38" t="s">
        <v>1287</v>
      </c>
      <c r="Y136" s="60">
        <v>247000000</v>
      </c>
      <c r="Z136" s="60">
        <v>0</v>
      </c>
      <c r="AA136" s="60">
        <v>0</v>
      </c>
      <c r="AB136" s="60">
        <f>Z136+AA136</f>
        <v>0</v>
      </c>
      <c r="AC136" s="61"/>
      <c r="AD136" s="61"/>
      <c r="AE136" s="109">
        <v>247000000</v>
      </c>
      <c r="AF136" s="109">
        <v>247000000</v>
      </c>
      <c r="AG136" s="108">
        <f>$AR136+$AZ136+$BQ136+$BT136+$BU136+$BV136</f>
        <v>0</v>
      </c>
      <c r="AH136" s="121">
        <f>AF136-AG136</f>
        <v>247000000</v>
      </c>
      <c r="AI136" s="144" t="s">
        <v>156</v>
      </c>
      <c r="AJ136" s="96"/>
      <c r="AK136" s="96"/>
      <c r="AL136" s="144"/>
      <c r="AM136" s="68"/>
      <c r="AN136" s="68"/>
      <c r="AO136" s="68"/>
      <c r="AP136" s="68"/>
      <c r="AQ136" s="68"/>
      <c r="AR136" s="68"/>
      <c r="AS136" s="68"/>
      <c r="AT136" s="68"/>
      <c r="AU136" s="69"/>
      <c r="AV136" s="69"/>
      <c r="AW136" s="69"/>
      <c r="AX136" s="69"/>
      <c r="AY136" s="68"/>
      <c r="AZ136" s="68"/>
      <c r="BA136" s="68"/>
      <c r="BB136" s="68"/>
      <c r="BC136" s="69"/>
      <c r="BD136" s="69"/>
      <c r="BE136" s="56" t="s">
        <v>277</v>
      </c>
      <c r="BF136" s="56" t="s">
        <v>277</v>
      </c>
      <c r="BG136" s="56" t="s">
        <v>277</v>
      </c>
      <c r="BH136" s="56" t="s">
        <v>277</v>
      </c>
      <c r="BI136" s="69">
        <v>0</v>
      </c>
      <c r="BJ136" s="69">
        <v>0</v>
      </c>
      <c r="BK136" s="69">
        <v>0</v>
      </c>
      <c r="BL136" s="69">
        <v>0</v>
      </c>
      <c r="BM136" s="69">
        <v>0</v>
      </c>
      <c r="BN136" s="69">
        <v>0</v>
      </c>
      <c r="BO136" s="69">
        <v>0</v>
      </c>
      <c r="BP136" s="69">
        <v>0</v>
      </c>
      <c r="BQ136" s="69"/>
      <c r="BR136" s="69" t="s">
        <v>156</v>
      </c>
      <c r="BS136" s="69"/>
      <c r="BT136" s="68"/>
      <c r="BU136" s="68"/>
      <c r="BV136" s="68"/>
      <c r="BW136" s="94">
        <v>0</v>
      </c>
      <c r="BX136" s="94">
        <v>0</v>
      </c>
      <c r="BY136" s="94">
        <v>0</v>
      </c>
      <c r="BZ136" s="94">
        <v>0</v>
      </c>
      <c r="CA136" s="168">
        <v>247000000</v>
      </c>
      <c r="CB136" s="94">
        <v>0</v>
      </c>
      <c r="CC136" s="94">
        <v>0</v>
      </c>
      <c r="CD136" s="94">
        <v>0</v>
      </c>
      <c r="CE136" s="109">
        <v>0</v>
      </c>
      <c r="CF136" s="108">
        <f>SUM(BT136:CE136)</f>
        <v>247000000</v>
      </c>
      <c r="CG136" s="108">
        <f>$CF136-$AF136</f>
        <v>0</v>
      </c>
      <c r="CH136" s="45" t="s">
        <v>289</v>
      </c>
      <c r="CI136" s="37" t="s">
        <v>290</v>
      </c>
      <c r="CJ136" s="37" t="s">
        <v>277</v>
      </c>
      <c r="CK136" s="45" t="s">
        <v>290</v>
      </c>
      <c r="CL136" s="37" t="s">
        <v>277</v>
      </c>
      <c r="CM136" s="37" t="s">
        <v>290</v>
      </c>
      <c r="CN136" s="37" t="s">
        <v>290</v>
      </c>
      <c r="CO136" s="37" t="s">
        <v>277</v>
      </c>
      <c r="CP136" s="87" t="s">
        <v>277</v>
      </c>
      <c r="CQ136" s="87" t="s">
        <v>277</v>
      </c>
      <c r="CR136" s="87" t="s">
        <v>293</v>
      </c>
      <c r="CS136" s="37" t="s">
        <v>454</v>
      </c>
      <c r="CT136" s="37" t="s">
        <v>295</v>
      </c>
      <c r="CU136" s="37" t="s">
        <v>296</v>
      </c>
      <c r="CV136" s="37" t="s">
        <v>156</v>
      </c>
      <c r="CW136" s="37" t="s">
        <v>277</v>
      </c>
      <c r="CX136" s="37" t="s">
        <v>277</v>
      </c>
      <c r="CY136" s="37" t="s">
        <v>277</v>
      </c>
      <c r="CZ136" s="87" t="s">
        <v>277</v>
      </c>
      <c r="DA136" s="87" t="s">
        <v>277</v>
      </c>
      <c r="DB136" s="37" t="s">
        <v>277</v>
      </c>
      <c r="DC136" s="37" t="s">
        <v>277</v>
      </c>
      <c r="DD136" s="68"/>
      <c r="DE136" s="68"/>
      <c r="DF136" s="68"/>
      <c r="DG136" s="68"/>
      <c r="DH136" s="68"/>
      <c r="DI136" s="68"/>
      <c r="DJ136" s="68"/>
      <c r="DK136" s="68"/>
      <c r="DL136" s="68"/>
      <c r="DM136" s="68"/>
      <c r="DN136" s="68"/>
      <c r="DO136" s="68"/>
      <c r="DP136" s="68">
        <f>SUM(DD136:DO136)</f>
        <v>0</v>
      </c>
      <c r="DQ136" s="68">
        <f>DP136-AB136</f>
        <v>0</v>
      </c>
      <c r="DR136" s="68">
        <f>$DD136</f>
        <v>0</v>
      </c>
      <c r="DS136" s="68">
        <f>DR136+DE136</f>
        <v>0</v>
      </c>
      <c r="DT136" s="68">
        <f>DS136+DF136</f>
        <v>0</v>
      </c>
      <c r="DU136" s="68">
        <f>DT136+DG136</f>
        <v>0</v>
      </c>
      <c r="DV136" s="68">
        <f>DU136+DH136</f>
        <v>0</v>
      </c>
      <c r="DW136" s="68">
        <f>DV136+DI136</f>
        <v>0</v>
      </c>
      <c r="DX136" s="68">
        <f>DW136+DJ136</f>
        <v>0</v>
      </c>
      <c r="DY136" s="68">
        <f>DX136+DK136</f>
        <v>0</v>
      </c>
      <c r="DZ136" s="68">
        <f>DY136+DL136</f>
        <v>0</v>
      </c>
      <c r="EA136" s="68">
        <f>DZ136+DM136</f>
        <v>0</v>
      </c>
      <c r="EB136" s="68">
        <f>EA136+DN136</f>
        <v>0</v>
      </c>
      <c r="EC136" s="68">
        <f>EB136+DO136</f>
        <v>0</v>
      </c>
      <c r="ED136" s="68">
        <f>$EC136-$AB136</f>
        <v>0</v>
      </c>
    </row>
    <row r="137" spans="1:134" ht="30">
      <c r="A137" s="74"/>
      <c r="B137" s="50">
        <v>81</v>
      </c>
      <c r="C137" s="50" t="s">
        <v>269</v>
      </c>
      <c r="D137" s="50" t="s">
        <v>297</v>
      </c>
      <c r="E137" s="50"/>
      <c r="F137" s="50" t="s">
        <v>272</v>
      </c>
      <c r="G137" s="50" t="s">
        <v>273</v>
      </c>
      <c r="H137" s="37" t="s">
        <v>151</v>
      </c>
      <c r="I137" s="37" t="s">
        <v>274</v>
      </c>
      <c r="J137" s="37" t="s">
        <v>1288</v>
      </c>
      <c r="K137" s="50" t="s">
        <v>3</v>
      </c>
      <c r="L137" s="50" t="s">
        <v>14</v>
      </c>
      <c r="M137" s="50" t="s">
        <v>16</v>
      </c>
      <c r="N137" s="50" t="s">
        <v>276</v>
      </c>
      <c r="O137" s="37" t="s">
        <v>3</v>
      </c>
      <c r="P137" s="37" t="s">
        <v>14</v>
      </c>
      <c r="Q137" s="37" t="s">
        <v>16</v>
      </c>
      <c r="R137" s="37" t="s">
        <v>276</v>
      </c>
      <c r="S137" s="50" t="s">
        <v>1289</v>
      </c>
      <c r="T137" s="50" t="s">
        <v>1290</v>
      </c>
      <c r="U137" s="50" t="s">
        <v>1291</v>
      </c>
      <c r="V137" s="56" t="s">
        <v>1292</v>
      </c>
      <c r="W137" s="56" t="s">
        <v>1293</v>
      </c>
      <c r="X137" s="38" t="s">
        <v>1293</v>
      </c>
      <c r="Y137" s="60">
        <v>540000000</v>
      </c>
      <c r="Z137" s="60">
        <v>540000000</v>
      </c>
      <c r="AA137" s="60"/>
      <c r="AB137" s="60">
        <f>Z137+AA137</f>
        <v>540000000</v>
      </c>
      <c r="AC137" s="61"/>
      <c r="AD137" s="61"/>
      <c r="AE137" s="109">
        <v>540000000</v>
      </c>
      <c r="AF137" s="109">
        <v>236500000</v>
      </c>
      <c r="AG137" s="108">
        <f>$AR137+$AZ137+$BQ137+$BT137+$BU137+$BV137</f>
        <v>690149925</v>
      </c>
      <c r="AH137" s="121">
        <f>AF137-AG137</f>
        <v>-453649925</v>
      </c>
      <c r="AI137" s="39" t="s">
        <v>1294</v>
      </c>
      <c r="AJ137" s="198"/>
      <c r="AK137" s="198"/>
      <c r="AL137" s="42"/>
      <c r="AM137" s="68"/>
      <c r="AN137" s="68"/>
      <c r="AO137" s="68"/>
      <c r="AP137" s="68"/>
      <c r="AQ137" s="68">
        <v>0</v>
      </c>
      <c r="AR137" s="68">
        <v>0</v>
      </c>
      <c r="AS137" s="68" t="s">
        <v>307</v>
      </c>
      <c r="AT137" s="68"/>
      <c r="AU137" s="69" t="s">
        <v>277</v>
      </c>
      <c r="AV137" s="69" t="s">
        <v>277</v>
      </c>
      <c r="AW137" s="69" t="s">
        <v>277</v>
      </c>
      <c r="AX137" s="69"/>
      <c r="AY137" s="68">
        <v>0</v>
      </c>
      <c r="AZ137" s="68">
        <v>0</v>
      </c>
      <c r="BA137" s="68" t="s">
        <v>307</v>
      </c>
      <c r="BB137" s="68"/>
      <c r="BC137" s="69" t="s">
        <v>277</v>
      </c>
      <c r="BD137" s="69" t="s">
        <v>277</v>
      </c>
      <c r="BE137" s="56" t="s">
        <v>277</v>
      </c>
      <c r="BF137" s="56" t="s">
        <v>277</v>
      </c>
      <c r="BG137" s="56" t="s">
        <v>277</v>
      </c>
      <c r="BH137" s="56" t="s">
        <v>277</v>
      </c>
      <c r="BI137" s="69">
        <v>0</v>
      </c>
      <c r="BJ137" s="69">
        <v>0</v>
      </c>
      <c r="BK137" s="69">
        <v>0</v>
      </c>
      <c r="BL137" s="69">
        <v>0</v>
      </c>
      <c r="BM137" s="69">
        <v>0</v>
      </c>
      <c r="BN137" s="69">
        <v>0</v>
      </c>
      <c r="BO137" s="69">
        <v>0</v>
      </c>
      <c r="BP137" s="69">
        <v>0</v>
      </c>
      <c r="BQ137" s="69"/>
      <c r="BR137" s="69" t="s">
        <v>382</v>
      </c>
      <c r="BS137" s="69" t="s">
        <v>798</v>
      </c>
      <c r="BT137" s="68">
        <v>0</v>
      </c>
      <c r="BU137" s="68">
        <v>0</v>
      </c>
      <c r="BV137" s="68">
        <v>690149925</v>
      </c>
      <c r="BW137" s="94">
        <v>0</v>
      </c>
      <c r="BX137" s="94">
        <v>236500000</v>
      </c>
      <c r="BY137" s="94">
        <v>0</v>
      </c>
      <c r="BZ137" s="94">
        <v>0</v>
      </c>
      <c r="CA137" s="94">
        <v>0</v>
      </c>
      <c r="CB137" s="94">
        <v>0</v>
      </c>
      <c r="CC137" s="94">
        <v>0</v>
      </c>
      <c r="CD137" s="94">
        <v>0</v>
      </c>
      <c r="CE137" s="94">
        <v>0</v>
      </c>
      <c r="CF137" s="108">
        <f>SUM(BT137:CE137)</f>
        <v>926649925</v>
      </c>
      <c r="CG137" s="108">
        <f>$CF137-$AF137</f>
        <v>690149925</v>
      </c>
      <c r="CH137" s="37" t="s">
        <v>289</v>
      </c>
      <c r="CI137" s="37" t="s">
        <v>290</v>
      </c>
      <c r="CJ137" s="37" t="s">
        <v>277</v>
      </c>
      <c r="CK137" s="37" t="s">
        <v>290</v>
      </c>
      <c r="CL137" s="37" t="s">
        <v>277</v>
      </c>
      <c r="CM137" s="37" t="s">
        <v>277</v>
      </c>
      <c r="CN137" s="37" t="s">
        <v>290</v>
      </c>
      <c r="CO137" s="37" t="s">
        <v>1288</v>
      </c>
      <c r="CP137" s="41">
        <v>46023</v>
      </c>
      <c r="CQ137" s="41">
        <v>46387</v>
      </c>
      <c r="CR137" s="37" t="s">
        <v>293</v>
      </c>
      <c r="CS137" s="37" t="s">
        <v>322</v>
      </c>
      <c r="CT137" s="37" t="s">
        <v>295</v>
      </c>
      <c r="CU137" s="37" t="s">
        <v>341</v>
      </c>
      <c r="CV137" s="37" t="s">
        <v>382</v>
      </c>
      <c r="CW137" s="37">
        <v>4200005285</v>
      </c>
      <c r="CX137" s="37" t="s">
        <v>1295</v>
      </c>
      <c r="CY137" s="37">
        <v>236500000</v>
      </c>
      <c r="CZ137" s="123">
        <v>45931</v>
      </c>
      <c r="DA137" s="123">
        <v>45931</v>
      </c>
      <c r="DB137" s="37" t="s">
        <v>277</v>
      </c>
      <c r="DC137" s="37" t="s">
        <v>277</v>
      </c>
      <c r="DD137" s="68">
        <v>0</v>
      </c>
      <c r="DE137" s="68">
        <v>540000000</v>
      </c>
      <c r="DF137" s="68">
        <v>0</v>
      </c>
      <c r="DG137" s="68">
        <v>0</v>
      </c>
      <c r="DH137" s="68">
        <v>0</v>
      </c>
      <c r="DI137" s="68">
        <v>0</v>
      </c>
      <c r="DJ137" s="68">
        <v>0</v>
      </c>
      <c r="DK137" s="68">
        <v>0</v>
      </c>
      <c r="DL137" s="68">
        <v>0</v>
      </c>
      <c r="DM137" s="68">
        <v>0</v>
      </c>
      <c r="DN137" s="68">
        <v>0</v>
      </c>
      <c r="DO137" s="68">
        <v>0</v>
      </c>
      <c r="DP137" s="68">
        <f>SUM(DD137:DO137)</f>
        <v>540000000</v>
      </c>
      <c r="DQ137" s="68">
        <f>DP137-AB137</f>
        <v>0</v>
      </c>
      <c r="DR137" s="68">
        <f>$DD137</f>
        <v>0</v>
      </c>
      <c r="DS137" s="68">
        <f>DR137+DE137</f>
        <v>540000000</v>
      </c>
      <c r="DT137" s="68">
        <f>DS137+DF137</f>
        <v>540000000</v>
      </c>
      <c r="DU137" s="68">
        <f>DT137+DG137</f>
        <v>540000000</v>
      </c>
      <c r="DV137" s="68">
        <f>DU137+DH137</f>
        <v>540000000</v>
      </c>
      <c r="DW137" s="68">
        <f>DV137+DI137</f>
        <v>540000000</v>
      </c>
      <c r="DX137" s="68">
        <f>DW137+DJ137</f>
        <v>540000000</v>
      </c>
      <c r="DY137" s="68">
        <f>DX137+DK137</f>
        <v>540000000</v>
      </c>
      <c r="DZ137" s="68">
        <f>DY137+DL137</f>
        <v>540000000</v>
      </c>
      <c r="EA137" s="68">
        <f>DZ137+DM137</f>
        <v>540000000</v>
      </c>
      <c r="EB137" s="68">
        <f>EA137+DN137</f>
        <v>540000000</v>
      </c>
      <c r="EC137" s="68">
        <f>EB137+DO137</f>
        <v>540000000</v>
      </c>
      <c r="ED137" s="68">
        <f>$EC137-$AB137</f>
        <v>0</v>
      </c>
    </row>
    <row r="138" spans="1:134" ht="60">
      <c r="A138" s="74"/>
      <c r="B138" s="50">
        <v>119</v>
      </c>
      <c r="C138" s="50" t="s">
        <v>269</v>
      </c>
      <c r="D138" s="50" t="s">
        <v>297</v>
      </c>
      <c r="E138" s="50"/>
      <c r="F138" s="50" t="s">
        <v>272</v>
      </c>
      <c r="G138" s="50" t="s">
        <v>273</v>
      </c>
      <c r="H138" s="37" t="s">
        <v>151</v>
      </c>
      <c r="I138" s="37" t="s">
        <v>274</v>
      </c>
      <c r="J138" s="37" t="s">
        <v>1288</v>
      </c>
      <c r="K138" s="50" t="s">
        <v>3</v>
      </c>
      <c r="L138" s="50" t="s">
        <v>14</v>
      </c>
      <c r="M138" s="50" t="s">
        <v>16</v>
      </c>
      <c r="N138" s="50" t="s">
        <v>276</v>
      </c>
      <c r="O138" s="37" t="s">
        <v>3</v>
      </c>
      <c r="P138" s="37" t="s">
        <v>14</v>
      </c>
      <c r="Q138" s="37" t="s">
        <v>16</v>
      </c>
      <c r="R138" s="37" t="s">
        <v>276</v>
      </c>
      <c r="S138" s="50" t="s">
        <v>1296</v>
      </c>
      <c r="T138" s="50" t="s">
        <v>1297</v>
      </c>
      <c r="U138" s="50" t="s">
        <v>1298</v>
      </c>
      <c r="V138" s="56" t="s">
        <v>1299</v>
      </c>
      <c r="W138" s="56" t="s">
        <v>1299</v>
      </c>
      <c r="X138" s="38" t="s">
        <v>1299</v>
      </c>
      <c r="Y138" s="60">
        <v>494104051</v>
      </c>
      <c r="Z138" s="60">
        <v>98821000</v>
      </c>
      <c r="AA138" s="60"/>
      <c r="AB138" s="60">
        <f>Z138+AA138</f>
        <v>98821000</v>
      </c>
      <c r="AC138" s="61"/>
      <c r="AD138" s="61"/>
      <c r="AE138" s="109">
        <v>494104051</v>
      </c>
      <c r="AF138" s="109">
        <v>236000000</v>
      </c>
      <c r="AG138" s="108">
        <f>$AR138+$AZ138+$BQ138+$BT138+$BU138+$BV138</f>
        <v>0</v>
      </c>
      <c r="AH138" s="121">
        <f>AF138-AG138</f>
        <v>236000000</v>
      </c>
      <c r="AI138" s="39" t="s">
        <v>1300</v>
      </c>
      <c r="AJ138" s="198"/>
      <c r="AK138" s="198"/>
      <c r="AL138" s="42"/>
      <c r="AM138" s="68"/>
      <c r="AN138" s="68"/>
      <c r="AO138" s="68"/>
      <c r="AP138" s="68"/>
      <c r="AQ138" s="68">
        <v>0</v>
      </c>
      <c r="AR138" s="68">
        <v>0</v>
      </c>
      <c r="AS138" s="68" t="s">
        <v>307</v>
      </c>
      <c r="AT138" s="68"/>
      <c r="AU138" s="69" t="s">
        <v>277</v>
      </c>
      <c r="AV138" s="69" t="s">
        <v>277</v>
      </c>
      <c r="AW138" s="69" t="s">
        <v>277</v>
      </c>
      <c r="AX138" s="69"/>
      <c r="AY138" s="68">
        <v>0</v>
      </c>
      <c r="AZ138" s="68">
        <v>0</v>
      </c>
      <c r="BA138" s="68" t="s">
        <v>307</v>
      </c>
      <c r="BB138" s="68"/>
      <c r="BC138" s="69" t="s">
        <v>277</v>
      </c>
      <c r="BD138" s="69" t="s">
        <v>277</v>
      </c>
      <c r="BE138" s="56" t="s">
        <v>277</v>
      </c>
      <c r="BF138" s="56" t="s">
        <v>277</v>
      </c>
      <c r="BG138" s="56" t="s">
        <v>277</v>
      </c>
      <c r="BH138" s="56" t="s">
        <v>277</v>
      </c>
      <c r="BI138" s="69">
        <v>0</v>
      </c>
      <c r="BJ138" s="69">
        <v>0</v>
      </c>
      <c r="BK138" s="69">
        <v>0</v>
      </c>
      <c r="BL138" s="69">
        <v>0</v>
      </c>
      <c r="BM138" s="69">
        <v>0</v>
      </c>
      <c r="BN138" s="69">
        <v>0</v>
      </c>
      <c r="BO138" s="69">
        <v>0</v>
      </c>
      <c r="BP138" s="69">
        <v>0</v>
      </c>
      <c r="BQ138" s="69"/>
      <c r="BR138" s="69" t="s">
        <v>382</v>
      </c>
      <c r="BS138" s="69" t="s">
        <v>798</v>
      </c>
      <c r="BT138" s="68">
        <v>0</v>
      </c>
      <c r="BU138" s="68">
        <v>0</v>
      </c>
      <c r="BV138" s="68"/>
      <c r="BW138" s="94">
        <v>0</v>
      </c>
      <c r="BX138" s="94">
        <v>0</v>
      </c>
      <c r="BY138" s="94">
        <v>236000000</v>
      </c>
      <c r="BZ138" s="94">
        <v>0</v>
      </c>
      <c r="CA138" s="94">
        <v>0</v>
      </c>
      <c r="CB138" s="132">
        <v>0</v>
      </c>
      <c r="CC138" s="132">
        <v>0</v>
      </c>
      <c r="CD138" s="132">
        <v>0</v>
      </c>
      <c r="CE138" s="132">
        <v>0</v>
      </c>
      <c r="CF138" s="171">
        <f>SUM(BT138:CE138)</f>
        <v>236000000</v>
      </c>
      <c r="CG138" s="108">
        <f>$CF138-$AF138</f>
        <v>0</v>
      </c>
      <c r="CH138" s="37" t="s">
        <v>289</v>
      </c>
      <c r="CI138" s="37" t="s">
        <v>290</v>
      </c>
      <c r="CJ138" s="37" t="s">
        <v>277</v>
      </c>
      <c r="CK138" s="37" t="s">
        <v>290</v>
      </c>
      <c r="CL138" s="37" t="s">
        <v>277</v>
      </c>
      <c r="CM138" s="37" t="s">
        <v>277</v>
      </c>
      <c r="CN138" s="37" t="s">
        <v>290</v>
      </c>
      <c r="CO138" s="37" t="s">
        <v>1288</v>
      </c>
      <c r="CP138" s="41">
        <v>46023</v>
      </c>
      <c r="CQ138" s="41">
        <v>46387</v>
      </c>
      <c r="CR138" s="37" t="s">
        <v>293</v>
      </c>
      <c r="CS138" s="37" t="s">
        <v>322</v>
      </c>
      <c r="CT138" s="37" t="s">
        <v>295</v>
      </c>
      <c r="CU138" s="37" t="s">
        <v>341</v>
      </c>
      <c r="CV138" s="37" t="s">
        <v>382</v>
      </c>
      <c r="CW138" s="37">
        <v>4200005484</v>
      </c>
      <c r="CX138" s="37" t="s">
        <v>1301</v>
      </c>
      <c r="CY138" s="37">
        <v>236000000</v>
      </c>
      <c r="CZ138" s="123">
        <v>45992</v>
      </c>
      <c r="DA138" s="123">
        <v>45992</v>
      </c>
      <c r="DB138" s="37" t="s">
        <v>277</v>
      </c>
      <c r="DC138" s="37" t="s">
        <v>1017</v>
      </c>
      <c r="DD138" s="68">
        <v>0</v>
      </c>
      <c r="DE138" s="68">
        <v>98821000</v>
      </c>
      <c r="DF138" s="68">
        <v>0</v>
      </c>
      <c r="DG138" s="68">
        <v>0</v>
      </c>
      <c r="DH138" s="68">
        <v>0</v>
      </c>
      <c r="DI138" s="68">
        <v>0</v>
      </c>
      <c r="DJ138" s="68">
        <v>0</v>
      </c>
      <c r="DK138" s="68">
        <v>0</v>
      </c>
      <c r="DL138" s="68">
        <v>0</v>
      </c>
      <c r="DM138" s="68">
        <v>0</v>
      </c>
      <c r="DN138" s="68">
        <v>0</v>
      </c>
      <c r="DO138" s="68">
        <v>0</v>
      </c>
      <c r="DP138" s="68">
        <f>SUM(DD138:DO138)</f>
        <v>98821000</v>
      </c>
      <c r="DQ138" s="68">
        <f>DP138-AB138</f>
        <v>0</v>
      </c>
      <c r="DR138" s="68">
        <f>$DD138</f>
        <v>0</v>
      </c>
      <c r="DS138" s="68">
        <f>DR138+DE138</f>
        <v>98821000</v>
      </c>
      <c r="DT138" s="68">
        <f>DS138+DF138</f>
        <v>98821000</v>
      </c>
      <c r="DU138" s="68">
        <f>DT138+DG138</f>
        <v>98821000</v>
      </c>
      <c r="DV138" s="68">
        <f>DU138+DH138</f>
        <v>98821000</v>
      </c>
      <c r="DW138" s="68">
        <f>DV138+DI138</f>
        <v>98821000</v>
      </c>
      <c r="DX138" s="68">
        <f>DW138+DJ138</f>
        <v>98821000</v>
      </c>
      <c r="DY138" s="68">
        <f>DX138+DK138</f>
        <v>98821000</v>
      </c>
      <c r="DZ138" s="68">
        <f>DY138+DL138</f>
        <v>98821000</v>
      </c>
      <c r="EA138" s="68">
        <f>DZ138+DM138</f>
        <v>98821000</v>
      </c>
      <c r="EB138" s="68">
        <f>EA138+DN138</f>
        <v>98821000</v>
      </c>
      <c r="EC138" s="68">
        <f>EB138+DO138</f>
        <v>98821000</v>
      </c>
      <c r="ED138" s="68">
        <f>$EC138-$AB138</f>
        <v>0</v>
      </c>
    </row>
    <row r="139" spans="1:134" ht="30">
      <c r="A139" s="74"/>
      <c r="B139" s="50">
        <v>129</v>
      </c>
      <c r="C139" s="50" t="s">
        <v>269</v>
      </c>
      <c r="D139" s="50" t="s">
        <v>297</v>
      </c>
      <c r="E139" s="50"/>
      <c r="F139" s="50" t="s">
        <v>272</v>
      </c>
      <c r="G139" s="50" t="s">
        <v>273</v>
      </c>
      <c r="H139" s="37" t="s">
        <v>151</v>
      </c>
      <c r="I139" s="37" t="s">
        <v>424</v>
      </c>
      <c r="J139" s="37" t="s">
        <v>425</v>
      </c>
      <c r="K139" s="50" t="s">
        <v>3</v>
      </c>
      <c r="L139" s="50" t="s">
        <v>14</v>
      </c>
      <c r="M139" s="50" t="s">
        <v>16</v>
      </c>
      <c r="N139" s="50" t="s">
        <v>276</v>
      </c>
      <c r="O139" s="37" t="s">
        <v>3</v>
      </c>
      <c r="P139" s="37" t="s">
        <v>14</v>
      </c>
      <c r="Q139" s="37" t="s">
        <v>16</v>
      </c>
      <c r="R139" s="37" t="s">
        <v>276</v>
      </c>
      <c r="S139" s="50" t="s">
        <v>1302</v>
      </c>
      <c r="T139" s="50" t="s">
        <v>1303</v>
      </c>
      <c r="U139" s="50" t="s">
        <v>1304</v>
      </c>
      <c r="V139" s="56" t="s">
        <v>1305</v>
      </c>
      <c r="W139" s="56" t="s">
        <v>1305</v>
      </c>
      <c r="X139" s="38" t="s">
        <v>1305</v>
      </c>
      <c r="Y139" s="60">
        <v>1380780000</v>
      </c>
      <c r="Z139" s="60">
        <v>234733000</v>
      </c>
      <c r="AA139" s="60"/>
      <c r="AB139" s="60">
        <f>Z139+AA139</f>
        <v>234733000</v>
      </c>
      <c r="AC139" s="61"/>
      <c r="AD139" s="61"/>
      <c r="AE139" s="109">
        <v>1380780000</v>
      </c>
      <c r="AF139" s="109">
        <v>234733000</v>
      </c>
      <c r="AG139" s="108">
        <f>$AR139+$AZ139+$BQ139+$BT139+$BU139+$BV139</f>
        <v>0</v>
      </c>
      <c r="AH139" s="121">
        <f>AF139-AG139</f>
        <v>234733000</v>
      </c>
      <c r="AI139" s="39" t="s">
        <v>1306</v>
      </c>
      <c r="AJ139" s="198"/>
      <c r="AK139" s="198"/>
      <c r="AL139" s="42"/>
      <c r="AM139" s="68"/>
      <c r="AN139" s="68"/>
      <c r="AO139" s="68"/>
      <c r="AP139" s="68"/>
      <c r="AQ139" s="68">
        <v>0</v>
      </c>
      <c r="AR139" s="68">
        <v>0</v>
      </c>
      <c r="AS139" s="68" t="s">
        <v>307</v>
      </c>
      <c r="AT139" s="68"/>
      <c r="AU139" s="69" t="s">
        <v>277</v>
      </c>
      <c r="AV139" s="69" t="s">
        <v>277</v>
      </c>
      <c r="AW139" s="69" t="s">
        <v>277</v>
      </c>
      <c r="AX139" s="69"/>
      <c r="AY139" s="68">
        <v>0</v>
      </c>
      <c r="AZ139" s="68">
        <v>0</v>
      </c>
      <c r="BA139" s="68" t="s">
        <v>307</v>
      </c>
      <c r="BB139" s="68"/>
      <c r="BC139" s="69" t="s">
        <v>1307</v>
      </c>
      <c r="BD139" s="69" t="s">
        <v>277</v>
      </c>
      <c r="BE139" s="56" t="s">
        <v>277</v>
      </c>
      <c r="BF139" s="56" t="s">
        <v>277</v>
      </c>
      <c r="BG139" s="56" t="s">
        <v>277</v>
      </c>
      <c r="BH139" s="56" t="s">
        <v>277</v>
      </c>
      <c r="BI139" s="69">
        <v>0</v>
      </c>
      <c r="BJ139" s="69">
        <v>0</v>
      </c>
      <c r="BK139" s="69">
        <v>0</v>
      </c>
      <c r="BL139" s="69">
        <v>0</v>
      </c>
      <c r="BM139" s="69">
        <v>0</v>
      </c>
      <c r="BN139" s="69">
        <v>0</v>
      </c>
      <c r="BO139" s="69">
        <v>0</v>
      </c>
      <c r="BP139" s="69">
        <v>0</v>
      </c>
      <c r="BQ139" s="69"/>
      <c r="BR139" s="69" t="s">
        <v>382</v>
      </c>
      <c r="BS139" s="69" t="s">
        <v>798</v>
      </c>
      <c r="BT139" s="68">
        <v>0</v>
      </c>
      <c r="BU139" s="68">
        <v>0</v>
      </c>
      <c r="BV139" s="68">
        <v>0</v>
      </c>
      <c r="BW139" s="94">
        <v>0</v>
      </c>
      <c r="BX139" s="94">
        <v>0</v>
      </c>
      <c r="BY139" s="94">
        <v>0</v>
      </c>
      <c r="BZ139" s="94">
        <v>0</v>
      </c>
      <c r="CA139" s="94">
        <v>0</v>
      </c>
      <c r="CB139" s="94">
        <v>0</v>
      </c>
      <c r="CC139" s="109">
        <v>234733000</v>
      </c>
      <c r="CD139" s="94">
        <v>0</v>
      </c>
      <c r="CE139" s="94">
        <v>0</v>
      </c>
      <c r="CF139" s="108">
        <f>SUM(BT139:CE139)</f>
        <v>234733000</v>
      </c>
      <c r="CG139" s="108">
        <f>$CF139-$AF139</f>
        <v>0</v>
      </c>
      <c r="CH139" s="37" t="s">
        <v>289</v>
      </c>
      <c r="CI139" s="37" t="s">
        <v>290</v>
      </c>
      <c r="CJ139" s="37" t="s">
        <v>277</v>
      </c>
      <c r="CK139" s="37" t="s">
        <v>290</v>
      </c>
      <c r="CL139" s="37" t="s">
        <v>277</v>
      </c>
      <c r="CM139" s="37" t="s">
        <v>277</v>
      </c>
      <c r="CN139" s="37" t="s">
        <v>290</v>
      </c>
      <c r="CO139" s="37" t="s">
        <v>433</v>
      </c>
      <c r="CP139" s="41">
        <v>46023</v>
      </c>
      <c r="CQ139" s="41">
        <v>46387</v>
      </c>
      <c r="CR139" s="37" t="s">
        <v>293</v>
      </c>
      <c r="CS139" s="37" t="s">
        <v>454</v>
      </c>
      <c r="CT139" s="37" t="s">
        <v>295</v>
      </c>
      <c r="CU139" s="37" t="s">
        <v>341</v>
      </c>
      <c r="CV139" s="37" t="s">
        <v>382</v>
      </c>
      <c r="CW139" s="37">
        <v>4200004812</v>
      </c>
      <c r="CX139" s="37" t="s">
        <v>1305</v>
      </c>
      <c r="CY139" s="37">
        <v>1380780000</v>
      </c>
      <c r="CZ139" s="123">
        <v>45689</v>
      </c>
      <c r="DA139" s="123">
        <v>46784</v>
      </c>
      <c r="DB139" s="37" t="s">
        <v>277</v>
      </c>
      <c r="DC139" s="37" t="s">
        <v>1308</v>
      </c>
      <c r="DD139" s="68">
        <v>0</v>
      </c>
      <c r="DE139" s="68">
        <v>234733000</v>
      </c>
      <c r="DF139" s="68">
        <v>0</v>
      </c>
      <c r="DG139" s="68">
        <v>0</v>
      </c>
      <c r="DH139" s="68">
        <v>0</v>
      </c>
      <c r="DI139" s="68">
        <v>0</v>
      </c>
      <c r="DJ139" s="68">
        <v>0</v>
      </c>
      <c r="DK139" s="68">
        <v>0</v>
      </c>
      <c r="DL139" s="68">
        <v>0</v>
      </c>
      <c r="DM139" s="68">
        <v>0</v>
      </c>
      <c r="DN139" s="68">
        <v>0</v>
      </c>
      <c r="DO139" s="68">
        <v>0</v>
      </c>
      <c r="DP139" s="68">
        <f>SUM(DD139:DO139)</f>
        <v>234733000</v>
      </c>
      <c r="DQ139" s="68">
        <f>DP139-AB139</f>
        <v>0</v>
      </c>
      <c r="DR139" s="68">
        <f>$DD139</f>
        <v>0</v>
      </c>
      <c r="DS139" s="68">
        <f>DR139+DE139</f>
        <v>234733000</v>
      </c>
      <c r="DT139" s="68">
        <f>DS139+DF139</f>
        <v>234733000</v>
      </c>
      <c r="DU139" s="68">
        <f>DT139+DG139</f>
        <v>234733000</v>
      </c>
      <c r="DV139" s="68">
        <f>DU139+DH139</f>
        <v>234733000</v>
      </c>
      <c r="DW139" s="68">
        <f>DV139+DI139</f>
        <v>234733000</v>
      </c>
      <c r="DX139" s="68">
        <f>DW139+DJ139</f>
        <v>234733000</v>
      </c>
      <c r="DY139" s="68">
        <f>DX139+DK139</f>
        <v>234733000</v>
      </c>
      <c r="DZ139" s="68">
        <f>DY139+DL139</f>
        <v>234733000</v>
      </c>
      <c r="EA139" s="68">
        <f>DZ139+DM139</f>
        <v>234733000</v>
      </c>
      <c r="EB139" s="68">
        <f>EA139+DN139</f>
        <v>234733000</v>
      </c>
      <c r="EC139" s="68">
        <f>EB139+DO139</f>
        <v>234733000</v>
      </c>
      <c r="ED139" s="68">
        <f>$EC139-$AB139</f>
        <v>0</v>
      </c>
    </row>
    <row r="140" spans="1:134" ht="45">
      <c r="A140" s="74"/>
      <c r="B140" s="50">
        <v>87</v>
      </c>
      <c r="C140" s="50" t="s">
        <v>269</v>
      </c>
      <c r="D140" s="50" t="s">
        <v>297</v>
      </c>
      <c r="E140" s="50"/>
      <c r="F140" s="50" t="s">
        <v>272</v>
      </c>
      <c r="G140" s="50" t="s">
        <v>273</v>
      </c>
      <c r="H140" s="37" t="s">
        <v>151</v>
      </c>
      <c r="I140" s="37" t="s">
        <v>424</v>
      </c>
      <c r="J140" s="37" t="s">
        <v>694</v>
      </c>
      <c r="K140" s="50" t="s">
        <v>3</v>
      </c>
      <c r="L140" s="50" t="s">
        <v>14</v>
      </c>
      <c r="M140" s="50" t="s">
        <v>16</v>
      </c>
      <c r="N140" s="50" t="s">
        <v>276</v>
      </c>
      <c r="O140" s="37" t="s">
        <v>3</v>
      </c>
      <c r="P140" s="37" t="s">
        <v>14</v>
      </c>
      <c r="Q140" s="37" t="s">
        <v>16</v>
      </c>
      <c r="R140" s="37" t="s">
        <v>276</v>
      </c>
      <c r="S140" s="50" t="s">
        <v>1309</v>
      </c>
      <c r="T140" s="50" t="s">
        <v>1310</v>
      </c>
      <c r="U140" s="50" t="s">
        <v>1311</v>
      </c>
      <c r="V140" s="56" t="s">
        <v>1312</v>
      </c>
      <c r="W140" s="56" t="s">
        <v>1312</v>
      </c>
      <c r="X140" s="38" t="s">
        <v>1312</v>
      </c>
      <c r="Y140" s="60">
        <v>2267980480</v>
      </c>
      <c r="Z140" s="60">
        <v>226798044</v>
      </c>
      <c r="AA140" s="60"/>
      <c r="AB140" s="60">
        <f>Z140+AA140</f>
        <v>226798044</v>
      </c>
      <c r="AC140" s="61"/>
      <c r="AD140" s="61"/>
      <c r="AE140" s="109">
        <v>2267980480</v>
      </c>
      <c r="AF140" s="109">
        <v>226798044</v>
      </c>
      <c r="AG140" s="108">
        <f>$AR140+$AZ140+$BQ140+$BT140+$BU140+$BV140</f>
        <v>0</v>
      </c>
      <c r="AH140" s="121">
        <f>AF140-AG140</f>
        <v>226798044</v>
      </c>
      <c r="AI140" s="39" t="s">
        <v>1313</v>
      </c>
      <c r="AJ140" s="198"/>
      <c r="AK140" s="198"/>
      <c r="AL140" s="42"/>
      <c r="AM140" s="68"/>
      <c r="AN140" s="68"/>
      <c r="AO140" s="68"/>
      <c r="AP140" s="68"/>
      <c r="AQ140" s="68">
        <v>0</v>
      </c>
      <c r="AR140" s="68">
        <v>0</v>
      </c>
      <c r="AS140" s="68" t="s">
        <v>307</v>
      </c>
      <c r="AT140" s="68"/>
      <c r="AU140" s="69" t="s">
        <v>277</v>
      </c>
      <c r="AV140" s="69" t="s">
        <v>277</v>
      </c>
      <c r="AW140" s="69" t="s">
        <v>277</v>
      </c>
      <c r="AX140" s="69"/>
      <c r="AY140" s="68">
        <v>0</v>
      </c>
      <c r="AZ140" s="68">
        <v>0</v>
      </c>
      <c r="BA140" s="68" t="s">
        <v>307</v>
      </c>
      <c r="BB140" s="68"/>
      <c r="BC140" s="69" t="s">
        <v>1314</v>
      </c>
      <c r="BD140" s="69" t="s">
        <v>277</v>
      </c>
      <c r="BE140" s="56" t="s">
        <v>277</v>
      </c>
      <c r="BF140" s="56" t="s">
        <v>277</v>
      </c>
      <c r="BG140" s="56" t="s">
        <v>277</v>
      </c>
      <c r="BH140" s="56" t="s">
        <v>277</v>
      </c>
      <c r="BI140" s="69">
        <v>0</v>
      </c>
      <c r="BJ140" s="69">
        <v>0</v>
      </c>
      <c r="BK140" s="69">
        <v>0</v>
      </c>
      <c r="BL140" s="69">
        <v>0</v>
      </c>
      <c r="BM140" s="69">
        <v>0</v>
      </c>
      <c r="BN140" s="69">
        <v>0</v>
      </c>
      <c r="BO140" s="69">
        <v>0</v>
      </c>
      <c r="BP140" s="69">
        <v>0</v>
      </c>
      <c r="BQ140" s="69"/>
      <c r="BR140" s="69" t="s">
        <v>382</v>
      </c>
      <c r="BS140" s="69" t="s">
        <v>798</v>
      </c>
      <c r="BT140" s="68">
        <v>0</v>
      </c>
      <c r="BU140" s="68">
        <v>0</v>
      </c>
      <c r="BV140" s="68">
        <v>0</v>
      </c>
      <c r="BW140" s="94">
        <v>0</v>
      </c>
      <c r="BX140" s="94">
        <v>0</v>
      </c>
      <c r="BY140" s="94">
        <v>0</v>
      </c>
      <c r="BZ140" s="94">
        <v>0</v>
      </c>
      <c r="CA140" s="94">
        <v>226798044</v>
      </c>
      <c r="CB140" s="94">
        <v>0</v>
      </c>
      <c r="CC140" s="94">
        <v>0</v>
      </c>
      <c r="CD140" s="94">
        <v>0</v>
      </c>
      <c r="CE140" s="94">
        <v>0</v>
      </c>
      <c r="CF140" s="108">
        <f>SUM(BT140:CE140)</f>
        <v>226798044</v>
      </c>
      <c r="CG140" s="108">
        <f>$CF140-$AF140</f>
        <v>0</v>
      </c>
      <c r="CH140" s="37" t="s">
        <v>289</v>
      </c>
      <c r="CI140" s="37" t="s">
        <v>290</v>
      </c>
      <c r="CJ140" s="37" t="s">
        <v>277</v>
      </c>
      <c r="CK140" s="37" t="s">
        <v>290</v>
      </c>
      <c r="CL140" s="37" t="s">
        <v>277</v>
      </c>
      <c r="CM140" s="37" t="s">
        <v>277</v>
      </c>
      <c r="CN140" s="37" t="s">
        <v>290</v>
      </c>
      <c r="CO140" s="37" t="s">
        <v>433</v>
      </c>
      <c r="CP140" s="41">
        <v>46023</v>
      </c>
      <c r="CQ140" s="41">
        <v>46387</v>
      </c>
      <c r="CR140" s="37" t="s">
        <v>293</v>
      </c>
      <c r="CS140" s="37" t="s">
        <v>322</v>
      </c>
      <c r="CT140" s="37" t="s">
        <v>295</v>
      </c>
      <c r="CU140" s="37" t="s">
        <v>341</v>
      </c>
      <c r="CV140" s="37" t="s">
        <v>382</v>
      </c>
      <c r="CW140" s="37">
        <v>4200003962</v>
      </c>
      <c r="CX140" s="37" t="s">
        <v>1312</v>
      </c>
      <c r="CY140" s="37">
        <v>2267980480</v>
      </c>
      <c r="CZ140" s="123">
        <v>45444</v>
      </c>
      <c r="DA140" s="123">
        <v>46174</v>
      </c>
      <c r="DB140" s="37" t="s">
        <v>277</v>
      </c>
      <c r="DC140" s="37" t="s">
        <v>1315</v>
      </c>
      <c r="DD140" s="68">
        <v>0</v>
      </c>
      <c r="DE140" s="68">
        <v>226798044</v>
      </c>
      <c r="DF140" s="68">
        <v>0</v>
      </c>
      <c r="DG140" s="68">
        <v>0</v>
      </c>
      <c r="DH140" s="68">
        <v>0</v>
      </c>
      <c r="DI140" s="68">
        <v>0</v>
      </c>
      <c r="DJ140" s="68">
        <v>0</v>
      </c>
      <c r="DK140" s="68">
        <v>0</v>
      </c>
      <c r="DL140" s="68">
        <v>0</v>
      </c>
      <c r="DM140" s="68">
        <v>0</v>
      </c>
      <c r="DN140" s="68">
        <v>0</v>
      </c>
      <c r="DO140" s="68">
        <v>0</v>
      </c>
      <c r="DP140" s="68">
        <f>SUM(DD140:DO140)</f>
        <v>226798044</v>
      </c>
      <c r="DQ140" s="68">
        <f>DP140-AB140</f>
        <v>0</v>
      </c>
      <c r="DR140" s="68">
        <f>$DD140</f>
        <v>0</v>
      </c>
      <c r="DS140" s="68">
        <f>DR140+DE140</f>
        <v>226798044</v>
      </c>
      <c r="DT140" s="68">
        <f>DS140+DF140</f>
        <v>226798044</v>
      </c>
      <c r="DU140" s="68">
        <f>DT140+DG140</f>
        <v>226798044</v>
      </c>
      <c r="DV140" s="68">
        <f>DU140+DH140</f>
        <v>226798044</v>
      </c>
      <c r="DW140" s="68">
        <f>DV140+DI140</f>
        <v>226798044</v>
      </c>
      <c r="DX140" s="68">
        <f>DW140+DJ140</f>
        <v>226798044</v>
      </c>
      <c r="DY140" s="68">
        <f>DX140+DK140</f>
        <v>226798044</v>
      </c>
      <c r="DZ140" s="68">
        <f>DY140+DL140</f>
        <v>226798044</v>
      </c>
      <c r="EA140" s="68">
        <f>DZ140+DM140</f>
        <v>226798044</v>
      </c>
      <c r="EB140" s="68">
        <f>EA140+DN140</f>
        <v>226798044</v>
      </c>
      <c r="EC140" s="68">
        <f>EB140+DO140</f>
        <v>226798044</v>
      </c>
      <c r="ED140" s="68">
        <f>$EC140-$AB140</f>
        <v>0</v>
      </c>
    </row>
    <row r="141" spans="1:134" ht="60">
      <c r="A141" s="74"/>
      <c r="B141" s="50">
        <v>58</v>
      </c>
      <c r="C141" s="50" t="s">
        <v>269</v>
      </c>
      <c r="D141" s="50" t="s">
        <v>297</v>
      </c>
      <c r="E141" s="50"/>
      <c r="F141" s="50" t="s">
        <v>272</v>
      </c>
      <c r="G141" s="50" t="s">
        <v>273</v>
      </c>
      <c r="H141" s="37" t="s">
        <v>151</v>
      </c>
      <c r="I141" s="37" t="s">
        <v>750</v>
      </c>
      <c r="J141" s="37" t="s">
        <v>1316</v>
      </c>
      <c r="K141" s="50" t="s">
        <v>3</v>
      </c>
      <c r="L141" s="50" t="s">
        <v>14</v>
      </c>
      <c r="M141" s="50" t="s">
        <v>16</v>
      </c>
      <c r="N141" s="50" t="s">
        <v>276</v>
      </c>
      <c r="O141" s="37" t="s">
        <v>3</v>
      </c>
      <c r="P141" s="37" t="s">
        <v>14</v>
      </c>
      <c r="Q141" s="37" t="s">
        <v>16</v>
      </c>
      <c r="R141" s="37" t="s">
        <v>276</v>
      </c>
      <c r="S141" s="50" t="s">
        <v>277</v>
      </c>
      <c r="T141" s="50" t="s">
        <v>1317</v>
      </c>
      <c r="U141" s="50" t="s">
        <v>1318</v>
      </c>
      <c r="V141" s="56" t="s">
        <v>1319</v>
      </c>
      <c r="W141" s="56" t="s">
        <v>1320</v>
      </c>
      <c r="X141" s="38" t="s">
        <v>1320</v>
      </c>
      <c r="Y141" s="60">
        <v>2401100800</v>
      </c>
      <c r="Z141" s="60">
        <v>224000000</v>
      </c>
      <c r="AA141" s="60"/>
      <c r="AB141" s="60">
        <f>Z141+AA141</f>
        <v>224000000</v>
      </c>
      <c r="AC141" s="61"/>
      <c r="AD141" s="61"/>
      <c r="AE141" s="109">
        <v>2401100800</v>
      </c>
      <c r="AF141" s="109">
        <v>224000000</v>
      </c>
      <c r="AG141" s="108">
        <f>$AR141+$AZ141+$BQ141+$BT141+$BU141+$BV141</f>
        <v>0</v>
      </c>
      <c r="AH141" s="121">
        <f>AF141-AG141</f>
        <v>224000000</v>
      </c>
      <c r="AI141" s="39" t="s">
        <v>277</v>
      </c>
      <c r="AJ141" s="200"/>
      <c r="AK141" s="200"/>
      <c r="AL141" s="39"/>
      <c r="AM141" s="68"/>
      <c r="AN141" s="68"/>
      <c r="AO141" s="68"/>
      <c r="AP141" s="68"/>
      <c r="AQ141" s="68">
        <v>0</v>
      </c>
      <c r="AR141" s="68">
        <v>0</v>
      </c>
      <c r="AS141" s="68" t="s">
        <v>307</v>
      </c>
      <c r="AT141" s="68"/>
      <c r="AU141" s="69" t="s">
        <v>277</v>
      </c>
      <c r="AV141" s="69" t="s">
        <v>277</v>
      </c>
      <c r="AW141" s="69" t="s">
        <v>277</v>
      </c>
      <c r="AX141" s="69"/>
      <c r="AY141" s="68">
        <v>0</v>
      </c>
      <c r="AZ141" s="68">
        <v>0</v>
      </c>
      <c r="BA141" s="68" t="s">
        <v>307</v>
      </c>
      <c r="BB141" s="68"/>
      <c r="BC141" s="69" t="s">
        <v>1321</v>
      </c>
      <c r="BD141" s="69" t="s">
        <v>277</v>
      </c>
      <c r="BE141" s="56" t="s">
        <v>277</v>
      </c>
      <c r="BF141" s="56" t="s">
        <v>277</v>
      </c>
      <c r="BG141" s="56" t="s">
        <v>277</v>
      </c>
      <c r="BH141" s="56" t="s">
        <v>277</v>
      </c>
      <c r="BI141" s="69">
        <v>0</v>
      </c>
      <c r="BJ141" s="69">
        <v>0</v>
      </c>
      <c r="BK141" s="69">
        <v>0</v>
      </c>
      <c r="BL141" s="69">
        <v>0</v>
      </c>
      <c r="BM141" s="69">
        <v>0</v>
      </c>
      <c r="BN141" s="69">
        <v>0</v>
      </c>
      <c r="BO141" s="69">
        <v>0</v>
      </c>
      <c r="BP141" s="69">
        <v>0</v>
      </c>
      <c r="BQ141" s="69"/>
      <c r="BR141" s="69" t="s">
        <v>382</v>
      </c>
      <c r="BS141" s="69" t="s">
        <v>798</v>
      </c>
      <c r="BT141" s="68">
        <v>0</v>
      </c>
      <c r="BU141" s="68">
        <v>0</v>
      </c>
      <c r="BV141" s="68">
        <v>0</v>
      </c>
      <c r="BW141" s="94">
        <v>0</v>
      </c>
      <c r="BX141" s="94">
        <v>0</v>
      </c>
      <c r="BY141" s="94">
        <v>0</v>
      </c>
      <c r="BZ141" s="94">
        <v>0</v>
      </c>
      <c r="CA141" s="94">
        <v>224000000</v>
      </c>
      <c r="CB141" s="94">
        <v>0</v>
      </c>
      <c r="CC141" s="94">
        <v>0</v>
      </c>
      <c r="CD141" s="94">
        <v>0</v>
      </c>
      <c r="CE141" s="94">
        <v>0</v>
      </c>
      <c r="CF141" s="108">
        <f>SUM(BT141:CE141)</f>
        <v>224000000</v>
      </c>
      <c r="CG141" s="108">
        <f>$CF141-$AF141</f>
        <v>0</v>
      </c>
      <c r="CH141" s="37" t="s">
        <v>289</v>
      </c>
      <c r="CI141" s="37" t="s">
        <v>290</v>
      </c>
      <c r="CJ141" s="37" t="s">
        <v>277</v>
      </c>
      <c r="CK141" s="37" t="s">
        <v>290</v>
      </c>
      <c r="CL141" s="37" t="s">
        <v>277</v>
      </c>
      <c r="CM141" s="37" t="s">
        <v>277</v>
      </c>
      <c r="CN141" s="37" t="s">
        <v>290</v>
      </c>
      <c r="CO141" s="37" t="s">
        <v>1166</v>
      </c>
      <c r="CP141" s="41">
        <v>45778</v>
      </c>
      <c r="CQ141" s="41">
        <v>46844</v>
      </c>
      <c r="CR141" s="37" t="s">
        <v>293</v>
      </c>
      <c r="CS141" s="37" t="s">
        <v>322</v>
      </c>
      <c r="CT141" s="37" t="s">
        <v>295</v>
      </c>
      <c r="CU141" s="37" t="s">
        <v>296</v>
      </c>
      <c r="CV141" s="37" t="s">
        <v>323</v>
      </c>
      <c r="CW141" s="37" t="s">
        <v>277</v>
      </c>
      <c r="CX141" s="37" t="s">
        <v>277</v>
      </c>
      <c r="CY141" s="37" t="s">
        <v>277</v>
      </c>
      <c r="CZ141" s="123" t="s">
        <v>277</v>
      </c>
      <c r="DA141" s="123" t="s">
        <v>277</v>
      </c>
      <c r="DB141" s="37" t="s">
        <v>277</v>
      </c>
      <c r="DC141" s="37" t="s">
        <v>1169</v>
      </c>
      <c r="DD141" s="68">
        <v>0</v>
      </c>
      <c r="DE141" s="68">
        <v>224000000</v>
      </c>
      <c r="DF141" s="68">
        <v>0</v>
      </c>
      <c r="DG141" s="68">
        <v>0</v>
      </c>
      <c r="DH141" s="68">
        <v>0</v>
      </c>
      <c r="DI141" s="68">
        <v>0</v>
      </c>
      <c r="DJ141" s="68">
        <v>0</v>
      </c>
      <c r="DK141" s="68">
        <v>0</v>
      </c>
      <c r="DL141" s="68">
        <v>0</v>
      </c>
      <c r="DM141" s="68">
        <v>0</v>
      </c>
      <c r="DN141" s="68">
        <v>0</v>
      </c>
      <c r="DO141" s="68">
        <v>0</v>
      </c>
      <c r="DP141" s="68">
        <f>SUM(DD141:DO141)</f>
        <v>224000000</v>
      </c>
      <c r="DQ141" s="68">
        <f>DP141-AB141</f>
        <v>0</v>
      </c>
      <c r="DR141" s="68">
        <f>$DD141</f>
        <v>0</v>
      </c>
      <c r="DS141" s="68">
        <f>DR141+DE141</f>
        <v>224000000</v>
      </c>
      <c r="DT141" s="68">
        <f>DS141+DF141</f>
        <v>224000000</v>
      </c>
      <c r="DU141" s="68">
        <f>DT141+DG141</f>
        <v>224000000</v>
      </c>
      <c r="DV141" s="68">
        <f>DU141+DH141</f>
        <v>224000000</v>
      </c>
      <c r="DW141" s="68">
        <f>DV141+DI141</f>
        <v>224000000</v>
      </c>
      <c r="DX141" s="68">
        <f>DW141+DJ141</f>
        <v>224000000</v>
      </c>
      <c r="DY141" s="68">
        <f>DX141+DK141</f>
        <v>224000000</v>
      </c>
      <c r="DZ141" s="68">
        <f>DY141+DL141</f>
        <v>224000000</v>
      </c>
      <c r="EA141" s="68">
        <f>DZ141+DM141</f>
        <v>224000000</v>
      </c>
      <c r="EB141" s="68">
        <f>EA141+DN141</f>
        <v>224000000</v>
      </c>
      <c r="EC141" s="68">
        <f>EB141+DO141</f>
        <v>224000000</v>
      </c>
      <c r="ED141" s="68">
        <f>$EC141-$AB141</f>
        <v>0</v>
      </c>
    </row>
    <row r="142" spans="1:134" ht="45">
      <c r="B142" s="159"/>
      <c r="C142" s="160" t="s">
        <v>269</v>
      </c>
      <c r="D142" s="160" t="s">
        <v>270</v>
      </c>
      <c r="E142" s="160"/>
      <c r="F142" s="160" t="s">
        <v>272</v>
      </c>
      <c r="G142" s="160" t="s">
        <v>273</v>
      </c>
      <c r="H142" s="160" t="s">
        <v>151</v>
      </c>
      <c r="I142" s="160" t="s">
        <v>326</v>
      </c>
      <c r="J142" s="160" t="s">
        <v>327</v>
      </c>
      <c r="K142" s="160" t="s">
        <v>277</v>
      </c>
      <c r="L142" s="160" t="s">
        <v>277</v>
      </c>
      <c r="M142" s="160" t="s">
        <v>277</v>
      </c>
      <c r="N142" s="160" t="s">
        <v>277</v>
      </c>
      <c r="O142" s="160" t="s">
        <v>3</v>
      </c>
      <c r="P142" s="160" t="s">
        <v>14</v>
      </c>
      <c r="Q142" s="160" t="s">
        <v>16</v>
      </c>
      <c r="R142" s="158" t="s">
        <v>276</v>
      </c>
      <c r="S142" s="159" t="s">
        <v>277</v>
      </c>
      <c r="T142" s="159" t="s">
        <v>277</v>
      </c>
      <c r="U142" s="160" t="s">
        <v>277</v>
      </c>
      <c r="V142" s="159" t="s">
        <v>277</v>
      </c>
      <c r="W142" s="159" t="s">
        <v>277</v>
      </c>
      <c r="X142" s="161" t="s">
        <v>1322</v>
      </c>
      <c r="Y142" s="159"/>
      <c r="Z142" s="159"/>
      <c r="AA142" s="159"/>
      <c r="AB142" s="159"/>
      <c r="AC142" s="159"/>
      <c r="AD142" s="159"/>
      <c r="AE142" s="155">
        <v>1099496280</v>
      </c>
      <c r="AF142" s="155">
        <v>219899256</v>
      </c>
      <c r="AG142" s="155"/>
      <c r="AH142" s="121">
        <f>AF142-AG142</f>
        <v>219899256</v>
      </c>
      <c r="AI142" s="159" t="s">
        <v>1323</v>
      </c>
      <c r="AJ142" s="206"/>
      <c r="AK142" s="206"/>
      <c r="AL142" s="161"/>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45"/>
      <c r="BJ142" s="45"/>
      <c r="BK142" s="45"/>
      <c r="BL142" s="45"/>
      <c r="BM142" s="45"/>
      <c r="BN142" s="45"/>
      <c r="BO142" s="45"/>
      <c r="BP142" s="45"/>
      <c r="BQ142" s="45"/>
      <c r="BR142" s="159"/>
      <c r="BS142" s="159"/>
      <c r="BT142" s="159"/>
      <c r="BU142" s="159"/>
      <c r="BV142" s="159"/>
      <c r="BW142" s="155">
        <v>0</v>
      </c>
      <c r="BX142" s="155">
        <v>0</v>
      </c>
      <c r="BY142" s="155">
        <v>0</v>
      </c>
      <c r="BZ142" s="155">
        <v>0</v>
      </c>
      <c r="CA142" s="155">
        <v>0</v>
      </c>
      <c r="CB142" s="155">
        <v>0</v>
      </c>
      <c r="CC142" s="155">
        <v>0</v>
      </c>
      <c r="CD142" s="155">
        <v>219899256</v>
      </c>
      <c r="CE142" s="155">
        <v>0</v>
      </c>
      <c r="CF142" s="156">
        <f>SUM(BT142:CE142)</f>
        <v>219899256</v>
      </c>
      <c r="CG142" s="156">
        <f>$CF142-$AF142</f>
        <v>0</v>
      </c>
      <c r="CH142" s="160" t="s">
        <v>421</v>
      </c>
      <c r="CI142" s="160" t="s">
        <v>651</v>
      </c>
      <c r="CJ142" s="165" t="s">
        <v>319</v>
      </c>
      <c r="CK142" s="158" t="s">
        <v>652</v>
      </c>
      <c r="CL142" s="158" t="s">
        <v>320</v>
      </c>
      <c r="CM142" s="158" t="s">
        <v>321</v>
      </c>
      <c r="CN142" s="158" t="s">
        <v>290</v>
      </c>
      <c r="CO142" s="158" t="s">
        <v>277</v>
      </c>
      <c r="CP142" s="166">
        <v>46023</v>
      </c>
      <c r="CQ142" s="166">
        <v>47453</v>
      </c>
      <c r="CR142" s="158" t="s">
        <v>293</v>
      </c>
      <c r="CS142" s="158" t="s">
        <v>322</v>
      </c>
      <c r="CT142" s="158" t="s">
        <v>295</v>
      </c>
      <c r="CU142" s="158" t="s">
        <v>296</v>
      </c>
      <c r="CV142" s="158" t="s">
        <v>323</v>
      </c>
      <c r="CW142" s="158" t="s">
        <v>277</v>
      </c>
      <c r="CX142" s="158" t="s">
        <v>277</v>
      </c>
      <c r="CY142" s="158" t="s">
        <v>277</v>
      </c>
      <c r="CZ142" s="158" t="s">
        <v>277</v>
      </c>
      <c r="DA142" s="158" t="s">
        <v>277</v>
      </c>
      <c r="DB142" s="158" t="s">
        <v>277</v>
      </c>
      <c r="DC142" s="158" t="s">
        <v>277</v>
      </c>
      <c r="DD142" s="159"/>
      <c r="DE142" s="159"/>
      <c r="DF142" s="159"/>
      <c r="DG142" s="159"/>
      <c r="DH142" s="159"/>
      <c r="DI142" s="159"/>
      <c r="DJ142" s="159"/>
      <c r="DK142" s="159"/>
      <c r="DL142" s="159"/>
      <c r="DM142" s="159"/>
      <c r="DN142" s="159"/>
      <c r="DO142" s="159"/>
      <c r="DP142" s="159"/>
      <c r="DQ142" s="159"/>
      <c r="DR142" s="159"/>
      <c r="DS142" s="159"/>
      <c r="DT142" s="159"/>
      <c r="DU142" s="159"/>
      <c r="DV142" s="159"/>
      <c r="DW142" s="159"/>
      <c r="DX142" s="159"/>
      <c r="DY142" s="159"/>
      <c r="DZ142" s="159"/>
      <c r="EA142" s="159"/>
      <c r="EB142" s="159"/>
      <c r="EC142" s="159"/>
      <c r="ED142" s="159"/>
    </row>
    <row r="143" spans="1:134" ht="45">
      <c r="A143" s="74"/>
      <c r="B143" s="50">
        <v>66</v>
      </c>
      <c r="C143" s="50" t="s">
        <v>269</v>
      </c>
      <c r="D143" s="50" t="s">
        <v>297</v>
      </c>
      <c r="E143" s="50"/>
      <c r="F143" s="50" t="s">
        <v>272</v>
      </c>
      <c r="G143" s="50" t="s">
        <v>273</v>
      </c>
      <c r="H143" s="37" t="s">
        <v>151</v>
      </c>
      <c r="I143" s="37" t="s">
        <v>1132</v>
      </c>
      <c r="J143" s="37" t="s">
        <v>1095</v>
      </c>
      <c r="K143" s="50" t="s">
        <v>3</v>
      </c>
      <c r="L143" s="50" t="s">
        <v>14</v>
      </c>
      <c r="M143" s="50" t="s">
        <v>16</v>
      </c>
      <c r="N143" s="50" t="s">
        <v>276</v>
      </c>
      <c r="O143" s="37" t="s">
        <v>3</v>
      </c>
      <c r="P143" s="37" t="s">
        <v>14</v>
      </c>
      <c r="Q143" s="37" t="s">
        <v>16</v>
      </c>
      <c r="R143" s="37" t="s">
        <v>276</v>
      </c>
      <c r="S143" s="50" t="s">
        <v>1324</v>
      </c>
      <c r="T143" s="50" t="s">
        <v>1325</v>
      </c>
      <c r="U143" s="50" t="s">
        <v>1326</v>
      </c>
      <c r="V143" s="56" t="s">
        <v>1327</v>
      </c>
      <c r="W143" s="56" t="s">
        <v>1327</v>
      </c>
      <c r="X143" s="38" t="s">
        <v>1327</v>
      </c>
      <c r="Y143" s="60">
        <v>9970000000</v>
      </c>
      <c r="Z143" s="60">
        <v>200000000</v>
      </c>
      <c r="AA143" s="60"/>
      <c r="AB143" s="60">
        <f>Z143+AA143</f>
        <v>200000000</v>
      </c>
      <c r="AC143" s="61"/>
      <c r="AD143" s="61"/>
      <c r="AE143" s="107">
        <v>9970000000</v>
      </c>
      <c r="AF143" s="109">
        <v>200000000</v>
      </c>
      <c r="AG143" s="108">
        <f>$AR143+$AZ143+$BQ143+$BT143+$BU143+$BV143</f>
        <v>38333333</v>
      </c>
      <c r="AH143" s="121">
        <f>AF143-AG143</f>
        <v>161666667</v>
      </c>
      <c r="AI143" s="85" t="s">
        <v>1328</v>
      </c>
      <c r="AJ143" s="199"/>
      <c r="AK143" s="199"/>
      <c r="AL143" s="86"/>
      <c r="AM143" s="68"/>
      <c r="AN143" s="68"/>
      <c r="AO143" s="68"/>
      <c r="AP143" s="68"/>
      <c r="AQ143" s="68">
        <v>0</v>
      </c>
      <c r="AR143" s="68">
        <v>0</v>
      </c>
      <c r="AS143" s="68" t="s">
        <v>307</v>
      </c>
      <c r="AT143" s="68"/>
      <c r="AU143" s="69" t="s">
        <v>277</v>
      </c>
      <c r="AV143" s="69" t="s">
        <v>277</v>
      </c>
      <c r="AW143" s="69" t="s">
        <v>277</v>
      </c>
      <c r="AX143" s="69"/>
      <c r="AY143" s="68">
        <v>0</v>
      </c>
      <c r="AZ143" s="68">
        <v>0</v>
      </c>
      <c r="BA143" s="68" t="s">
        <v>307</v>
      </c>
      <c r="BB143" s="68"/>
      <c r="BC143" s="69" t="s">
        <v>1329</v>
      </c>
      <c r="BD143" s="69" t="s">
        <v>277</v>
      </c>
      <c r="BE143" s="56" t="s">
        <v>277</v>
      </c>
      <c r="BF143" s="56" t="s">
        <v>277</v>
      </c>
      <c r="BG143" s="56" t="s">
        <v>277</v>
      </c>
      <c r="BH143" s="56" t="s">
        <v>277</v>
      </c>
      <c r="BI143" s="69">
        <v>0</v>
      </c>
      <c r="BJ143" s="69">
        <v>0</v>
      </c>
      <c r="BK143" s="69">
        <v>0</v>
      </c>
      <c r="BL143" s="69">
        <v>0</v>
      </c>
      <c r="BM143" s="69">
        <v>0</v>
      </c>
      <c r="BN143" s="69">
        <v>0</v>
      </c>
      <c r="BO143" s="69">
        <v>0</v>
      </c>
      <c r="BP143" s="69">
        <v>0</v>
      </c>
      <c r="BQ143" s="69"/>
      <c r="BR143" s="69" t="s">
        <v>382</v>
      </c>
      <c r="BS143" s="69" t="s">
        <v>798</v>
      </c>
      <c r="BT143" s="68">
        <v>38333333</v>
      </c>
      <c r="BU143" s="68">
        <v>0</v>
      </c>
      <c r="BV143" s="68">
        <v>0</v>
      </c>
      <c r="BW143" s="94">
        <v>0</v>
      </c>
      <c r="BX143" s="94">
        <v>0</v>
      </c>
      <c r="BY143" s="94">
        <v>0</v>
      </c>
      <c r="BZ143" s="94">
        <v>200000000</v>
      </c>
      <c r="CA143" s="94">
        <v>0</v>
      </c>
      <c r="CB143" s="94">
        <v>0</v>
      </c>
      <c r="CC143" s="94">
        <v>0</v>
      </c>
      <c r="CD143" s="94">
        <v>0</v>
      </c>
      <c r="CE143" s="94">
        <v>0</v>
      </c>
      <c r="CF143" s="108">
        <f>SUM(BT143:CE143)</f>
        <v>238333333</v>
      </c>
      <c r="CG143" s="108">
        <f>$CF143-$AF143</f>
        <v>38333333</v>
      </c>
      <c r="CH143" s="37" t="s">
        <v>289</v>
      </c>
      <c r="CI143" s="37" t="s">
        <v>290</v>
      </c>
      <c r="CJ143" s="37" t="s">
        <v>277</v>
      </c>
      <c r="CK143" s="37" t="s">
        <v>290</v>
      </c>
      <c r="CL143" s="37" t="s">
        <v>277</v>
      </c>
      <c r="CM143" s="37" t="s">
        <v>277</v>
      </c>
      <c r="CN143" s="37" t="s">
        <v>290</v>
      </c>
      <c r="CO143" s="37" t="s">
        <v>340</v>
      </c>
      <c r="CP143" s="41">
        <v>46023</v>
      </c>
      <c r="CQ143" s="41">
        <v>46387</v>
      </c>
      <c r="CR143" s="37" t="s">
        <v>293</v>
      </c>
      <c r="CS143" s="37" t="s">
        <v>454</v>
      </c>
      <c r="CT143" s="37" t="s">
        <v>295</v>
      </c>
      <c r="CU143" s="37" t="s">
        <v>341</v>
      </c>
      <c r="CV143" s="37" t="s">
        <v>382</v>
      </c>
      <c r="CW143" s="37">
        <v>4200004238</v>
      </c>
      <c r="CX143" s="37" t="s">
        <v>1327</v>
      </c>
      <c r="CY143" s="37">
        <v>9970000000</v>
      </c>
      <c r="CZ143" s="123">
        <v>45536</v>
      </c>
      <c r="DA143" s="123">
        <v>46631</v>
      </c>
      <c r="DB143" s="37" t="s">
        <v>277</v>
      </c>
      <c r="DC143" s="37" t="s">
        <v>388</v>
      </c>
      <c r="DD143" s="68">
        <v>0</v>
      </c>
      <c r="DE143" s="68">
        <v>200000000</v>
      </c>
      <c r="DF143" s="68">
        <v>0</v>
      </c>
      <c r="DG143" s="68">
        <v>0</v>
      </c>
      <c r="DH143" s="68">
        <v>0</v>
      </c>
      <c r="DI143" s="68">
        <v>0</v>
      </c>
      <c r="DJ143" s="68">
        <v>0</v>
      </c>
      <c r="DK143" s="68">
        <v>0</v>
      </c>
      <c r="DL143" s="68">
        <v>0</v>
      </c>
      <c r="DM143" s="68">
        <v>0</v>
      </c>
      <c r="DN143" s="68">
        <v>0</v>
      </c>
      <c r="DO143" s="68">
        <v>0</v>
      </c>
      <c r="DP143" s="68">
        <f>SUM(DD143:DO143)</f>
        <v>200000000</v>
      </c>
      <c r="DQ143" s="68">
        <f>DP143-AB143</f>
        <v>0</v>
      </c>
      <c r="DR143" s="68">
        <f>$DD143</f>
        <v>0</v>
      </c>
      <c r="DS143" s="68">
        <f>DR143+DE143</f>
        <v>200000000</v>
      </c>
      <c r="DT143" s="68">
        <f>DS143+DF143</f>
        <v>200000000</v>
      </c>
      <c r="DU143" s="68">
        <f>DT143+DG143</f>
        <v>200000000</v>
      </c>
      <c r="DV143" s="68">
        <f>DU143+DH143</f>
        <v>200000000</v>
      </c>
      <c r="DW143" s="68">
        <f>DV143+DI143</f>
        <v>200000000</v>
      </c>
      <c r="DX143" s="68">
        <f>DW143+DJ143</f>
        <v>200000000</v>
      </c>
      <c r="DY143" s="68">
        <f>DX143+DK143</f>
        <v>200000000</v>
      </c>
      <c r="DZ143" s="68">
        <f>DY143+DL143</f>
        <v>200000000</v>
      </c>
      <c r="EA143" s="68">
        <f>DZ143+DM143</f>
        <v>200000000</v>
      </c>
      <c r="EB143" s="68">
        <f>EA143+DN143</f>
        <v>200000000</v>
      </c>
      <c r="EC143" s="68">
        <f>EB143+DO143</f>
        <v>200000000</v>
      </c>
      <c r="ED143" s="68">
        <f>$EC143-$AB143</f>
        <v>0</v>
      </c>
    </row>
    <row r="144" spans="1:134" ht="30">
      <c r="A144" s="74"/>
      <c r="B144" s="50">
        <v>139</v>
      </c>
      <c r="C144" s="50" t="s">
        <v>269</v>
      </c>
      <c r="D144" s="50" t="s">
        <v>297</v>
      </c>
      <c r="E144" s="50"/>
      <c r="F144" s="50" t="s">
        <v>272</v>
      </c>
      <c r="G144" s="50" t="s">
        <v>273</v>
      </c>
      <c r="H144" s="37" t="s">
        <v>151</v>
      </c>
      <c r="I144" s="37" t="s">
        <v>497</v>
      </c>
      <c r="J144" s="37" t="s">
        <v>703</v>
      </c>
      <c r="K144" s="50" t="s">
        <v>3</v>
      </c>
      <c r="L144" s="50" t="s">
        <v>25</v>
      </c>
      <c r="M144" s="50" t="s">
        <v>52</v>
      </c>
      <c r="N144" s="50" t="s">
        <v>276</v>
      </c>
      <c r="O144" s="37" t="s">
        <v>3</v>
      </c>
      <c r="P144" s="37" t="s">
        <v>25</v>
      </c>
      <c r="Q144" s="37" t="s">
        <v>52</v>
      </c>
      <c r="R144" s="37" t="s">
        <v>512</v>
      </c>
      <c r="S144" s="50" t="s">
        <v>277</v>
      </c>
      <c r="T144" s="50" t="s">
        <v>1330</v>
      </c>
      <c r="U144" s="50" t="s">
        <v>1331</v>
      </c>
      <c r="V144" s="56" t="s">
        <v>1332</v>
      </c>
      <c r="W144" s="56" t="s">
        <v>1332</v>
      </c>
      <c r="X144" s="38" t="s">
        <v>1332</v>
      </c>
      <c r="Y144" s="60">
        <v>200000000</v>
      </c>
      <c r="Z144" s="60">
        <v>200000000</v>
      </c>
      <c r="AA144" s="60"/>
      <c r="AB144" s="60">
        <f>Z144+AA144</f>
        <v>200000000</v>
      </c>
      <c r="AC144" s="61"/>
      <c r="AD144" s="61"/>
      <c r="AE144" s="94">
        <v>200000000</v>
      </c>
      <c r="AF144" s="94">
        <v>200000000</v>
      </c>
      <c r="AG144" s="108">
        <f>$AR144+$AZ144+$BQ144+$BT144+$BU144+$BV144</f>
        <v>0</v>
      </c>
      <c r="AH144" s="121">
        <f>AF144-AG144</f>
        <v>200000000</v>
      </c>
      <c r="AI144" s="39" t="s">
        <v>277</v>
      </c>
      <c r="AJ144" s="200"/>
      <c r="AK144" s="200"/>
      <c r="AL144" s="39"/>
      <c r="AM144" s="68"/>
      <c r="AN144" s="68"/>
      <c r="AO144" s="68"/>
      <c r="AP144" s="68"/>
      <c r="AQ144" s="68">
        <v>0</v>
      </c>
      <c r="AR144" s="68">
        <v>0</v>
      </c>
      <c r="AS144" s="68" t="s">
        <v>307</v>
      </c>
      <c r="AT144" s="68"/>
      <c r="AU144" s="69" t="s">
        <v>277</v>
      </c>
      <c r="AV144" s="69" t="s">
        <v>277</v>
      </c>
      <c r="AW144" s="69" t="s">
        <v>277</v>
      </c>
      <c r="AX144" s="69"/>
      <c r="AY144" s="68">
        <v>0</v>
      </c>
      <c r="AZ144" s="68">
        <v>0</v>
      </c>
      <c r="BA144" s="68" t="s">
        <v>307</v>
      </c>
      <c r="BB144" s="68"/>
      <c r="BC144" s="69" t="s">
        <v>277</v>
      </c>
      <c r="BD144" s="69" t="s">
        <v>277</v>
      </c>
      <c r="BE144" s="56" t="s">
        <v>277</v>
      </c>
      <c r="BF144" s="56" t="s">
        <v>277</v>
      </c>
      <c r="BG144" s="56" t="s">
        <v>277</v>
      </c>
      <c r="BH144" s="56" t="s">
        <v>277</v>
      </c>
      <c r="BI144" s="69">
        <v>0</v>
      </c>
      <c r="BJ144" s="69">
        <v>0</v>
      </c>
      <c r="BK144" s="69">
        <v>0</v>
      </c>
      <c r="BL144" s="69">
        <v>0</v>
      </c>
      <c r="BM144" s="69">
        <v>0</v>
      </c>
      <c r="BN144" s="69">
        <v>0</v>
      </c>
      <c r="BO144" s="69">
        <v>0</v>
      </c>
      <c r="BP144" s="69">
        <v>0</v>
      </c>
      <c r="BQ144" s="69"/>
      <c r="BR144" s="69" t="s">
        <v>156</v>
      </c>
      <c r="BS144" s="69" t="s">
        <v>798</v>
      </c>
      <c r="BT144" s="68">
        <v>0</v>
      </c>
      <c r="BU144" s="68">
        <v>0</v>
      </c>
      <c r="BV144" s="68">
        <v>0</v>
      </c>
      <c r="BW144" s="94">
        <v>0</v>
      </c>
      <c r="BX144" s="94">
        <v>0</v>
      </c>
      <c r="BY144" s="94">
        <v>0</v>
      </c>
      <c r="BZ144" s="94">
        <v>0</v>
      </c>
      <c r="CA144" s="94">
        <v>0</v>
      </c>
      <c r="CB144" s="168">
        <v>0</v>
      </c>
      <c r="CC144" s="168">
        <v>0</v>
      </c>
      <c r="CD144" s="168">
        <v>200000000</v>
      </c>
      <c r="CE144" s="168">
        <v>0</v>
      </c>
      <c r="CF144" s="170">
        <f>SUM(BT144:CE144)</f>
        <v>200000000</v>
      </c>
      <c r="CG144" s="108">
        <f>$CF144-$AF144</f>
        <v>0</v>
      </c>
      <c r="CH144" s="37" t="s">
        <v>289</v>
      </c>
      <c r="CI144" s="37" t="s">
        <v>290</v>
      </c>
      <c r="CJ144" s="37" t="s">
        <v>277</v>
      </c>
      <c r="CK144" s="37" t="s">
        <v>290</v>
      </c>
      <c r="CL144" s="37" t="s">
        <v>277</v>
      </c>
      <c r="CM144" s="37" t="s">
        <v>277</v>
      </c>
      <c r="CN144" s="37" t="s">
        <v>290</v>
      </c>
      <c r="CO144" s="37" t="s">
        <v>497</v>
      </c>
      <c r="CP144" s="41">
        <v>46023</v>
      </c>
      <c r="CQ144" s="41">
        <v>46387</v>
      </c>
      <c r="CR144" s="37" t="s">
        <v>293</v>
      </c>
      <c r="CS144" s="37" t="s">
        <v>454</v>
      </c>
      <c r="CT144" s="37" t="s">
        <v>295</v>
      </c>
      <c r="CU144" s="37" t="s">
        <v>296</v>
      </c>
      <c r="CV144" s="37" t="s">
        <v>323</v>
      </c>
      <c r="CW144" s="37" t="s">
        <v>277</v>
      </c>
      <c r="CX144" s="37" t="s">
        <v>277</v>
      </c>
      <c r="CY144" s="37">
        <v>0</v>
      </c>
      <c r="CZ144" s="123" t="s">
        <v>277</v>
      </c>
      <c r="DA144" s="123" t="s">
        <v>277</v>
      </c>
      <c r="DB144" s="37" t="s">
        <v>277</v>
      </c>
      <c r="DC144" s="37" t="s">
        <v>455</v>
      </c>
      <c r="DD144" s="68">
        <v>0</v>
      </c>
      <c r="DE144" s="68">
        <v>0</v>
      </c>
      <c r="DF144" s="68">
        <v>0</v>
      </c>
      <c r="DG144" s="68">
        <v>0</v>
      </c>
      <c r="DH144" s="68">
        <v>0</v>
      </c>
      <c r="DI144" s="68">
        <v>0</v>
      </c>
      <c r="DJ144" s="68">
        <v>0</v>
      </c>
      <c r="DK144" s="68">
        <v>200000000</v>
      </c>
      <c r="DL144" s="68">
        <v>0</v>
      </c>
      <c r="DM144" s="68">
        <v>0</v>
      </c>
      <c r="DN144" s="68">
        <v>0</v>
      </c>
      <c r="DO144" s="68">
        <v>0</v>
      </c>
      <c r="DP144" s="68">
        <f>SUM(DD144:DO144)</f>
        <v>200000000</v>
      </c>
      <c r="DQ144" s="68">
        <f>DP144-AB144</f>
        <v>0</v>
      </c>
      <c r="DR144" s="68">
        <f>$DD144</f>
        <v>0</v>
      </c>
      <c r="DS144" s="68">
        <f>DR144+DE144</f>
        <v>0</v>
      </c>
      <c r="DT144" s="68">
        <f>DS144+DF144</f>
        <v>0</v>
      </c>
      <c r="DU144" s="68">
        <f>DT144+DG144</f>
        <v>0</v>
      </c>
      <c r="DV144" s="68">
        <f>DU144+DH144</f>
        <v>0</v>
      </c>
      <c r="DW144" s="68">
        <f>DV144+DI144</f>
        <v>0</v>
      </c>
      <c r="DX144" s="68">
        <f>DW144+DJ144</f>
        <v>0</v>
      </c>
      <c r="DY144" s="68">
        <f>DX144+DK144</f>
        <v>200000000</v>
      </c>
      <c r="DZ144" s="68">
        <f>DY144+DL144</f>
        <v>200000000</v>
      </c>
      <c r="EA144" s="68">
        <f>DZ144+DM144</f>
        <v>200000000</v>
      </c>
      <c r="EB144" s="68">
        <f>EA144+DN144</f>
        <v>200000000</v>
      </c>
      <c r="EC144" s="68">
        <f>EB144+DO144</f>
        <v>200000000</v>
      </c>
      <c r="ED144" s="68">
        <f>$EC144-$AB144</f>
        <v>0</v>
      </c>
    </row>
    <row r="145" spans="1:134" ht="30">
      <c r="A145" s="74"/>
      <c r="B145" s="50">
        <v>55</v>
      </c>
      <c r="C145" s="50" t="s">
        <v>269</v>
      </c>
      <c r="D145" s="50" t="s">
        <v>297</v>
      </c>
      <c r="E145" s="50"/>
      <c r="F145" s="50" t="s">
        <v>272</v>
      </c>
      <c r="G145" s="50" t="s">
        <v>273</v>
      </c>
      <c r="H145" s="37" t="s">
        <v>151</v>
      </c>
      <c r="I145" s="37" t="s">
        <v>604</v>
      </c>
      <c r="J145" s="37" t="s">
        <v>852</v>
      </c>
      <c r="K145" s="50" t="s">
        <v>3</v>
      </c>
      <c r="L145" s="50" t="s">
        <v>14</v>
      </c>
      <c r="M145" s="50" t="s">
        <v>16</v>
      </c>
      <c r="N145" s="50" t="s">
        <v>276</v>
      </c>
      <c r="O145" s="37" t="s">
        <v>3</v>
      </c>
      <c r="P145" s="37" t="s">
        <v>14</v>
      </c>
      <c r="Q145" s="37" t="s">
        <v>16</v>
      </c>
      <c r="R145" s="37" t="s">
        <v>276</v>
      </c>
      <c r="S145" s="50" t="s">
        <v>1333</v>
      </c>
      <c r="T145" s="50" t="s">
        <v>1334</v>
      </c>
      <c r="U145" s="50" t="s">
        <v>1335</v>
      </c>
      <c r="V145" s="56" t="s">
        <v>1336</v>
      </c>
      <c r="W145" s="56" t="s">
        <v>1336</v>
      </c>
      <c r="X145" s="38" t="s">
        <v>1336</v>
      </c>
      <c r="Y145" s="60">
        <v>14745000000</v>
      </c>
      <c r="Z145" s="60">
        <v>245750000</v>
      </c>
      <c r="AA145" s="60"/>
      <c r="AB145" s="60">
        <f>Z145+AA145</f>
        <v>245750000</v>
      </c>
      <c r="AC145" s="61"/>
      <c r="AD145" s="61"/>
      <c r="AE145" s="107">
        <v>14745000000</v>
      </c>
      <c r="AF145" s="107">
        <v>184311000</v>
      </c>
      <c r="AG145" s="108">
        <f>$AR145+$AZ145+$BQ145+$BT145+$BU145+$BV145</f>
        <v>0</v>
      </c>
      <c r="AH145" s="121">
        <f>AF145-AG145</f>
        <v>184311000</v>
      </c>
      <c r="AI145" s="39" t="s">
        <v>1337</v>
      </c>
      <c r="AJ145" s="198"/>
      <c r="AK145" s="198"/>
      <c r="AL145" s="42"/>
      <c r="AM145" s="68"/>
      <c r="AN145" s="68"/>
      <c r="AO145" s="68"/>
      <c r="AP145" s="68"/>
      <c r="AQ145" s="68">
        <v>0</v>
      </c>
      <c r="AR145" s="68">
        <v>0</v>
      </c>
      <c r="AS145" s="68" t="s">
        <v>307</v>
      </c>
      <c r="AT145" s="68"/>
      <c r="AU145" s="69" t="s">
        <v>277</v>
      </c>
      <c r="AV145" s="69" t="s">
        <v>277</v>
      </c>
      <c r="AW145" s="69" t="s">
        <v>277</v>
      </c>
      <c r="AX145" s="69"/>
      <c r="AY145" s="68">
        <v>0</v>
      </c>
      <c r="AZ145" s="68">
        <v>0</v>
      </c>
      <c r="BA145" s="68" t="s">
        <v>307</v>
      </c>
      <c r="BB145" s="68"/>
      <c r="BC145" s="69" t="s">
        <v>1338</v>
      </c>
      <c r="BD145" s="69" t="s">
        <v>277</v>
      </c>
      <c r="BE145" s="56" t="s">
        <v>277</v>
      </c>
      <c r="BF145" s="56" t="s">
        <v>277</v>
      </c>
      <c r="BG145" s="56" t="s">
        <v>277</v>
      </c>
      <c r="BH145" s="56" t="s">
        <v>277</v>
      </c>
      <c r="BI145" s="69">
        <v>0</v>
      </c>
      <c r="BJ145" s="69">
        <v>0</v>
      </c>
      <c r="BK145" s="69">
        <v>0</v>
      </c>
      <c r="BL145" s="69">
        <v>0</v>
      </c>
      <c r="BM145" s="69">
        <v>0</v>
      </c>
      <c r="BN145" s="69">
        <v>0</v>
      </c>
      <c r="BO145" s="69">
        <v>0</v>
      </c>
      <c r="BP145" s="69">
        <v>0</v>
      </c>
      <c r="BQ145" s="69"/>
      <c r="BR145" s="69" t="s">
        <v>382</v>
      </c>
      <c r="BS145" s="69" t="s">
        <v>798</v>
      </c>
      <c r="BT145" s="68">
        <v>0</v>
      </c>
      <c r="BU145" s="68">
        <v>0</v>
      </c>
      <c r="BV145" s="68">
        <v>0</v>
      </c>
      <c r="BW145" s="94">
        <v>0</v>
      </c>
      <c r="BX145" s="109">
        <v>61437000</v>
      </c>
      <c r="BY145" s="94">
        <v>0</v>
      </c>
      <c r="BZ145" s="94">
        <v>0</v>
      </c>
      <c r="CA145" s="109">
        <v>61437000</v>
      </c>
      <c r="CB145" s="94">
        <v>0</v>
      </c>
      <c r="CC145" s="94">
        <v>0</v>
      </c>
      <c r="CD145" s="109">
        <v>61437000</v>
      </c>
      <c r="CE145" s="94">
        <v>0</v>
      </c>
      <c r="CF145" s="108">
        <f>SUM(BT145:CE145)</f>
        <v>184311000</v>
      </c>
      <c r="CG145" s="108">
        <f>$CF145-$AF145</f>
        <v>0</v>
      </c>
      <c r="CH145" s="37" t="s">
        <v>289</v>
      </c>
      <c r="CI145" s="37" t="s">
        <v>290</v>
      </c>
      <c r="CJ145" s="37" t="s">
        <v>277</v>
      </c>
      <c r="CK145" s="37" t="s">
        <v>290</v>
      </c>
      <c r="CL145" s="37" t="s">
        <v>277</v>
      </c>
      <c r="CM145" s="37" t="s">
        <v>277</v>
      </c>
      <c r="CN145" s="37" t="s">
        <v>290</v>
      </c>
      <c r="CO145" s="37" t="s">
        <v>275</v>
      </c>
      <c r="CP145" s="41">
        <v>46023</v>
      </c>
      <c r="CQ145" s="41">
        <v>46387</v>
      </c>
      <c r="CR145" s="37" t="s">
        <v>293</v>
      </c>
      <c r="CS145" s="37" t="s">
        <v>454</v>
      </c>
      <c r="CT145" s="37" t="s">
        <v>295</v>
      </c>
      <c r="CU145" s="37" t="s">
        <v>341</v>
      </c>
      <c r="CV145" s="37" t="s">
        <v>382</v>
      </c>
      <c r="CW145" s="37">
        <v>4200002896</v>
      </c>
      <c r="CX145" s="37" t="s">
        <v>1339</v>
      </c>
      <c r="CY145" s="37">
        <v>14745000000</v>
      </c>
      <c r="CZ145" s="123">
        <v>45108</v>
      </c>
      <c r="DA145" s="123">
        <v>46204</v>
      </c>
      <c r="DB145" s="37" t="s">
        <v>277</v>
      </c>
      <c r="DC145" s="37" t="s">
        <v>388</v>
      </c>
      <c r="DD145" s="68">
        <v>0</v>
      </c>
      <c r="DE145" s="68">
        <v>245750000</v>
      </c>
      <c r="DF145" s="68">
        <v>0</v>
      </c>
      <c r="DG145" s="68">
        <v>0</v>
      </c>
      <c r="DH145" s="68">
        <v>0</v>
      </c>
      <c r="DI145" s="68">
        <v>0</v>
      </c>
      <c r="DJ145" s="68">
        <v>0</v>
      </c>
      <c r="DK145" s="68">
        <v>0</v>
      </c>
      <c r="DL145" s="68">
        <v>0</v>
      </c>
      <c r="DM145" s="68">
        <v>0</v>
      </c>
      <c r="DN145" s="68">
        <v>0</v>
      </c>
      <c r="DO145" s="68">
        <v>0</v>
      </c>
      <c r="DP145" s="68">
        <f>SUM(DD145:DO145)</f>
        <v>245750000</v>
      </c>
      <c r="DQ145" s="68">
        <f>DP145-AB145</f>
        <v>0</v>
      </c>
      <c r="DR145" s="68">
        <f>$DD145</f>
        <v>0</v>
      </c>
      <c r="DS145" s="68">
        <f>DR145+DE145</f>
        <v>245750000</v>
      </c>
      <c r="DT145" s="68">
        <f>DS145+DF145</f>
        <v>245750000</v>
      </c>
      <c r="DU145" s="68">
        <f>DT145+DG145</f>
        <v>245750000</v>
      </c>
      <c r="DV145" s="68">
        <f>DU145+DH145</f>
        <v>245750000</v>
      </c>
      <c r="DW145" s="68">
        <f>DV145+DI145</f>
        <v>245750000</v>
      </c>
      <c r="DX145" s="68">
        <f>DW145+DJ145</f>
        <v>245750000</v>
      </c>
      <c r="DY145" s="68">
        <f>DX145+DK145</f>
        <v>245750000</v>
      </c>
      <c r="DZ145" s="68">
        <f>DY145+DL145</f>
        <v>245750000</v>
      </c>
      <c r="EA145" s="68">
        <f>DZ145+DM145</f>
        <v>245750000</v>
      </c>
      <c r="EB145" s="68">
        <f>EA145+DN145</f>
        <v>245750000</v>
      </c>
      <c r="EC145" s="68">
        <f>EB145+DO145</f>
        <v>245750000</v>
      </c>
      <c r="ED145" s="68">
        <f>$EC145-$AB145</f>
        <v>0</v>
      </c>
    </row>
    <row r="146" spans="1:134" ht="45">
      <c r="A146" s="74"/>
      <c r="B146" s="50">
        <v>22</v>
      </c>
      <c r="C146" s="50" t="s">
        <v>269</v>
      </c>
      <c r="D146" s="50" t="s">
        <v>297</v>
      </c>
      <c r="E146" s="50"/>
      <c r="F146" s="50" t="s">
        <v>272</v>
      </c>
      <c r="G146" s="50" t="s">
        <v>273</v>
      </c>
      <c r="H146" s="37" t="s">
        <v>151</v>
      </c>
      <c r="I146" s="37" t="s">
        <v>702</v>
      </c>
      <c r="J146" s="37" t="s">
        <v>740</v>
      </c>
      <c r="K146" s="50" t="s">
        <v>3</v>
      </c>
      <c r="L146" s="50" t="s">
        <v>14</v>
      </c>
      <c r="M146" s="50" t="s">
        <v>16</v>
      </c>
      <c r="N146" s="50" t="s">
        <v>276</v>
      </c>
      <c r="O146" s="87" t="s">
        <v>3</v>
      </c>
      <c r="P146" s="87" t="s">
        <v>14</v>
      </c>
      <c r="Q146" s="87" t="s">
        <v>16</v>
      </c>
      <c r="R146" s="37" t="s">
        <v>276</v>
      </c>
      <c r="S146" s="50" t="s">
        <v>1340</v>
      </c>
      <c r="T146" s="50" t="s">
        <v>1341</v>
      </c>
      <c r="U146" s="50" t="s">
        <v>1342</v>
      </c>
      <c r="V146" s="56" t="s">
        <v>1343</v>
      </c>
      <c r="W146" s="56" t="s">
        <v>1343</v>
      </c>
      <c r="X146" s="38" t="s">
        <v>1343</v>
      </c>
      <c r="Y146" s="60">
        <v>13150000000</v>
      </c>
      <c r="Z146" s="60">
        <v>0</v>
      </c>
      <c r="AA146" s="60"/>
      <c r="AB146" s="60">
        <f>Z146+AA146</f>
        <v>0</v>
      </c>
      <c r="AC146" s="61"/>
      <c r="AD146" s="61"/>
      <c r="AE146" s="96">
        <v>13150000000</v>
      </c>
      <c r="AF146" s="109">
        <v>172648577</v>
      </c>
      <c r="AG146" s="108">
        <f>$AR146+$AZ146+$BQ146+$BT146+$BU146+$BV146</f>
        <v>172648577</v>
      </c>
      <c r="AH146" s="121">
        <f>AF146-AG146</f>
        <v>0</v>
      </c>
      <c r="AI146" s="39" t="s">
        <v>1344</v>
      </c>
      <c r="AJ146" s="198"/>
      <c r="AK146" s="198"/>
      <c r="AL146" s="42"/>
      <c r="AM146" s="68"/>
      <c r="AN146" s="68"/>
      <c r="AO146" s="68"/>
      <c r="AP146" s="68"/>
      <c r="AQ146" s="68">
        <v>0</v>
      </c>
      <c r="AR146" s="68">
        <v>0</v>
      </c>
      <c r="AS146" s="68" t="s">
        <v>307</v>
      </c>
      <c r="AT146" s="68"/>
      <c r="AU146" s="69" t="s">
        <v>277</v>
      </c>
      <c r="AV146" s="69" t="s">
        <v>277</v>
      </c>
      <c r="AW146" s="69" t="s">
        <v>277</v>
      </c>
      <c r="AX146" s="69"/>
      <c r="AY146" s="68">
        <v>0</v>
      </c>
      <c r="AZ146" s="68">
        <v>0</v>
      </c>
      <c r="BA146" s="68" t="s">
        <v>307</v>
      </c>
      <c r="BB146" s="68"/>
      <c r="BC146" s="69" t="s">
        <v>797</v>
      </c>
      <c r="BD146" s="69" t="s">
        <v>277</v>
      </c>
      <c r="BE146" s="56" t="s">
        <v>277</v>
      </c>
      <c r="BF146" s="56" t="s">
        <v>277</v>
      </c>
      <c r="BG146" s="56" t="s">
        <v>277</v>
      </c>
      <c r="BH146" s="56" t="s">
        <v>277</v>
      </c>
      <c r="BI146" s="69">
        <v>0</v>
      </c>
      <c r="BJ146" s="69">
        <v>0</v>
      </c>
      <c r="BK146" s="69">
        <v>0</v>
      </c>
      <c r="BL146" s="69">
        <v>0</v>
      </c>
      <c r="BM146" s="69">
        <v>0</v>
      </c>
      <c r="BN146" s="69">
        <v>0</v>
      </c>
      <c r="BO146" s="69">
        <v>0</v>
      </c>
      <c r="BP146" s="69">
        <v>0</v>
      </c>
      <c r="BQ146" s="69"/>
      <c r="BR146" s="69" t="s">
        <v>382</v>
      </c>
      <c r="BS146" s="69" t="s">
        <v>1345</v>
      </c>
      <c r="BT146" s="68">
        <v>172648577</v>
      </c>
      <c r="BU146" s="68">
        <v>0</v>
      </c>
      <c r="BV146" s="68"/>
      <c r="BW146" s="94">
        <v>0</v>
      </c>
      <c r="BX146" s="94">
        <v>0</v>
      </c>
      <c r="BY146" s="94">
        <v>0</v>
      </c>
      <c r="BZ146" s="94">
        <v>0</v>
      </c>
      <c r="CA146" s="94">
        <v>172648577</v>
      </c>
      <c r="CB146" s="94">
        <v>0</v>
      </c>
      <c r="CC146" s="94">
        <v>0</v>
      </c>
      <c r="CD146" s="94">
        <v>0</v>
      </c>
      <c r="CE146" s="94">
        <v>0</v>
      </c>
      <c r="CF146" s="108">
        <f>SUM(BT146:CE146)</f>
        <v>345297154</v>
      </c>
      <c r="CG146" s="108">
        <f>$CF146-$AF146</f>
        <v>172648577</v>
      </c>
      <c r="CH146" s="37" t="s">
        <v>289</v>
      </c>
      <c r="CI146" s="37" t="s">
        <v>290</v>
      </c>
      <c r="CJ146" s="37" t="s">
        <v>277</v>
      </c>
      <c r="CK146" s="37" t="s">
        <v>290</v>
      </c>
      <c r="CL146" s="37" t="s">
        <v>277</v>
      </c>
      <c r="CM146" s="37" t="s">
        <v>277</v>
      </c>
      <c r="CN146" s="37" t="s">
        <v>290</v>
      </c>
      <c r="CO146" s="37" t="s">
        <v>1175</v>
      </c>
      <c r="CP146" s="41">
        <v>46023</v>
      </c>
      <c r="CQ146" s="41">
        <v>46387</v>
      </c>
      <c r="CR146" s="37" t="s">
        <v>293</v>
      </c>
      <c r="CS146" s="37" t="s">
        <v>322</v>
      </c>
      <c r="CT146" s="37" t="s">
        <v>295</v>
      </c>
      <c r="CU146" s="37" t="s">
        <v>341</v>
      </c>
      <c r="CV146" s="37" t="s">
        <v>382</v>
      </c>
      <c r="CW146" s="37">
        <v>4200002144</v>
      </c>
      <c r="CX146" s="37" t="s">
        <v>1346</v>
      </c>
      <c r="CY146" s="37">
        <v>13150000000</v>
      </c>
      <c r="CZ146" s="123">
        <v>44866</v>
      </c>
      <c r="DA146" s="123">
        <v>45231</v>
      </c>
      <c r="DB146" s="37" t="s">
        <v>277</v>
      </c>
      <c r="DC146" s="37" t="s">
        <v>1218</v>
      </c>
      <c r="DD146" s="68">
        <v>0</v>
      </c>
      <c r="DE146" s="68">
        <v>0</v>
      </c>
      <c r="DF146" s="68">
        <v>0</v>
      </c>
      <c r="DG146" s="68">
        <v>0</v>
      </c>
      <c r="DH146" s="68">
        <v>0</v>
      </c>
      <c r="DI146" s="68">
        <v>0</v>
      </c>
      <c r="DJ146" s="68">
        <v>0</v>
      </c>
      <c r="DK146" s="68">
        <v>0</v>
      </c>
      <c r="DL146" s="68">
        <v>0</v>
      </c>
      <c r="DM146" s="68">
        <v>0</v>
      </c>
      <c r="DN146" s="68">
        <v>0</v>
      </c>
      <c r="DO146" s="68">
        <v>0</v>
      </c>
      <c r="DP146" s="68">
        <f>SUM(DD146:DO146)</f>
        <v>0</v>
      </c>
      <c r="DQ146" s="68">
        <f>DP146-AB146</f>
        <v>0</v>
      </c>
      <c r="DR146" s="68">
        <f>$DD146</f>
        <v>0</v>
      </c>
      <c r="DS146" s="68">
        <f>DR146+DE146</f>
        <v>0</v>
      </c>
      <c r="DT146" s="68">
        <f>DS146+DF146</f>
        <v>0</v>
      </c>
      <c r="DU146" s="68">
        <f>DT146+DG146</f>
        <v>0</v>
      </c>
      <c r="DV146" s="68">
        <f>DU146+DH146</f>
        <v>0</v>
      </c>
      <c r="DW146" s="68">
        <f>DV146+DI146</f>
        <v>0</v>
      </c>
      <c r="DX146" s="68">
        <f>DW146+DJ146</f>
        <v>0</v>
      </c>
      <c r="DY146" s="68">
        <f>DX146+DK146</f>
        <v>0</v>
      </c>
      <c r="DZ146" s="68">
        <f>DY146+DL146</f>
        <v>0</v>
      </c>
      <c r="EA146" s="68">
        <f>DZ146+DM146</f>
        <v>0</v>
      </c>
      <c r="EB146" s="68">
        <f>EA146+DN146</f>
        <v>0</v>
      </c>
      <c r="EC146" s="68">
        <f>EB146+DO146</f>
        <v>0</v>
      </c>
      <c r="ED146" s="68">
        <f>$EC146-$AB146</f>
        <v>0</v>
      </c>
    </row>
    <row r="147" spans="1:134">
      <c r="A147" s="74"/>
      <c r="B147" s="50">
        <v>122</v>
      </c>
      <c r="C147" s="50" t="s">
        <v>269</v>
      </c>
      <c r="D147" s="50" t="s">
        <v>297</v>
      </c>
      <c r="E147" s="50"/>
      <c r="F147" s="50" t="s">
        <v>272</v>
      </c>
      <c r="G147" s="50" t="s">
        <v>273</v>
      </c>
      <c r="H147" s="37" t="s">
        <v>151</v>
      </c>
      <c r="I147" s="37" t="s">
        <v>424</v>
      </c>
      <c r="J147" s="37" t="s">
        <v>694</v>
      </c>
      <c r="K147" s="50" t="s">
        <v>3</v>
      </c>
      <c r="L147" s="50" t="s">
        <v>14</v>
      </c>
      <c r="M147" s="50" t="s">
        <v>16</v>
      </c>
      <c r="N147" s="50" t="s">
        <v>276</v>
      </c>
      <c r="O147" s="37" t="s">
        <v>3</v>
      </c>
      <c r="P147" s="37" t="s">
        <v>14</v>
      </c>
      <c r="Q147" s="37" t="s">
        <v>16</v>
      </c>
      <c r="R147" s="37" t="s">
        <v>276</v>
      </c>
      <c r="S147" s="50" t="s">
        <v>1347</v>
      </c>
      <c r="T147" s="50" t="s">
        <v>1348</v>
      </c>
      <c r="U147" s="50" t="s">
        <v>1349</v>
      </c>
      <c r="V147" s="56" t="s">
        <v>1350</v>
      </c>
      <c r="W147" s="56" t="s">
        <v>1350</v>
      </c>
      <c r="X147" s="38" t="s">
        <v>1350</v>
      </c>
      <c r="Y147" s="60">
        <v>166083750</v>
      </c>
      <c r="Z147" s="60">
        <v>166083750</v>
      </c>
      <c r="AA147" s="60"/>
      <c r="AB147" s="60">
        <f>Z147+AA147</f>
        <v>166083750</v>
      </c>
      <c r="AC147" s="61"/>
      <c r="AD147" s="61"/>
      <c r="AE147" s="109">
        <v>166083750</v>
      </c>
      <c r="AF147" s="109">
        <v>166083750</v>
      </c>
      <c r="AG147" s="108">
        <f>$AR147+$AZ147+$BQ147+$BT147+$BU147+$BV147</f>
        <v>0</v>
      </c>
      <c r="AH147" s="121">
        <f>AF147-AG147</f>
        <v>166083750</v>
      </c>
      <c r="AI147" s="39" t="s">
        <v>1351</v>
      </c>
      <c r="AJ147" s="198"/>
      <c r="AK147" s="198"/>
      <c r="AL147" s="42"/>
      <c r="AM147" s="68"/>
      <c r="AN147" s="68"/>
      <c r="AO147" s="68"/>
      <c r="AP147" s="68"/>
      <c r="AQ147" s="68">
        <v>0</v>
      </c>
      <c r="AR147" s="68">
        <v>0</v>
      </c>
      <c r="AS147" s="68" t="s">
        <v>307</v>
      </c>
      <c r="AT147" s="68"/>
      <c r="AU147" s="69" t="s">
        <v>277</v>
      </c>
      <c r="AV147" s="69" t="s">
        <v>277</v>
      </c>
      <c r="AW147" s="69" t="s">
        <v>277</v>
      </c>
      <c r="AX147" s="69"/>
      <c r="AY147" s="68">
        <v>0</v>
      </c>
      <c r="AZ147" s="68">
        <v>0</v>
      </c>
      <c r="BA147" s="68" t="s">
        <v>307</v>
      </c>
      <c r="BB147" s="68"/>
      <c r="BC147" s="69" t="s">
        <v>1352</v>
      </c>
      <c r="BD147" s="69" t="s">
        <v>277</v>
      </c>
      <c r="BE147" s="56" t="s">
        <v>277</v>
      </c>
      <c r="BF147" s="56" t="s">
        <v>277</v>
      </c>
      <c r="BG147" s="56" t="s">
        <v>277</v>
      </c>
      <c r="BH147" s="56" t="s">
        <v>277</v>
      </c>
      <c r="BI147" s="69">
        <v>0</v>
      </c>
      <c r="BJ147" s="69">
        <v>0</v>
      </c>
      <c r="BK147" s="69">
        <v>0</v>
      </c>
      <c r="BL147" s="69">
        <v>0</v>
      </c>
      <c r="BM147" s="69">
        <v>0</v>
      </c>
      <c r="BN147" s="69">
        <v>0</v>
      </c>
      <c r="BO147" s="69">
        <v>0</v>
      </c>
      <c r="BP147" s="69">
        <v>0</v>
      </c>
      <c r="BQ147" s="69"/>
      <c r="BR147" s="69" t="s">
        <v>382</v>
      </c>
      <c r="BS147" s="69" t="s">
        <v>798</v>
      </c>
      <c r="BT147" s="68">
        <v>0</v>
      </c>
      <c r="BU147" s="68">
        <v>0</v>
      </c>
      <c r="BV147" s="68"/>
      <c r="BW147" s="94">
        <v>0</v>
      </c>
      <c r="BX147" s="94">
        <v>0</v>
      </c>
      <c r="BY147" s="94">
        <v>0</v>
      </c>
      <c r="BZ147" s="94">
        <v>0</v>
      </c>
      <c r="CA147" s="94">
        <v>0</v>
      </c>
      <c r="CB147" s="132">
        <v>0</v>
      </c>
      <c r="CC147" s="169">
        <v>166083750</v>
      </c>
      <c r="CD147" s="132">
        <v>0</v>
      </c>
      <c r="CE147" s="132">
        <v>0</v>
      </c>
      <c r="CF147" s="171">
        <f>SUM(BT147:CE147)</f>
        <v>166083750</v>
      </c>
      <c r="CG147" s="108">
        <f>$CF147-$AF147</f>
        <v>0</v>
      </c>
      <c r="CH147" s="37" t="s">
        <v>289</v>
      </c>
      <c r="CI147" s="37" t="s">
        <v>290</v>
      </c>
      <c r="CJ147" s="37" t="s">
        <v>277</v>
      </c>
      <c r="CK147" s="37" t="s">
        <v>290</v>
      </c>
      <c r="CL147" s="37" t="s">
        <v>277</v>
      </c>
      <c r="CM147" s="37" t="s">
        <v>277</v>
      </c>
      <c r="CN147" s="37" t="s">
        <v>290</v>
      </c>
      <c r="CO147" s="37" t="s">
        <v>433</v>
      </c>
      <c r="CP147" s="41">
        <v>46023</v>
      </c>
      <c r="CQ147" s="41">
        <v>46387</v>
      </c>
      <c r="CR147" s="37" t="s">
        <v>293</v>
      </c>
      <c r="CS147" s="37" t="s">
        <v>322</v>
      </c>
      <c r="CT147" s="37" t="s">
        <v>524</v>
      </c>
      <c r="CU147" s="37" t="s">
        <v>341</v>
      </c>
      <c r="CV147" s="37" t="s">
        <v>382</v>
      </c>
      <c r="CW147" s="172">
        <v>4200004520</v>
      </c>
      <c r="CX147" s="172" t="s">
        <v>1353</v>
      </c>
      <c r="CY147" s="172">
        <v>553612500</v>
      </c>
      <c r="CZ147" s="173">
        <v>45597</v>
      </c>
      <c r="DA147" s="173">
        <v>45962</v>
      </c>
      <c r="DB147" s="172" t="s">
        <v>277</v>
      </c>
      <c r="DC147" s="172" t="s">
        <v>1017</v>
      </c>
      <c r="DD147" s="68">
        <v>0</v>
      </c>
      <c r="DE147" s="68">
        <v>166083750</v>
      </c>
      <c r="DF147" s="68">
        <v>0</v>
      </c>
      <c r="DG147" s="68">
        <v>0</v>
      </c>
      <c r="DH147" s="68">
        <v>0</v>
      </c>
      <c r="DI147" s="68">
        <v>0</v>
      </c>
      <c r="DJ147" s="68">
        <v>0</v>
      </c>
      <c r="DK147" s="68">
        <v>0</v>
      </c>
      <c r="DL147" s="68">
        <v>0</v>
      </c>
      <c r="DM147" s="68">
        <v>0</v>
      </c>
      <c r="DN147" s="68">
        <v>0</v>
      </c>
      <c r="DO147" s="68">
        <v>0</v>
      </c>
      <c r="DP147" s="68">
        <f>SUM(DD147:DO147)</f>
        <v>166083750</v>
      </c>
      <c r="DQ147" s="68">
        <f>DP147-AB147</f>
        <v>0</v>
      </c>
      <c r="DR147" s="68">
        <f>$DD147</f>
        <v>0</v>
      </c>
      <c r="DS147" s="68">
        <f>DR147+DE147</f>
        <v>166083750</v>
      </c>
      <c r="DT147" s="68">
        <f>DS147+DF147</f>
        <v>166083750</v>
      </c>
      <c r="DU147" s="68">
        <f>DT147+DG147</f>
        <v>166083750</v>
      </c>
      <c r="DV147" s="68">
        <f>DU147+DH147</f>
        <v>166083750</v>
      </c>
      <c r="DW147" s="68">
        <f>DV147+DI147</f>
        <v>166083750</v>
      </c>
      <c r="DX147" s="68">
        <f>DW147+DJ147</f>
        <v>166083750</v>
      </c>
      <c r="DY147" s="68">
        <f>DX147+DK147</f>
        <v>166083750</v>
      </c>
      <c r="DZ147" s="68">
        <f>DY147+DL147</f>
        <v>166083750</v>
      </c>
      <c r="EA147" s="68">
        <f>DZ147+DM147</f>
        <v>166083750</v>
      </c>
      <c r="EB147" s="68">
        <f>EA147+DN147</f>
        <v>166083750</v>
      </c>
      <c r="EC147" s="68">
        <f>EB147+DO147</f>
        <v>166083750</v>
      </c>
      <c r="ED147" s="68">
        <f>$EC147-$AB147</f>
        <v>0</v>
      </c>
    </row>
    <row r="148" spans="1:134" ht="30">
      <c r="A148" s="74"/>
      <c r="B148" s="50">
        <v>146</v>
      </c>
      <c r="C148" s="50" t="s">
        <v>269</v>
      </c>
      <c r="D148" s="50" t="s">
        <v>297</v>
      </c>
      <c r="E148" s="50"/>
      <c r="F148" s="50" t="s">
        <v>272</v>
      </c>
      <c r="G148" s="50" t="s">
        <v>273</v>
      </c>
      <c r="H148" s="37" t="s">
        <v>151</v>
      </c>
      <c r="I148" s="37" t="s">
        <v>604</v>
      </c>
      <c r="J148" s="37" t="s">
        <v>852</v>
      </c>
      <c r="K148" s="50" t="s">
        <v>3</v>
      </c>
      <c r="L148" s="50" t="s">
        <v>25</v>
      </c>
      <c r="M148" s="50" t="s">
        <v>55</v>
      </c>
      <c r="N148" s="50" t="s">
        <v>276</v>
      </c>
      <c r="O148" s="37" t="s">
        <v>3</v>
      </c>
      <c r="P148" s="37" t="s">
        <v>25</v>
      </c>
      <c r="Q148" s="37" t="s">
        <v>52</v>
      </c>
      <c r="R148" s="37" t="s">
        <v>512</v>
      </c>
      <c r="S148" s="50" t="s">
        <v>1354</v>
      </c>
      <c r="T148" s="50" t="s">
        <v>1355</v>
      </c>
      <c r="U148" s="50" t="s">
        <v>1356</v>
      </c>
      <c r="V148" s="56" t="s">
        <v>1357</v>
      </c>
      <c r="W148" s="56" t="s">
        <v>1357</v>
      </c>
      <c r="X148" s="38" t="s">
        <v>1357</v>
      </c>
      <c r="Y148" s="60">
        <v>11877000000</v>
      </c>
      <c r="Z148" s="60">
        <v>159840000</v>
      </c>
      <c r="AA148" s="60"/>
      <c r="AB148" s="60">
        <f>Z148+AA148</f>
        <v>159840000</v>
      </c>
      <c r="AC148" s="61"/>
      <c r="AD148" s="61"/>
      <c r="AE148" s="96">
        <v>11877000000</v>
      </c>
      <c r="AF148" s="109">
        <v>159840000</v>
      </c>
      <c r="AG148" s="108">
        <f>$AR148+$AZ148+$BQ148+$BT148+$BU148+$BV148</f>
        <v>0</v>
      </c>
      <c r="AH148" s="121">
        <f>AF148-AG148</f>
        <v>159840000</v>
      </c>
      <c r="AI148" s="39" t="s">
        <v>1358</v>
      </c>
      <c r="AJ148" s="198"/>
      <c r="AK148" s="198"/>
      <c r="AL148" s="42"/>
      <c r="AM148" s="68"/>
      <c r="AN148" s="68"/>
      <c r="AO148" s="68"/>
      <c r="AP148" s="68"/>
      <c r="AQ148" s="68">
        <v>0</v>
      </c>
      <c r="AR148" s="68">
        <v>0</v>
      </c>
      <c r="AS148" s="68" t="s">
        <v>307</v>
      </c>
      <c r="AT148" s="68"/>
      <c r="AU148" s="69" t="s">
        <v>277</v>
      </c>
      <c r="AV148" s="69" t="s">
        <v>277</v>
      </c>
      <c r="AW148" s="69" t="s">
        <v>277</v>
      </c>
      <c r="AX148" s="69"/>
      <c r="AY148" s="68">
        <v>0</v>
      </c>
      <c r="AZ148" s="68">
        <v>0</v>
      </c>
      <c r="BA148" s="68" t="s">
        <v>307</v>
      </c>
      <c r="BB148" s="68"/>
      <c r="BC148" s="69" t="s">
        <v>1359</v>
      </c>
      <c r="BD148" s="69" t="s">
        <v>277</v>
      </c>
      <c r="BE148" s="56" t="s">
        <v>277</v>
      </c>
      <c r="BF148" s="56" t="s">
        <v>277</v>
      </c>
      <c r="BG148" s="56" t="s">
        <v>277</v>
      </c>
      <c r="BH148" s="56" t="s">
        <v>277</v>
      </c>
      <c r="BI148" s="69">
        <v>0</v>
      </c>
      <c r="BJ148" s="69">
        <v>0</v>
      </c>
      <c r="BK148" s="69">
        <v>0</v>
      </c>
      <c r="BL148" s="69">
        <v>0</v>
      </c>
      <c r="BM148" s="69">
        <v>0</v>
      </c>
      <c r="BN148" s="69">
        <v>0</v>
      </c>
      <c r="BO148" s="69">
        <v>0</v>
      </c>
      <c r="BP148" s="69">
        <v>0</v>
      </c>
      <c r="BQ148" s="69"/>
      <c r="BR148" s="69" t="s">
        <v>382</v>
      </c>
      <c r="BS148" s="69" t="s">
        <v>1005</v>
      </c>
      <c r="BT148" s="68">
        <v>0</v>
      </c>
      <c r="BU148" s="68">
        <v>0</v>
      </c>
      <c r="BV148" s="68"/>
      <c r="BW148" s="94">
        <v>0</v>
      </c>
      <c r="BX148" s="94">
        <v>0</v>
      </c>
      <c r="BY148" s="94">
        <v>53280000</v>
      </c>
      <c r="BZ148" s="94">
        <v>0</v>
      </c>
      <c r="CA148" s="94">
        <v>0</v>
      </c>
      <c r="CB148" s="94">
        <v>53280000</v>
      </c>
      <c r="CC148" s="94">
        <v>0</v>
      </c>
      <c r="CD148" s="94">
        <v>0</v>
      </c>
      <c r="CE148" s="94">
        <v>53280000</v>
      </c>
      <c r="CF148" s="108">
        <f>SUM(BT148:CE148)</f>
        <v>159840000</v>
      </c>
      <c r="CG148" s="108">
        <f>$CF148-$AF148</f>
        <v>0</v>
      </c>
      <c r="CH148" s="37" t="s">
        <v>289</v>
      </c>
      <c r="CI148" s="37" t="s">
        <v>290</v>
      </c>
      <c r="CJ148" s="37" t="s">
        <v>277</v>
      </c>
      <c r="CK148" s="37" t="s">
        <v>290</v>
      </c>
      <c r="CL148" s="37" t="s">
        <v>277</v>
      </c>
      <c r="CM148" s="37" t="s">
        <v>277</v>
      </c>
      <c r="CN148" s="37" t="s">
        <v>290</v>
      </c>
      <c r="CO148" s="37" t="s">
        <v>275</v>
      </c>
      <c r="CP148" s="41">
        <v>46023</v>
      </c>
      <c r="CQ148" s="41">
        <v>46387</v>
      </c>
      <c r="CR148" s="37" t="s">
        <v>293</v>
      </c>
      <c r="CS148" s="37" t="s">
        <v>322</v>
      </c>
      <c r="CT148" s="37" t="s">
        <v>295</v>
      </c>
      <c r="CU148" s="37" t="s">
        <v>341</v>
      </c>
      <c r="CV148" s="37" t="s">
        <v>382</v>
      </c>
      <c r="CW148" s="37">
        <v>4200004301</v>
      </c>
      <c r="CX148" s="37" t="s">
        <v>1357</v>
      </c>
      <c r="CY148" s="37">
        <v>11877000000</v>
      </c>
      <c r="CZ148" s="123">
        <v>45566</v>
      </c>
      <c r="DA148" s="123">
        <v>46661</v>
      </c>
      <c r="DB148" s="37" t="s">
        <v>277</v>
      </c>
      <c r="DC148" s="37" t="s">
        <v>485</v>
      </c>
      <c r="DD148" s="68">
        <v>0</v>
      </c>
      <c r="DE148" s="68">
        <v>0</v>
      </c>
      <c r="DF148" s="68">
        <v>0</v>
      </c>
      <c r="DG148" s="68">
        <v>159840000</v>
      </c>
      <c r="DH148" s="68">
        <v>0</v>
      </c>
      <c r="DI148" s="68">
        <v>0</v>
      </c>
      <c r="DJ148" s="68">
        <v>0</v>
      </c>
      <c r="DK148" s="68">
        <v>0</v>
      </c>
      <c r="DL148" s="68">
        <v>0</v>
      </c>
      <c r="DM148" s="68">
        <v>0</v>
      </c>
      <c r="DN148" s="68">
        <v>0</v>
      </c>
      <c r="DO148" s="68">
        <v>0</v>
      </c>
      <c r="DP148" s="68">
        <f>SUM(DD148:DO148)</f>
        <v>159840000</v>
      </c>
      <c r="DQ148" s="68">
        <f>DP148-AB148</f>
        <v>0</v>
      </c>
      <c r="DR148" s="68">
        <f>$DD148</f>
        <v>0</v>
      </c>
      <c r="DS148" s="68">
        <f>DR148+DE148</f>
        <v>0</v>
      </c>
      <c r="DT148" s="68">
        <f>DS148+DF148</f>
        <v>0</v>
      </c>
      <c r="DU148" s="68">
        <f>DT148+DG148</f>
        <v>159840000</v>
      </c>
      <c r="DV148" s="68">
        <f>DU148+DH148</f>
        <v>159840000</v>
      </c>
      <c r="DW148" s="68">
        <f>DV148+DI148</f>
        <v>159840000</v>
      </c>
      <c r="DX148" s="68">
        <f>DW148+DJ148</f>
        <v>159840000</v>
      </c>
      <c r="DY148" s="68">
        <f>DX148+DK148</f>
        <v>159840000</v>
      </c>
      <c r="DZ148" s="68">
        <f>DY148+DL148</f>
        <v>159840000</v>
      </c>
      <c r="EA148" s="68">
        <f>DZ148+DM148</f>
        <v>159840000</v>
      </c>
      <c r="EB148" s="68">
        <f>EA148+DN148</f>
        <v>159840000</v>
      </c>
      <c r="EC148" s="68">
        <f>EB148+DO148</f>
        <v>159840000</v>
      </c>
      <c r="ED148" s="68">
        <f>$EC148-$AB148</f>
        <v>0</v>
      </c>
    </row>
    <row r="149" spans="1:134">
      <c r="A149" s="74"/>
      <c r="B149" s="50">
        <v>70</v>
      </c>
      <c r="C149" s="50" t="s">
        <v>269</v>
      </c>
      <c r="D149" s="50" t="s">
        <v>297</v>
      </c>
      <c r="E149" s="50"/>
      <c r="F149" s="50" t="s">
        <v>272</v>
      </c>
      <c r="G149" s="50" t="s">
        <v>273</v>
      </c>
      <c r="H149" s="37" t="s">
        <v>151</v>
      </c>
      <c r="I149" s="37" t="s">
        <v>546</v>
      </c>
      <c r="J149" s="37" t="s">
        <v>621</v>
      </c>
      <c r="K149" s="50" t="s">
        <v>3</v>
      </c>
      <c r="L149" s="50" t="s">
        <v>14</v>
      </c>
      <c r="M149" s="50" t="s">
        <v>16</v>
      </c>
      <c r="N149" s="50" t="s">
        <v>276</v>
      </c>
      <c r="O149" s="37" t="s">
        <v>3</v>
      </c>
      <c r="P149" s="37" t="s">
        <v>14</v>
      </c>
      <c r="Q149" s="37" t="s">
        <v>16</v>
      </c>
      <c r="R149" s="37" t="s">
        <v>276</v>
      </c>
      <c r="S149" s="50" t="s">
        <v>277</v>
      </c>
      <c r="T149" s="50" t="s">
        <v>1360</v>
      </c>
      <c r="U149" s="50" t="s">
        <v>1361</v>
      </c>
      <c r="V149" s="56" t="s">
        <v>1362</v>
      </c>
      <c r="W149" s="56" t="s">
        <v>1363</v>
      </c>
      <c r="X149" s="38" t="s">
        <v>1363</v>
      </c>
      <c r="Y149" s="60">
        <v>150000000</v>
      </c>
      <c r="Z149" s="60">
        <v>150000000</v>
      </c>
      <c r="AA149" s="60"/>
      <c r="AB149" s="60">
        <f>Z149+AA149</f>
        <v>150000000</v>
      </c>
      <c r="AC149" s="61"/>
      <c r="AD149" s="61"/>
      <c r="AE149" s="109">
        <v>150000000</v>
      </c>
      <c r="AF149" s="109">
        <v>150000000</v>
      </c>
      <c r="AG149" s="108">
        <f>$AR149+$AZ149+$BQ149+$BT149+$BU149+$BV149</f>
        <v>0</v>
      </c>
      <c r="AH149" s="121">
        <f>AF149-AG149</f>
        <v>150000000</v>
      </c>
      <c r="AI149" s="39" t="s">
        <v>277</v>
      </c>
      <c r="AJ149" s="200"/>
      <c r="AK149" s="200"/>
      <c r="AL149" s="39"/>
      <c r="AM149" s="68"/>
      <c r="AN149" s="68"/>
      <c r="AO149" s="68"/>
      <c r="AP149" s="68"/>
      <c r="AQ149" s="68">
        <v>0</v>
      </c>
      <c r="AR149" s="68">
        <v>0</v>
      </c>
      <c r="AS149" s="68" t="s">
        <v>307</v>
      </c>
      <c r="AT149" s="68"/>
      <c r="AU149" s="69" t="s">
        <v>277</v>
      </c>
      <c r="AV149" s="69" t="s">
        <v>277</v>
      </c>
      <c r="AW149" s="69" t="s">
        <v>277</v>
      </c>
      <c r="AX149" s="69"/>
      <c r="AY149" s="68">
        <v>0</v>
      </c>
      <c r="AZ149" s="68">
        <v>0</v>
      </c>
      <c r="BA149" s="68" t="s">
        <v>307</v>
      </c>
      <c r="BB149" s="68"/>
      <c r="BC149" s="69" t="s">
        <v>1364</v>
      </c>
      <c r="BD149" s="69" t="s">
        <v>277</v>
      </c>
      <c r="BE149" s="56" t="s">
        <v>277</v>
      </c>
      <c r="BF149" s="56" t="s">
        <v>277</v>
      </c>
      <c r="BG149" s="56" t="s">
        <v>277</v>
      </c>
      <c r="BH149" s="56" t="s">
        <v>277</v>
      </c>
      <c r="BI149" s="69">
        <v>0</v>
      </c>
      <c r="BJ149" s="69">
        <v>0</v>
      </c>
      <c r="BK149" s="69">
        <v>0</v>
      </c>
      <c r="BL149" s="69">
        <v>0</v>
      </c>
      <c r="BM149" s="69">
        <v>0</v>
      </c>
      <c r="BN149" s="69">
        <v>0</v>
      </c>
      <c r="BO149" s="69">
        <v>0</v>
      </c>
      <c r="BP149" s="69">
        <v>0</v>
      </c>
      <c r="BQ149" s="69"/>
      <c r="BR149" s="69" t="s">
        <v>382</v>
      </c>
      <c r="BS149" s="69" t="s">
        <v>798</v>
      </c>
      <c r="BT149" s="68">
        <v>0</v>
      </c>
      <c r="BU149" s="68">
        <v>0</v>
      </c>
      <c r="BV149" s="68">
        <v>0</v>
      </c>
      <c r="BW149" s="94">
        <v>0</v>
      </c>
      <c r="BX149" s="94">
        <v>150000000</v>
      </c>
      <c r="BY149" s="94">
        <v>0</v>
      </c>
      <c r="BZ149" s="94">
        <v>0</v>
      </c>
      <c r="CA149" s="94">
        <v>0</v>
      </c>
      <c r="CB149" s="94">
        <v>0</v>
      </c>
      <c r="CC149" s="94">
        <v>0</v>
      </c>
      <c r="CD149" s="94">
        <v>0</v>
      </c>
      <c r="CE149" s="94">
        <v>0</v>
      </c>
      <c r="CF149" s="108">
        <f>SUM(BT149:CE149)</f>
        <v>150000000</v>
      </c>
      <c r="CG149" s="108">
        <f>$CF149-$AF149</f>
        <v>0</v>
      </c>
      <c r="CH149" s="37" t="s">
        <v>289</v>
      </c>
      <c r="CI149" s="37" t="s">
        <v>290</v>
      </c>
      <c r="CJ149" s="37" t="s">
        <v>277</v>
      </c>
      <c r="CK149" s="37" t="s">
        <v>290</v>
      </c>
      <c r="CL149" s="37" t="s">
        <v>277</v>
      </c>
      <c r="CM149" s="37" t="s">
        <v>277</v>
      </c>
      <c r="CN149" s="37" t="s">
        <v>290</v>
      </c>
      <c r="CO149" s="37" t="s">
        <v>621</v>
      </c>
      <c r="CP149" s="41">
        <v>46023</v>
      </c>
      <c r="CQ149" s="41">
        <v>46387</v>
      </c>
      <c r="CR149" s="37" t="s">
        <v>293</v>
      </c>
      <c r="CS149" s="37" t="s">
        <v>454</v>
      </c>
      <c r="CT149" s="37" t="s">
        <v>295</v>
      </c>
      <c r="CU149" s="37" t="s">
        <v>296</v>
      </c>
      <c r="CV149" s="37" t="s">
        <v>323</v>
      </c>
      <c r="CW149" s="37" t="s">
        <v>277</v>
      </c>
      <c r="CX149" s="37" t="s">
        <v>277</v>
      </c>
      <c r="CY149" s="37">
        <v>0</v>
      </c>
      <c r="CZ149" s="123" t="s">
        <v>277</v>
      </c>
      <c r="DA149" s="123" t="s">
        <v>277</v>
      </c>
      <c r="DB149" s="37" t="s">
        <v>277</v>
      </c>
      <c r="DC149" s="37" t="s">
        <v>1017</v>
      </c>
      <c r="DD149" s="68">
        <v>0</v>
      </c>
      <c r="DE149" s="68">
        <v>150000000</v>
      </c>
      <c r="DF149" s="68">
        <v>0</v>
      </c>
      <c r="DG149" s="68">
        <v>0</v>
      </c>
      <c r="DH149" s="68">
        <v>0</v>
      </c>
      <c r="DI149" s="68">
        <v>0</v>
      </c>
      <c r="DJ149" s="68">
        <v>0</v>
      </c>
      <c r="DK149" s="68">
        <v>0</v>
      </c>
      <c r="DL149" s="68">
        <v>0</v>
      </c>
      <c r="DM149" s="68">
        <v>0</v>
      </c>
      <c r="DN149" s="68">
        <v>0</v>
      </c>
      <c r="DO149" s="68">
        <v>0</v>
      </c>
      <c r="DP149" s="68">
        <f>SUM(DD149:DO149)</f>
        <v>150000000</v>
      </c>
      <c r="DQ149" s="68">
        <f>DP149-AB149</f>
        <v>0</v>
      </c>
      <c r="DR149" s="68">
        <f>$DD149</f>
        <v>0</v>
      </c>
      <c r="DS149" s="68">
        <f>DR149+DE149</f>
        <v>150000000</v>
      </c>
      <c r="DT149" s="68">
        <f>DS149+DF149</f>
        <v>150000000</v>
      </c>
      <c r="DU149" s="68">
        <f>DT149+DG149</f>
        <v>150000000</v>
      </c>
      <c r="DV149" s="68">
        <f>DU149+DH149</f>
        <v>150000000</v>
      </c>
      <c r="DW149" s="68">
        <f>DV149+DI149</f>
        <v>150000000</v>
      </c>
      <c r="DX149" s="68">
        <f>DW149+DJ149</f>
        <v>150000000</v>
      </c>
      <c r="DY149" s="68">
        <f>DX149+DK149</f>
        <v>150000000</v>
      </c>
      <c r="DZ149" s="68">
        <f>DY149+DL149</f>
        <v>150000000</v>
      </c>
      <c r="EA149" s="68">
        <f>DZ149+DM149</f>
        <v>150000000</v>
      </c>
      <c r="EB149" s="68">
        <f>EA149+DN149</f>
        <v>150000000</v>
      </c>
      <c r="EC149" s="68">
        <f>EB149+DO149</f>
        <v>150000000</v>
      </c>
      <c r="ED149" s="68">
        <f>$EC149-$AB149</f>
        <v>0</v>
      </c>
    </row>
    <row r="150" spans="1:134" ht="30">
      <c r="B150" s="159"/>
      <c r="C150" s="160" t="s">
        <v>269</v>
      </c>
      <c r="D150" s="160" t="s">
        <v>270</v>
      </c>
      <c r="E150" s="160"/>
      <c r="F150" s="160" t="s">
        <v>272</v>
      </c>
      <c r="G150" s="160" t="s">
        <v>273</v>
      </c>
      <c r="H150" s="160" t="s">
        <v>151</v>
      </c>
      <c r="I150" s="160" t="s">
        <v>326</v>
      </c>
      <c r="J150" s="160" t="s">
        <v>327</v>
      </c>
      <c r="K150" s="160" t="s">
        <v>277</v>
      </c>
      <c r="L150" s="160" t="s">
        <v>277</v>
      </c>
      <c r="M150" s="160" t="s">
        <v>277</v>
      </c>
      <c r="N150" s="160" t="s">
        <v>277</v>
      </c>
      <c r="O150" s="160" t="s">
        <v>3</v>
      </c>
      <c r="P150" s="160" t="s">
        <v>14</v>
      </c>
      <c r="Q150" s="160" t="s">
        <v>16</v>
      </c>
      <c r="R150" s="158" t="s">
        <v>276</v>
      </c>
      <c r="S150" s="159" t="s">
        <v>277</v>
      </c>
      <c r="T150" s="159" t="s">
        <v>277</v>
      </c>
      <c r="U150" s="160" t="s">
        <v>277</v>
      </c>
      <c r="V150" s="159" t="s">
        <v>277</v>
      </c>
      <c r="W150" s="159" t="s">
        <v>277</v>
      </c>
      <c r="X150" s="161" t="s">
        <v>1365</v>
      </c>
      <c r="Y150" s="159"/>
      <c r="Z150" s="159"/>
      <c r="AA150" s="159"/>
      <c r="AB150" s="159"/>
      <c r="AC150" s="159"/>
      <c r="AD150" s="159"/>
      <c r="AE150" s="155">
        <v>468491040</v>
      </c>
      <c r="AF150" s="155">
        <v>140547312</v>
      </c>
      <c r="AG150" s="155"/>
      <c r="AH150" s="121">
        <f>AF150-AG150</f>
        <v>140547312</v>
      </c>
      <c r="AI150" s="159" t="s">
        <v>1366</v>
      </c>
      <c r="AJ150" s="206"/>
      <c r="AK150" s="206"/>
      <c r="AL150" s="161"/>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c r="BQ150" s="45"/>
      <c r="BR150" s="159"/>
      <c r="BS150" s="159"/>
      <c r="BT150" s="159"/>
      <c r="BU150" s="159"/>
      <c r="BV150" s="159"/>
      <c r="BW150" s="155">
        <v>0</v>
      </c>
      <c r="BX150" s="155">
        <v>0</v>
      </c>
      <c r="BY150" s="155">
        <v>0</v>
      </c>
      <c r="BZ150" s="155">
        <v>0</v>
      </c>
      <c r="CA150" s="155">
        <v>0</v>
      </c>
      <c r="CB150" s="155">
        <v>0</v>
      </c>
      <c r="CC150" s="155">
        <v>0</v>
      </c>
      <c r="CD150" s="155">
        <v>0</v>
      </c>
      <c r="CE150" s="155">
        <v>140547312</v>
      </c>
      <c r="CF150" s="156">
        <f>SUM(BT150:CE150)</f>
        <v>140547312</v>
      </c>
      <c r="CG150" s="156">
        <f>$CF150-$AF150</f>
        <v>0</v>
      </c>
      <c r="CH150" s="160" t="s">
        <v>289</v>
      </c>
      <c r="CI150" s="160" t="s">
        <v>290</v>
      </c>
      <c r="CJ150" s="158" t="s">
        <v>277</v>
      </c>
      <c r="CK150" s="160" t="s">
        <v>290</v>
      </c>
      <c r="CL150" s="158" t="s">
        <v>277</v>
      </c>
      <c r="CM150" s="158" t="s">
        <v>277</v>
      </c>
      <c r="CN150" s="158" t="s">
        <v>290</v>
      </c>
      <c r="CO150" s="158" t="s">
        <v>277</v>
      </c>
      <c r="CP150" s="158" t="s">
        <v>277</v>
      </c>
      <c r="CQ150" s="158" t="s">
        <v>277</v>
      </c>
      <c r="CR150" s="158" t="s">
        <v>293</v>
      </c>
      <c r="CS150" s="158" t="s">
        <v>322</v>
      </c>
      <c r="CT150" s="158" t="s">
        <v>295</v>
      </c>
      <c r="CU150" s="158" t="s">
        <v>296</v>
      </c>
      <c r="CV150" s="158" t="s">
        <v>323</v>
      </c>
      <c r="CW150" s="158" t="s">
        <v>277</v>
      </c>
      <c r="CX150" s="158" t="s">
        <v>277</v>
      </c>
      <c r="CY150" s="158" t="s">
        <v>277</v>
      </c>
      <c r="CZ150" s="158" t="s">
        <v>277</v>
      </c>
      <c r="DA150" s="158" t="s">
        <v>277</v>
      </c>
      <c r="DB150" s="158" t="s">
        <v>277</v>
      </c>
      <c r="DC150" s="158" t="s">
        <v>277</v>
      </c>
      <c r="DD150" s="159"/>
      <c r="DE150" s="159"/>
      <c r="DF150" s="159"/>
      <c r="DG150" s="159"/>
      <c r="DH150" s="159"/>
      <c r="DI150" s="159"/>
      <c r="DJ150" s="159"/>
      <c r="DK150" s="159"/>
      <c r="DL150" s="159"/>
      <c r="DM150" s="159"/>
      <c r="DN150" s="159"/>
      <c r="DO150" s="159"/>
      <c r="DP150" s="159"/>
      <c r="DQ150" s="159"/>
      <c r="DR150" s="159"/>
      <c r="DS150" s="159"/>
      <c r="DT150" s="159"/>
      <c r="DU150" s="159"/>
      <c r="DV150" s="159"/>
      <c r="DW150" s="159"/>
      <c r="DX150" s="159"/>
      <c r="DY150" s="159"/>
      <c r="DZ150" s="159"/>
      <c r="EA150" s="159"/>
      <c r="EB150" s="159"/>
      <c r="EC150" s="159"/>
      <c r="ED150" s="159"/>
    </row>
    <row r="151" spans="1:134" ht="45">
      <c r="A151" s="74"/>
      <c r="B151" s="50">
        <v>63</v>
      </c>
      <c r="C151" s="50" t="s">
        <v>269</v>
      </c>
      <c r="D151" s="50" t="s">
        <v>297</v>
      </c>
      <c r="E151" s="50"/>
      <c r="F151" s="50" t="s">
        <v>272</v>
      </c>
      <c r="G151" s="50" t="s">
        <v>273</v>
      </c>
      <c r="H151" s="37" t="s">
        <v>151</v>
      </c>
      <c r="I151" s="37" t="s">
        <v>604</v>
      </c>
      <c r="J151" s="37" t="s">
        <v>852</v>
      </c>
      <c r="K151" s="50" t="s">
        <v>3</v>
      </c>
      <c r="L151" s="50" t="s">
        <v>14</v>
      </c>
      <c r="M151" s="50" t="s">
        <v>16</v>
      </c>
      <c r="N151" s="50" t="s">
        <v>276</v>
      </c>
      <c r="O151" s="37" t="s">
        <v>3</v>
      </c>
      <c r="P151" s="37" t="s">
        <v>14</v>
      </c>
      <c r="Q151" s="37" t="s">
        <v>16</v>
      </c>
      <c r="R151" s="37" t="s">
        <v>276</v>
      </c>
      <c r="S151" s="50" t="s">
        <v>1367</v>
      </c>
      <c r="T151" s="50" t="s">
        <v>1368</v>
      </c>
      <c r="U151" s="50" t="s">
        <v>1369</v>
      </c>
      <c r="V151" s="56" t="s">
        <v>1370</v>
      </c>
      <c r="W151" s="56" t="s">
        <v>1370</v>
      </c>
      <c r="X151" s="38" t="s">
        <v>1370</v>
      </c>
      <c r="Y151" s="60">
        <v>12823968750</v>
      </c>
      <c r="Z151" s="60">
        <v>90270750</v>
      </c>
      <c r="AA151" s="60"/>
      <c r="AB151" s="60">
        <f>Z151+AA151</f>
        <v>90270750</v>
      </c>
      <c r="AC151" s="61"/>
      <c r="AD151" s="61"/>
      <c r="AE151" s="109">
        <v>12823968750</v>
      </c>
      <c r="AF151" s="109">
        <v>135406125</v>
      </c>
      <c r="AG151" s="108">
        <f>$AR151+$AZ151+$BQ151+$BT151+$BU151+$BV151</f>
        <v>0</v>
      </c>
      <c r="AH151" s="121">
        <f>AF151-AG151</f>
        <v>135406125</v>
      </c>
      <c r="AI151" s="39" t="s">
        <v>1371</v>
      </c>
      <c r="AJ151" s="198"/>
      <c r="AK151" s="198"/>
      <c r="AL151" s="42"/>
      <c r="AM151" s="68"/>
      <c r="AN151" s="68"/>
      <c r="AO151" s="68"/>
      <c r="AP151" s="68"/>
      <c r="AQ151" s="68">
        <v>0</v>
      </c>
      <c r="AR151" s="68">
        <v>0</v>
      </c>
      <c r="AS151" s="68" t="s">
        <v>307</v>
      </c>
      <c r="AT151" s="68"/>
      <c r="AU151" s="69" t="s">
        <v>277</v>
      </c>
      <c r="AV151" s="69" t="s">
        <v>277</v>
      </c>
      <c r="AW151" s="69" t="s">
        <v>277</v>
      </c>
      <c r="AX151" s="69"/>
      <c r="AY151" s="68">
        <v>0</v>
      </c>
      <c r="AZ151" s="68">
        <v>0</v>
      </c>
      <c r="BA151" s="68" t="s">
        <v>307</v>
      </c>
      <c r="BB151" s="68"/>
      <c r="BC151" s="69" t="s">
        <v>1372</v>
      </c>
      <c r="BD151" s="69" t="s">
        <v>277</v>
      </c>
      <c r="BE151" s="56" t="s">
        <v>277</v>
      </c>
      <c r="BF151" s="56" t="s">
        <v>277</v>
      </c>
      <c r="BG151" s="56" t="s">
        <v>277</v>
      </c>
      <c r="BH151" s="56" t="s">
        <v>277</v>
      </c>
      <c r="BI151" s="69">
        <v>0</v>
      </c>
      <c r="BJ151" s="69">
        <v>0</v>
      </c>
      <c r="BK151" s="69">
        <v>0</v>
      </c>
      <c r="BL151" s="69">
        <v>0</v>
      </c>
      <c r="BM151" s="69">
        <v>0</v>
      </c>
      <c r="BN151" s="69">
        <v>0</v>
      </c>
      <c r="BO151" s="69">
        <v>0</v>
      </c>
      <c r="BP151" s="69">
        <v>0</v>
      </c>
      <c r="BQ151" s="69"/>
      <c r="BR151" s="69" t="s">
        <v>382</v>
      </c>
      <c r="BS151" s="69" t="s">
        <v>1005</v>
      </c>
      <c r="BT151" s="68">
        <v>0</v>
      </c>
      <c r="BU151" s="68">
        <v>0</v>
      </c>
      <c r="BV151" s="68">
        <v>0</v>
      </c>
      <c r="BW151" s="94">
        <v>135406125</v>
      </c>
      <c r="BX151" s="94">
        <v>0</v>
      </c>
      <c r="BY151" s="94">
        <v>0</v>
      </c>
      <c r="BZ151" s="94">
        <v>0</v>
      </c>
      <c r="CA151" s="94">
        <v>0</v>
      </c>
      <c r="CB151" s="94">
        <v>0</v>
      </c>
      <c r="CC151" s="94">
        <v>0</v>
      </c>
      <c r="CD151" s="94">
        <v>0</v>
      </c>
      <c r="CE151" s="94">
        <v>0</v>
      </c>
      <c r="CF151" s="108">
        <f>SUM(BT151:CE151)</f>
        <v>135406125</v>
      </c>
      <c r="CG151" s="108">
        <f>$CF151-$AF151</f>
        <v>0</v>
      </c>
      <c r="CH151" s="37" t="s">
        <v>289</v>
      </c>
      <c r="CI151" s="37" t="s">
        <v>290</v>
      </c>
      <c r="CJ151" s="37" t="s">
        <v>277</v>
      </c>
      <c r="CK151" s="37" t="s">
        <v>290</v>
      </c>
      <c r="CL151" s="37" t="s">
        <v>277</v>
      </c>
      <c r="CM151" s="37" t="s">
        <v>277</v>
      </c>
      <c r="CN151" s="37" t="s">
        <v>290</v>
      </c>
      <c r="CO151" s="37" t="s">
        <v>340</v>
      </c>
      <c r="CP151" s="41">
        <v>46023</v>
      </c>
      <c r="CQ151" s="41">
        <v>46387</v>
      </c>
      <c r="CR151" s="37" t="s">
        <v>293</v>
      </c>
      <c r="CS151" s="37" t="s">
        <v>322</v>
      </c>
      <c r="CT151" s="37" t="s">
        <v>295</v>
      </c>
      <c r="CU151" s="37" t="s">
        <v>341</v>
      </c>
      <c r="CV151" s="37" t="s">
        <v>382</v>
      </c>
      <c r="CW151" s="37">
        <v>4200004304</v>
      </c>
      <c r="CX151" s="37" t="s">
        <v>1370</v>
      </c>
      <c r="CY151" s="37">
        <v>12823968750</v>
      </c>
      <c r="CZ151" s="123">
        <v>45566</v>
      </c>
      <c r="DA151" s="123">
        <v>46661</v>
      </c>
      <c r="DB151" s="37" t="s">
        <v>277</v>
      </c>
      <c r="DC151" s="37" t="s">
        <v>1373</v>
      </c>
      <c r="DD151" s="68">
        <v>0</v>
      </c>
      <c r="DE151" s="68">
        <v>90270750</v>
      </c>
      <c r="DF151" s="68">
        <v>0</v>
      </c>
      <c r="DG151" s="68">
        <v>0</v>
      </c>
      <c r="DH151" s="68">
        <v>0</v>
      </c>
      <c r="DI151" s="68">
        <v>0</v>
      </c>
      <c r="DJ151" s="68">
        <v>0</v>
      </c>
      <c r="DK151" s="68">
        <v>0</v>
      </c>
      <c r="DL151" s="68">
        <v>0</v>
      </c>
      <c r="DM151" s="68">
        <v>0</v>
      </c>
      <c r="DN151" s="68">
        <v>0</v>
      </c>
      <c r="DO151" s="68">
        <v>0</v>
      </c>
      <c r="DP151" s="68">
        <f>SUM(DD151:DO151)</f>
        <v>90270750</v>
      </c>
      <c r="DQ151" s="68">
        <f>DP151-AB151</f>
        <v>0</v>
      </c>
      <c r="DR151" s="68">
        <f>$DD151</f>
        <v>0</v>
      </c>
      <c r="DS151" s="68">
        <f>DR151+DE151</f>
        <v>90270750</v>
      </c>
      <c r="DT151" s="68">
        <f>DS151+DF151</f>
        <v>90270750</v>
      </c>
      <c r="DU151" s="68">
        <f>DT151+DG151</f>
        <v>90270750</v>
      </c>
      <c r="DV151" s="68">
        <f>DU151+DH151</f>
        <v>90270750</v>
      </c>
      <c r="DW151" s="68">
        <f>DV151+DI151</f>
        <v>90270750</v>
      </c>
      <c r="DX151" s="68">
        <f>DW151+DJ151</f>
        <v>90270750</v>
      </c>
      <c r="DY151" s="68">
        <f>DX151+DK151</f>
        <v>90270750</v>
      </c>
      <c r="DZ151" s="68">
        <f>DY151+DL151</f>
        <v>90270750</v>
      </c>
      <c r="EA151" s="68">
        <f>DZ151+DM151</f>
        <v>90270750</v>
      </c>
      <c r="EB151" s="68">
        <f>EA151+DN151</f>
        <v>90270750</v>
      </c>
      <c r="EC151" s="68">
        <f>EB151+DO151</f>
        <v>90270750</v>
      </c>
      <c r="ED151" s="68">
        <f>$EC151-$AB151</f>
        <v>0</v>
      </c>
    </row>
    <row r="152" spans="1:134" ht="30">
      <c r="B152" s="54"/>
      <c r="C152" s="50" t="s">
        <v>269</v>
      </c>
      <c r="D152" s="50" t="s">
        <v>270</v>
      </c>
      <c r="E152" s="55" t="s">
        <v>1374</v>
      </c>
      <c r="F152" s="50" t="s">
        <v>272</v>
      </c>
      <c r="G152" s="50" t="s">
        <v>273</v>
      </c>
      <c r="H152" s="37" t="s">
        <v>151</v>
      </c>
      <c r="I152" s="37" t="s">
        <v>702</v>
      </c>
      <c r="J152" s="37" t="s">
        <v>740</v>
      </c>
      <c r="K152" s="50" t="s">
        <v>3</v>
      </c>
      <c r="L152" s="50" t="s">
        <v>14</v>
      </c>
      <c r="M152" s="50" t="s">
        <v>16</v>
      </c>
      <c r="N152" s="50" t="s">
        <v>276</v>
      </c>
      <c r="O152" s="37" t="s">
        <v>3</v>
      </c>
      <c r="P152" s="37" t="s">
        <v>14</v>
      </c>
      <c r="Q152" s="37" t="s">
        <v>16</v>
      </c>
      <c r="R152" s="37" t="s">
        <v>276</v>
      </c>
      <c r="S152" s="50" t="s">
        <v>277</v>
      </c>
      <c r="T152" s="50">
        <v>163</v>
      </c>
      <c r="U152" s="50" t="s">
        <v>1375</v>
      </c>
      <c r="V152" s="56" t="s">
        <v>277</v>
      </c>
      <c r="W152" s="57" t="s">
        <v>1376</v>
      </c>
      <c r="X152" s="46" t="s">
        <v>1376</v>
      </c>
      <c r="Y152" s="64">
        <v>135000000</v>
      </c>
      <c r="Z152" s="65">
        <v>0</v>
      </c>
      <c r="AA152" s="65">
        <v>0</v>
      </c>
      <c r="AB152" s="65">
        <f>Z152+AA152</f>
        <v>0</v>
      </c>
      <c r="AC152" s="66"/>
      <c r="AD152" s="66"/>
      <c r="AE152" s="119">
        <v>135000000</v>
      </c>
      <c r="AF152" s="119">
        <v>135000000</v>
      </c>
      <c r="AG152" s="64">
        <f>$AR152+$AZ152+$BQ152+$BT152+$BU152+$BV152</f>
        <v>0</v>
      </c>
      <c r="AH152" s="121">
        <f>AF152-AG152</f>
        <v>135000000</v>
      </c>
      <c r="AI152" s="47" t="s">
        <v>277</v>
      </c>
      <c r="AJ152" s="202"/>
      <c r="AK152" s="202"/>
      <c r="AL152" s="47"/>
      <c r="AM152" s="54"/>
      <c r="AN152" s="54"/>
      <c r="AO152" s="54"/>
      <c r="AP152" s="54"/>
      <c r="AQ152" s="72"/>
      <c r="AR152" s="72"/>
      <c r="AS152" s="54"/>
      <c r="AT152" s="54"/>
      <c r="AU152" s="54"/>
      <c r="AV152" s="54"/>
      <c r="AW152" s="54"/>
      <c r="AX152" s="54"/>
      <c r="AY152" s="72"/>
      <c r="AZ152" s="72"/>
      <c r="BA152" s="54"/>
      <c r="BB152" s="54"/>
      <c r="BC152" s="54"/>
      <c r="BD152" s="54"/>
      <c r="BE152" s="57" t="s">
        <v>277</v>
      </c>
      <c r="BF152" s="57" t="s">
        <v>277</v>
      </c>
      <c r="BG152" s="57" t="s">
        <v>277</v>
      </c>
      <c r="BH152" s="57" t="s">
        <v>277</v>
      </c>
      <c r="BI152" s="54">
        <v>0</v>
      </c>
      <c r="BJ152" s="54">
        <v>0</v>
      </c>
      <c r="BK152" s="54">
        <v>0</v>
      </c>
      <c r="BL152" s="54">
        <v>0</v>
      </c>
      <c r="BM152" s="54">
        <v>0</v>
      </c>
      <c r="BN152" s="54">
        <v>0</v>
      </c>
      <c r="BO152" s="54">
        <v>0</v>
      </c>
      <c r="BP152" s="54">
        <v>0</v>
      </c>
      <c r="BQ152" s="54"/>
      <c r="BR152" s="69" t="s">
        <v>156</v>
      </c>
      <c r="BS152" s="69" t="s">
        <v>976</v>
      </c>
      <c r="BT152" s="72">
        <v>0</v>
      </c>
      <c r="BU152" s="72">
        <v>0</v>
      </c>
      <c r="BV152" s="72">
        <v>0</v>
      </c>
      <c r="BW152" s="94">
        <v>0</v>
      </c>
      <c r="BX152" s="94">
        <v>0</v>
      </c>
      <c r="BY152" s="94">
        <v>0</v>
      </c>
      <c r="BZ152" s="94">
        <v>0</v>
      </c>
      <c r="CA152" s="94">
        <v>0</v>
      </c>
      <c r="CB152" s="94">
        <v>0</v>
      </c>
      <c r="CC152" s="119">
        <v>135000000</v>
      </c>
      <c r="CD152" s="94">
        <v>0</v>
      </c>
      <c r="CE152" s="94">
        <v>0</v>
      </c>
      <c r="CF152" s="64">
        <f>SUM(BT152:CE152)</f>
        <v>135000000</v>
      </c>
      <c r="CG152" s="64">
        <f>$CF152-$AF152</f>
        <v>0</v>
      </c>
      <c r="CH152" s="87" t="s">
        <v>289</v>
      </c>
      <c r="CI152" s="87" t="s">
        <v>290</v>
      </c>
      <c r="CJ152" s="87" t="s">
        <v>277</v>
      </c>
      <c r="CK152" s="87" t="s">
        <v>290</v>
      </c>
      <c r="CL152" s="87" t="s">
        <v>277</v>
      </c>
      <c r="CM152" s="87" t="s">
        <v>277</v>
      </c>
      <c r="CN152" s="87" t="s">
        <v>290</v>
      </c>
      <c r="CO152" s="87" t="s">
        <v>277</v>
      </c>
      <c r="CP152" s="91" t="s">
        <v>277</v>
      </c>
      <c r="CQ152" s="91" t="s">
        <v>277</v>
      </c>
      <c r="CR152" s="87" t="s">
        <v>293</v>
      </c>
      <c r="CS152" s="87" t="s">
        <v>322</v>
      </c>
      <c r="CT152" s="87" t="s">
        <v>851</v>
      </c>
      <c r="CU152" s="87" t="s">
        <v>296</v>
      </c>
      <c r="CV152" s="91" t="s">
        <v>323</v>
      </c>
      <c r="CW152" s="87" t="s">
        <v>277</v>
      </c>
      <c r="CX152" s="87" t="s">
        <v>277</v>
      </c>
      <c r="CY152" s="87" t="s">
        <v>277</v>
      </c>
      <c r="CZ152" s="45" t="s">
        <v>277</v>
      </c>
      <c r="DA152" s="45" t="s">
        <v>277</v>
      </c>
      <c r="DB152" s="45" t="s">
        <v>277</v>
      </c>
      <c r="DC152" s="45" t="s">
        <v>277</v>
      </c>
      <c r="DD152" s="54"/>
      <c r="DE152" s="54"/>
      <c r="DF152" s="54"/>
      <c r="DG152" s="54"/>
      <c r="DH152" s="54"/>
      <c r="DI152" s="54"/>
      <c r="DJ152" s="54"/>
      <c r="DK152" s="54"/>
      <c r="DL152" s="54"/>
      <c r="DM152" s="54"/>
      <c r="DN152" s="54"/>
      <c r="DO152" s="54"/>
      <c r="DP152" s="54">
        <f>SUM(DD152:DO152)</f>
        <v>0</v>
      </c>
      <c r="DQ152" s="54">
        <f>DP152-AB152</f>
        <v>0</v>
      </c>
      <c r="DR152" s="54">
        <f>$DD152</f>
        <v>0</v>
      </c>
      <c r="DS152" s="54">
        <f>DR152+DE152</f>
        <v>0</v>
      </c>
      <c r="DT152" s="54">
        <f>DS152+DF152</f>
        <v>0</v>
      </c>
      <c r="DU152" s="54">
        <f>DT152+DG152</f>
        <v>0</v>
      </c>
      <c r="DV152" s="54">
        <f>DU152+DH152</f>
        <v>0</v>
      </c>
      <c r="DW152" s="54">
        <f>DV152+DI152</f>
        <v>0</v>
      </c>
      <c r="DX152" s="54">
        <f>DW152+DJ152</f>
        <v>0</v>
      </c>
      <c r="DY152" s="54">
        <f>DX152+DK152</f>
        <v>0</v>
      </c>
      <c r="DZ152" s="54">
        <f>DY152+DL152</f>
        <v>0</v>
      </c>
      <c r="EA152" s="54">
        <f>DZ152+DM152</f>
        <v>0</v>
      </c>
      <c r="EB152" s="54">
        <f>EA152+DN152</f>
        <v>0</v>
      </c>
      <c r="EC152" s="54">
        <f>EB152+DO152</f>
        <v>0</v>
      </c>
      <c r="ED152" s="54">
        <f>$EC152-$AB152</f>
        <v>0</v>
      </c>
    </row>
    <row r="153" spans="1:134" ht="30">
      <c r="A153" s="74"/>
      <c r="B153" s="50">
        <v>130</v>
      </c>
      <c r="C153" s="50" t="s">
        <v>269</v>
      </c>
      <c r="D153" s="50" t="s">
        <v>297</v>
      </c>
      <c r="E153" s="50"/>
      <c r="F153" s="50" t="s">
        <v>272</v>
      </c>
      <c r="G153" s="50" t="s">
        <v>273</v>
      </c>
      <c r="H153" s="37" t="s">
        <v>151</v>
      </c>
      <c r="I153" s="37" t="s">
        <v>702</v>
      </c>
      <c r="J153" s="37" t="s">
        <v>703</v>
      </c>
      <c r="K153" s="50" t="s">
        <v>3</v>
      </c>
      <c r="L153" s="50" t="s">
        <v>14</v>
      </c>
      <c r="M153" s="50" t="s">
        <v>16</v>
      </c>
      <c r="N153" s="50" t="s">
        <v>276</v>
      </c>
      <c r="O153" s="37" t="s">
        <v>3</v>
      </c>
      <c r="P153" s="37" t="s">
        <v>14</v>
      </c>
      <c r="Q153" s="37" t="s">
        <v>16</v>
      </c>
      <c r="R153" s="37" t="s">
        <v>276</v>
      </c>
      <c r="S153" s="50" t="s">
        <v>1377</v>
      </c>
      <c r="T153" s="50" t="s">
        <v>1378</v>
      </c>
      <c r="U153" s="50" t="s">
        <v>1379</v>
      </c>
      <c r="V153" s="56" t="s">
        <v>1380</v>
      </c>
      <c r="W153" s="56" t="s">
        <v>1380</v>
      </c>
      <c r="X153" s="38" t="s">
        <v>1380</v>
      </c>
      <c r="Y153" s="60">
        <v>130481000</v>
      </c>
      <c r="Z153" s="60">
        <v>130481000</v>
      </c>
      <c r="AA153" s="60"/>
      <c r="AB153" s="60">
        <f>Z153+AA153</f>
        <v>130481000</v>
      </c>
      <c r="AC153" s="61"/>
      <c r="AD153" s="61"/>
      <c r="AE153" s="109">
        <v>130481000</v>
      </c>
      <c r="AF153" s="109">
        <v>118314411</v>
      </c>
      <c r="AG153" s="108">
        <f>$AR153+$AZ153+$BQ153+$BT153+$BU153+$BV153</f>
        <v>0</v>
      </c>
      <c r="AH153" s="121">
        <f>AF153-AG153</f>
        <v>118314411</v>
      </c>
      <c r="AI153" s="39" t="s">
        <v>1381</v>
      </c>
      <c r="AJ153" s="198"/>
      <c r="AK153" s="198"/>
      <c r="AL153" s="42"/>
      <c r="AM153" s="68"/>
      <c r="AN153" s="68"/>
      <c r="AO153" s="68"/>
      <c r="AP153" s="68"/>
      <c r="AQ153" s="68">
        <v>0</v>
      </c>
      <c r="AR153" s="68">
        <v>0</v>
      </c>
      <c r="AS153" s="68" t="s">
        <v>307</v>
      </c>
      <c r="AT153" s="68"/>
      <c r="AU153" s="69" t="s">
        <v>277</v>
      </c>
      <c r="AV153" s="69" t="s">
        <v>277</v>
      </c>
      <c r="AW153" s="69" t="s">
        <v>277</v>
      </c>
      <c r="AX153" s="69"/>
      <c r="AY153" s="68">
        <v>0</v>
      </c>
      <c r="AZ153" s="68">
        <v>0</v>
      </c>
      <c r="BA153" s="68" t="s">
        <v>307</v>
      </c>
      <c r="BB153" s="68"/>
      <c r="BC153" s="69" t="s">
        <v>277</v>
      </c>
      <c r="BD153" s="69" t="s">
        <v>277</v>
      </c>
      <c r="BE153" s="56" t="s">
        <v>277</v>
      </c>
      <c r="BF153" s="56" t="s">
        <v>277</v>
      </c>
      <c r="BG153" s="56" t="s">
        <v>277</v>
      </c>
      <c r="BH153" s="56" t="s">
        <v>277</v>
      </c>
      <c r="BI153" s="69">
        <v>0</v>
      </c>
      <c r="BJ153" s="69">
        <v>0</v>
      </c>
      <c r="BK153" s="69">
        <v>0</v>
      </c>
      <c r="BL153" s="69">
        <v>0</v>
      </c>
      <c r="BM153" s="69">
        <v>0</v>
      </c>
      <c r="BN153" s="69">
        <v>0</v>
      </c>
      <c r="BO153" s="69">
        <v>0</v>
      </c>
      <c r="BP153" s="69">
        <v>0</v>
      </c>
      <c r="BQ153" s="69"/>
      <c r="BR153" s="69" t="s">
        <v>382</v>
      </c>
      <c r="BS153" s="69" t="s">
        <v>798</v>
      </c>
      <c r="BT153" s="68">
        <v>0</v>
      </c>
      <c r="BU153" s="68">
        <v>0</v>
      </c>
      <c r="BV153" s="68">
        <v>0</v>
      </c>
      <c r="BW153" s="94">
        <v>0</v>
      </c>
      <c r="BX153" s="94">
        <v>0</v>
      </c>
      <c r="BY153" s="94">
        <v>0</v>
      </c>
      <c r="BZ153" s="94">
        <v>0</v>
      </c>
      <c r="CA153" s="107">
        <v>118314411</v>
      </c>
      <c r="CB153" s="94">
        <v>0</v>
      </c>
      <c r="CC153" s="94">
        <v>0</v>
      </c>
      <c r="CD153" s="94">
        <v>0</v>
      </c>
      <c r="CE153" s="94">
        <v>0</v>
      </c>
      <c r="CF153" s="108">
        <f>SUM(BT153:CE153)</f>
        <v>118314411</v>
      </c>
      <c r="CG153" s="108">
        <f>$CF153-$AF153</f>
        <v>0</v>
      </c>
      <c r="CH153" s="37" t="s">
        <v>289</v>
      </c>
      <c r="CI153" s="37" t="s">
        <v>290</v>
      </c>
      <c r="CJ153" s="37" t="s">
        <v>277</v>
      </c>
      <c r="CK153" s="37" t="s">
        <v>290</v>
      </c>
      <c r="CL153" s="37" t="s">
        <v>277</v>
      </c>
      <c r="CM153" s="37" t="s">
        <v>277</v>
      </c>
      <c r="CN153" s="37" t="s">
        <v>290</v>
      </c>
      <c r="CO153" s="37" t="s">
        <v>732</v>
      </c>
      <c r="CP153" s="41">
        <v>46023</v>
      </c>
      <c r="CQ153" s="41">
        <v>46387</v>
      </c>
      <c r="CR153" s="37" t="s">
        <v>293</v>
      </c>
      <c r="CS153" s="37" t="s">
        <v>454</v>
      </c>
      <c r="CT153" s="37" t="s">
        <v>295</v>
      </c>
      <c r="CU153" s="37" t="s">
        <v>341</v>
      </c>
      <c r="CV153" s="37" t="s">
        <v>382</v>
      </c>
      <c r="CW153" s="37">
        <v>4300003741</v>
      </c>
      <c r="CX153" s="37" t="s">
        <v>1382</v>
      </c>
      <c r="CY153" s="37">
        <v>2571883000</v>
      </c>
      <c r="CZ153" s="123">
        <v>45352</v>
      </c>
      <c r="DA153" s="123">
        <v>45717</v>
      </c>
      <c r="DB153" s="37" t="s">
        <v>277</v>
      </c>
      <c r="DC153" s="37" t="s">
        <v>1017</v>
      </c>
      <c r="DD153" s="68">
        <v>0</v>
      </c>
      <c r="DE153" s="68">
        <v>130481000</v>
      </c>
      <c r="DF153" s="68">
        <v>0</v>
      </c>
      <c r="DG153" s="68">
        <v>0</v>
      </c>
      <c r="DH153" s="68">
        <v>0</v>
      </c>
      <c r="DI153" s="68">
        <v>0</v>
      </c>
      <c r="DJ153" s="68">
        <v>0</v>
      </c>
      <c r="DK153" s="68">
        <v>0</v>
      </c>
      <c r="DL153" s="68">
        <v>0</v>
      </c>
      <c r="DM153" s="68">
        <v>0</v>
      </c>
      <c r="DN153" s="68">
        <v>0</v>
      </c>
      <c r="DO153" s="68">
        <v>0</v>
      </c>
      <c r="DP153" s="68">
        <f>SUM(DD153:DO153)</f>
        <v>130481000</v>
      </c>
      <c r="DQ153" s="68">
        <f>DP153-AB153</f>
        <v>0</v>
      </c>
      <c r="DR153" s="68">
        <f>$DD153</f>
        <v>0</v>
      </c>
      <c r="DS153" s="68">
        <f>DR153+DE153</f>
        <v>130481000</v>
      </c>
      <c r="DT153" s="68">
        <f>DS153+DF153</f>
        <v>130481000</v>
      </c>
      <c r="DU153" s="68">
        <f>DT153+DG153</f>
        <v>130481000</v>
      </c>
      <c r="DV153" s="68">
        <f>DU153+DH153</f>
        <v>130481000</v>
      </c>
      <c r="DW153" s="68">
        <f>DV153+DI153</f>
        <v>130481000</v>
      </c>
      <c r="DX153" s="68">
        <f>DW153+DJ153</f>
        <v>130481000</v>
      </c>
      <c r="DY153" s="68">
        <f>DX153+DK153</f>
        <v>130481000</v>
      </c>
      <c r="DZ153" s="68">
        <f>DY153+DL153</f>
        <v>130481000</v>
      </c>
      <c r="EA153" s="68">
        <f>DZ153+DM153</f>
        <v>130481000</v>
      </c>
      <c r="EB153" s="68">
        <f>EA153+DN153</f>
        <v>130481000</v>
      </c>
      <c r="EC153" s="68">
        <f>EB153+DO153</f>
        <v>130481000</v>
      </c>
      <c r="ED153" s="68">
        <f>$EC153-$AB153</f>
        <v>0</v>
      </c>
    </row>
    <row r="154" spans="1:134" ht="30">
      <c r="A154" s="74"/>
      <c r="B154" s="50">
        <v>43</v>
      </c>
      <c r="C154" s="50" t="s">
        <v>269</v>
      </c>
      <c r="D154" s="50" t="s">
        <v>297</v>
      </c>
      <c r="E154" s="50"/>
      <c r="F154" s="50" t="s">
        <v>272</v>
      </c>
      <c r="G154" s="50" t="s">
        <v>273</v>
      </c>
      <c r="H154" s="37" t="s">
        <v>151</v>
      </c>
      <c r="I154" s="37" t="s">
        <v>424</v>
      </c>
      <c r="J154" s="37" t="s">
        <v>788</v>
      </c>
      <c r="K154" s="50" t="s">
        <v>3</v>
      </c>
      <c r="L154" s="50" t="s">
        <v>14</v>
      </c>
      <c r="M154" s="50" t="s">
        <v>16</v>
      </c>
      <c r="N154" s="50" t="s">
        <v>276</v>
      </c>
      <c r="O154" s="37" t="s">
        <v>3</v>
      </c>
      <c r="P154" s="37" t="s">
        <v>14</v>
      </c>
      <c r="Q154" s="37" t="s">
        <v>16</v>
      </c>
      <c r="R154" s="37" t="s">
        <v>276</v>
      </c>
      <c r="S154" s="50" t="s">
        <v>1383</v>
      </c>
      <c r="T154" s="50" t="s">
        <v>1384</v>
      </c>
      <c r="U154" s="50" t="s">
        <v>1385</v>
      </c>
      <c r="V154" s="56" t="s">
        <v>1386</v>
      </c>
      <c r="W154" s="56" t="s">
        <v>1386</v>
      </c>
      <c r="X154" s="38" t="s">
        <v>1386</v>
      </c>
      <c r="Y154" s="60">
        <v>2900000000</v>
      </c>
      <c r="Z154" s="60">
        <v>111000000</v>
      </c>
      <c r="AA154" s="60"/>
      <c r="AB154" s="60">
        <f>Z154+AA154</f>
        <v>111000000</v>
      </c>
      <c r="AC154" s="61"/>
      <c r="AD154" s="61"/>
      <c r="AE154" s="109">
        <v>2900000000</v>
      </c>
      <c r="AF154" s="109">
        <v>111000000</v>
      </c>
      <c r="AG154" s="108">
        <f>$AR154+$AZ154+$BQ154+$BT154+$BU154+$BV154</f>
        <v>0</v>
      </c>
      <c r="AH154" s="121">
        <f>AF154-AG154</f>
        <v>111000000</v>
      </c>
      <c r="AI154" s="39" t="s">
        <v>797</v>
      </c>
      <c r="AJ154" s="200"/>
      <c r="AK154" s="200"/>
      <c r="AL154" s="39"/>
      <c r="AM154" s="68"/>
      <c r="AN154" s="68"/>
      <c r="AO154" s="68"/>
      <c r="AP154" s="68"/>
      <c r="AQ154" s="68">
        <v>0</v>
      </c>
      <c r="AR154" s="68">
        <v>0</v>
      </c>
      <c r="AS154" s="68" t="s">
        <v>307</v>
      </c>
      <c r="AT154" s="68"/>
      <c r="AU154" s="69" t="s">
        <v>277</v>
      </c>
      <c r="AV154" s="69" t="s">
        <v>277</v>
      </c>
      <c r="AW154" s="69" t="s">
        <v>277</v>
      </c>
      <c r="AX154" s="69"/>
      <c r="AY154" s="68">
        <v>0</v>
      </c>
      <c r="AZ154" s="68">
        <v>0</v>
      </c>
      <c r="BA154" s="68" t="s">
        <v>307</v>
      </c>
      <c r="BB154" s="68"/>
      <c r="BC154" s="69" t="s">
        <v>1387</v>
      </c>
      <c r="BD154" s="69" t="s">
        <v>277</v>
      </c>
      <c r="BE154" s="56" t="s">
        <v>277</v>
      </c>
      <c r="BF154" s="56" t="s">
        <v>277</v>
      </c>
      <c r="BG154" s="56" t="s">
        <v>277</v>
      </c>
      <c r="BH154" s="56" t="s">
        <v>277</v>
      </c>
      <c r="BI154" s="69">
        <v>0</v>
      </c>
      <c r="BJ154" s="69">
        <v>0</v>
      </c>
      <c r="BK154" s="69">
        <v>0</v>
      </c>
      <c r="BL154" s="69">
        <v>0</v>
      </c>
      <c r="BM154" s="69">
        <v>0</v>
      </c>
      <c r="BN154" s="69">
        <v>0</v>
      </c>
      <c r="BO154" s="69">
        <v>0</v>
      </c>
      <c r="BP154" s="69">
        <v>0</v>
      </c>
      <c r="BQ154" s="69"/>
      <c r="BR154" s="69" t="s">
        <v>382</v>
      </c>
      <c r="BS154" s="69" t="s">
        <v>798</v>
      </c>
      <c r="BT154" s="68">
        <v>0</v>
      </c>
      <c r="BU154" s="68">
        <v>0</v>
      </c>
      <c r="BV154" s="68"/>
      <c r="BW154" s="94">
        <v>0</v>
      </c>
      <c r="BX154" s="94">
        <v>0</v>
      </c>
      <c r="BY154" s="94">
        <v>0</v>
      </c>
      <c r="BZ154" s="94">
        <v>0</v>
      </c>
      <c r="CA154" s="94">
        <v>0</v>
      </c>
      <c r="CB154" s="109">
        <v>0</v>
      </c>
      <c r="CC154" s="109">
        <v>0</v>
      </c>
      <c r="CD154" s="109">
        <v>0</v>
      </c>
      <c r="CE154" s="109">
        <v>0</v>
      </c>
      <c r="CF154" s="108">
        <f>SUM(BT154:CE154)</f>
        <v>0</v>
      </c>
      <c r="CG154" s="108">
        <f>$CF154-$AF154</f>
        <v>-111000000</v>
      </c>
      <c r="CH154" s="37" t="s">
        <v>289</v>
      </c>
      <c r="CI154" s="37" t="s">
        <v>290</v>
      </c>
      <c r="CJ154" s="37" t="s">
        <v>277</v>
      </c>
      <c r="CK154" s="37" t="s">
        <v>290</v>
      </c>
      <c r="CL154" s="37" t="s">
        <v>277</v>
      </c>
      <c r="CM154" s="37" t="s">
        <v>277</v>
      </c>
      <c r="CN154" s="37" t="s">
        <v>290</v>
      </c>
      <c r="CO154" s="37" t="s">
        <v>739</v>
      </c>
      <c r="CP154" s="41">
        <v>45261</v>
      </c>
      <c r="CQ154" s="41">
        <v>46113</v>
      </c>
      <c r="CR154" s="37" t="s">
        <v>293</v>
      </c>
      <c r="CS154" s="37" t="s">
        <v>294</v>
      </c>
      <c r="CT154" s="37" t="s">
        <v>295</v>
      </c>
      <c r="CU154" s="37" t="s">
        <v>341</v>
      </c>
      <c r="CV154" s="37" t="s">
        <v>382</v>
      </c>
      <c r="CW154" s="37" t="s">
        <v>1388</v>
      </c>
      <c r="CX154" s="37" t="s">
        <v>1389</v>
      </c>
      <c r="CY154" s="37">
        <v>2900000000</v>
      </c>
      <c r="CZ154" s="123">
        <v>45231</v>
      </c>
      <c r="DA154" s="123">
        <v>45292</v>
      </c>
      <c r="DB154" s="37" t="s">
        <v>277</v>
      </c>
      <c r="DC154" s="37" t="s">
        <v>1390</v>
      </c>
      <c r="DD154" s="68">
        <v>0</v>
      </c>
      <c r="DE154" s="68">
        <v>111000000</v>
      </c>
      <c r="DF154" s="68">
        <v>0</v>
      </c>
      <c r="DG154" s="68">
        <v>0</v>
      </c>
      <c r="DH154" s="68">
        <v>0</v>
      </c>
      <c r="DI154" s="68">
        <v>0</v>
      </c>
      <c r="DJ154" s="68">
        <v>0</v>
      </c>
      <c r="DK154" s="68">
        <v>0</v>
      </c>
      <c r="DL154" s="68">
        <v>0</v>
      </c>
      <c r="DM154" s="68">
        <v>0</v>
      </c>
      <c r="DN154" s="68">
        <v>0</v>
      </c>
      <c r="DO154" s="68">
        <v>0</v>
      </c>
      <c r="DP154" s="68">
        <f>SUM(DD154:DO154)</f>
        <v>111000000</v>
      </c>
      <c r="DQ154" s="68">
        <f>DP154-AB154</f>
        <v>0</v>
      </c>
      <c r="DR154" s="68">
        <f>$DD154</f>
        <v>0</v>
      </c>
      <c r="DS154" s="68">
        <f>DR154+DE154</f>
        <v>111000000</v>
      </c>
      <c r="DT154" s="68">
        <f>DS154+DF154</f>
        <v>111000000</v>
      </c>
      <c r="DU154" s="68">
        <f>DT154+DG154</f>
        <v>111000000</v>
      </c>
      <c r="DV154" s="68">
        <f>DU154+DH154</f>
        <v>111000000</v>
      </c>
      <c r="DW154" s="68">
        <f>DV154+DI154</f>
        <v>111000000</v>
      </c>
      <c r="DX154" s="68">
        <f>DW154+DJ154</f>
        <v>111000000</v>
      </c>
      <c r="DY154" s="68">
        <f>DX154+DK154</f>
        <v>111000000</v>
      </c>
      <c r="DZ154" s="68">
        <f>DY154+DL154</f>
        <v>111000000</v>
      </c>
      <c r="EA154" s="68">
        <f>DZ154+DM154</f>
        <v>111000000</v>
      </c>
      <c r="EB154" s="68">
        <f>EA154+DN154</f>
        <v>111000000</v>
      </c>
      <c r="EC154" s="68">
        <f>EB154+DO154</f>
        <v>111000000</v>
      </c>
      <c r="ED154" s="68">
        <f>$EC154-$AB154</f>
        <v>0</v>
      </c>
    </row>
    <row r="155" spans="1:134" ht="45">
      <c r="A155" s="74"/>
      <c r="B155" s="50">
        <v>38</v>
      </c>
      <c r="C155" s="50" t="s">
        <v>269</v>
      </c>
      <c r="D155" s="50" t="s">
        <v>297</v>
      </c>
      <c r="E155" s="50"/>
      <c r="F155" s="50" t="s">
        <v>272</v>
      </c>
      <c r="G155" s="50" t="s">
        <v>273</v>
      </c>
      <c r="H155" s="37" t="s">
        <v>151</v>
      </c>
      <c r="I155" s="37" t="s">
        <v>546</v>
      </c>
      <c r="J155" s="37" t="s">
        <v>621</v>
      </c>
      <c r="K155" s="50" t="s">
        <v>3</v>
      </c>
      <c r="L155" s="50" t="s">
        <v>14</v>
      </c>
      <c r="M155" s="50" t="s">
        <v>16</v>
      </c>
      <c r="N155" s="50" t="s">
        <v>276</v>
      </c>
      <c r="O155" s="37" t="s">
        <v>3</v>
      </c>
      <c r="P155" s="37" t="s">
        <v>14</v>
      </c>
      <c r="Q155" s="37" t="s">
        <v>16</v>
      </c>
      <c r="R155" s="37" t="s">
        <v>276</v>
      </c>
      <c r="S155" s="50" t="s">
        <v>1391</v>
      </c>
      <c r="T155" s="50" t="s">
        <v>1392</v>
      </c>
      <c r="U155" s="50" t="s">
        <v>1393</v>
      </c>
      <c r="V155" s="56" t="s">
        <v>1394</v>
      </c>
      <c r="W155" s="56" t="s">
        <v>1394</v>
      </c>
      <c r="X155" s="38" t="s">
        <v>1394</v>
      </c>
      <c r="Y155" s="60">
        <v>9800000000</v>
      </c>
      <c r="Z155" s="60">
        <v>108889000</v>
      </c>
      <c r="AA155" s="60"/>
      <c r="AB155" s="60">
        <f>Z155+AA155</f>
        <v>108889000</v>
      </c>
      <c r="AC155" s="61"/>
      <c r="AD155" s="61"/>
      <c r="AE155" s="111">
        <v>9800000000</v>
      </c>
      <c r="AF155" s="96">
        <v>108889000</v>
      </c>
      <c r="AG155" s="108">
        <f>$AR155+$AZ155+$BQ155+$BT155+$BU155+$BV155</f>
        <v>0</v>
      </c>
      <c r="AH155" s="121">
        <f>AF155-AG155</f>
        <v>108889000</v>
      </c>
      <c r="AI155" s="39" t="s">
        <v>1395</v>
      </c>
      <c r="AJ155" s="198"/>
      <c r="AK155" s="198"/>
      <c r="AL155" s="42"/>
      <c r="AM155" s="68"/>
      <c r="AN155" s="68"/>
      <c r="AO155" s="68"/>
      <c r="AP155" s="68"/>
      <c r="AQ155" s="68">
        <v>0</v>
      </c>
      <c r="AR155" s="68">
        <v>0</v>
      </c>
      <c r="AS155" s="68" t="s">
        <v>307</v>
      </c>
      <c r="AT155" s="68"/>
      <c r="AU155" s="69" t="s">
        <v>277</v>
      </c>
      <c r="AV155" s="69" t="s">
        <v>277</v>
      </c>
      <c r="AW155" s="69" t="s">
        <v>277</v>
      </c>
      <c r="AX155" s="69"/>
      <c r="AY155" s="68">
        <v>0</v>
      </c>
      <c r="AZ155" s="68">
        <v>0</v>
      </c>
      <c r="BA155" s="68" t="s">
        <v>307</v>
      </c>
      <c r="BB155" s="68"/>
      <c r="BC155" s="69" t="s">
        <v>277</v>
      </c>
      <c r="BD155" s="69" t="s">
        <v>277</v>
      </c>
      <c r="BE155" s="56" t="s">
        <v>277</v>
      </c>
      <c r="BF155" s="56" t="s">
        <v>277</v>
      </c>
      <c r="BG155" s="56" t="s">
        <v>277</v>
      </c>
      <c r="BH155" s="56" t="s">
        <v>277</v>
      </c>
      <c r="BI155" s="69">
        <v>0</v>
      </c>
      <c r="BJ155" s="69">
        <v>0</v>
      </c>
      <c r="BK155" s="69">
        <v>0</v>
      </c>
      <c r="BL155" s="69">
        <v>0</v>
      </c>
      <c r="BM155" s="69">
        <v>0</v>
      </c>
      <c r="BN155" s="69">
        <v>0</v>
      </c>
      <c r="BO155" s="69">
        <v>0</v>
      </c>
      <c r="BP155" s="69">
        <v>0</v>
      </c>
      <c r="BQ155" s="69"/>
      <c r="BR155" s="69" t="s">
        <v>156</v>
      </c>
      <c r="BS155" s="69" t="s">
        <v>1396</v>
      </c>
      <c r="BT155" s="68">
        <v>0</v>
      </c>
      <c r="BU155" s="68">
        <v>0</v>
      </c>
      <c r="BV155" s="68">
        <v>0</v>
      </c>
      <c r="BW155" s="94">
        <v>0</v>
      </c>
      <c r="BX155" s="94">
        <v>0</v>
      </c>
      <c r="BY155" s="94">
        <v>0</v>
      </c>
      <c r="BZ155" s="94">
        <v>0</v>
      </c>
      <c r="CA155" s="94">
        <v>0</v>
      </c>
      <c r="CB155" s="96">
        <v>108889000</v>
      </c>
      <c r="CC155" s="94">
        <v>0</v>
      </c>
      <c r="CD155" s="94">
        <v>0</v>
      </c>
      <c r="CE155" s="94">
        <v>0</v>
      </c>
      <c r="CF155" s="108">
        <f>SUM(BT155:CE155)</f>
        <v>108889000</v>
      </c>
      <c r="CG155" s="108">
        <f>$CF155-$AF155</f>
        <v>0</v>
      </c>
      <c r="CH155" s="37" t="s">
        <v>289</v>
      </c>
      <c r="CI155" s="37" t="s">
        <v>290</v>
      </c>
      <c r="CJ155" s="37" t="s">
        <v>277</v>
      </c>
      <c r="CK155" s="37" t="s">
        <v>290</v>
      </c>
      <c r="CL155" s="37" t="s">
        <v>277</v>
      </c>
      <c r="CM155" s="37" t="s">
        <v>277</v>
      </c>
      <c r="CN155" s="37" t="s">
        <v>290</v>
      </c>
      <c r="CO155" s="37" t="s">
        <v>732</v>
      </c>
      <c r="CP155" s="41">
        <v>46023</v>
      </c>
      <c r="CQ155" s="41">
        <v>46387</v>
      </c>
      <c r="CR155" s="37" t="s">
        <v>293</v>
      </c>
      <c r="CS155" s="37" t="s">
        <v>322</v>
      </c>
      <c r="CT155" s="37" t="s">
        <v>295</v>
      </c>
      <c r="CU155" s="37" t="s">
        <v>341</v>
      </c>
      <c r="CV155" s="37" t="s">
        <v>382</v>
      </c>
      <c r="CW155" s="37" t="s">
        <v>1397</v>
      </c>
      <c r="CX155" s="37" t="s">
        <v>1394</v>
      </c>
      <c r="CY155" s="37">
        <v>9800000000</v>
      </c>
      <c r="CZ155" s="123">
        <v>44136</v>
      </c>
      <c r="DA155" s="123">
        <v>45231</v>
      </c>
      <c r="DB155" s="37" t="s">
        <v>277</v>
      </c>
      <c r="DC155" s="37" t="s">
        <v>1398</v>
      </c>
      <c r="DD155" s="68">
        <v>0</v>
      </c>
      <c r="DE155" s="68">
        <v>108889000</v>
      </c>
      <c r="DF155" s="68">
        <v>0</v>
      </c>
      <c r="DG155" s="68">
        <v>0</v>
      </c>
      <c r="DH155" s="68">
        <v>0</v>
      </c>
      <c r="DI155" s="68">
        <v>0</v>
      </c>
      <c r="DJ155" s="68">
        <v>0</v>
      </c>
      <c r="DK155" s="68">
        <v>0</v>
      </c>
      <c r="DL155" s="68">
        <v>0</v>
      </c>
      <c r="DM155" s="68">
        <v>0</v>
      </c>
      <c r="DN155" s="68">
        <v>0</v>
      </c>
      <c r="DO155" s="68">
        <v>0</v>
      </c>
      <c r="DP155" s="68">
        <f>SUM(DD155:DO155)</f>
        <v>108889000</v>
      </c>
      <c r="DQ155" s="68">
        <f>DP155-AB155</f>
        <v>0</v>
      </c>
      <c r="DR155" s="68">
        <f>$DD155</f>
        <v>0</v>
      </c>
      <c r="DS155" s="68">
        <f>DR155+DE155</f>
        <v>108889000</v>
      </c>
      <c r="DT155" s="68">
        <f>DS155+DF155</f>
        <v>108889000</v>
      </c>
      <c r="DU155" s="68">
        <f>DT155+DG155</f>
        <v>108889000</v>
      </c>
      <c r="DV155" s="68">
        <f>DU155+DH155</f>
        <v>108889000</v>
      </c>
      <c r="DW155" s="68">
        <f>DV155+DI155</f>
        <v>108889000</v>
      </c>
      <c r="DX155" s="68">
        <f>DW155+DJ155</f>
        <v>108889000</v>
      </c>
      <c r="DY155" s="68">
        <f>DX155+DK155</f>
        <v>108889000</v>
      </c>
      <c r="DZ155" s="68">
        <f>DY155+DL155</f>
        <v>108889000</v>
      </c>
      <c r="EA155" s="68">
        <f>DZ155+DM155</f>
        <v>108889000</v>
      </c>
      <c r="EB155" s="68">
        <f>EA155+DN155</f>
        <v>108889000</v>
      </c>
      <c r="EC155" s="68">
        <f>EB155+DO155</f>
        <v>108889000</v>
      </c>
      <c r="ED155" s="68">
        <f>$EC155-$AB155</f>
        <v>0</v>
      </c>
    </row>
    <row r="156" spans="1:134" ht="45">
      <c r="A156" s="74"/>
      <c r="B156" s="50">
        <v>73</v>
      </c>
      <c r="C156" s="50" t="s">
        <v>269</v>
      </c>
      <c r="D156" s="50" t="s">
        <v>297</v>
      </c>
      <c r="E156" s="50"/>
      <c r="F156" s="50" t="s">
        <v>272</v>
      </c>
      <c r="G156" s="50" t="s">
        <v>273</v>
      </c>
      <c r="H156" s="37" t="s">
        <v>151</v>
      </c>
      <c r="I156" s="37" t="s">
        <v>604</v>
      </c>
      <c r="J156" s="37" t="s">
        <v>852</v>
      </c>
      <c r="K156" s="50" t="s">
        <v>3</v>
      </c>
      <c r="L156" s="50" t="s">
        <v>14</v>
      </c>
      <c r="M156" s="50" t="s">
        <v>16</v>
      </c>
      <c r="N156" s="50" t="s">
        <v>276</v>
      </c>
      <c r="O156" s="37" t="s">
        <v>3</v>
      </c>
      <c r="P156" s="37" t="s">
        <v>14</v>
      </c>
      <c r="Q156" s="37" t="s">
        <v>16</v>
      </c>
      <c r="R156" s="37" t="s">
        <v>276</v>
      </c>
      <c r="S156" s="50" t="s">
        <v>1399</v>
      </c>
      <c r="T156" s="50" t="s">
        <v>1400</v>
      </c>
      <c r="U156" s="50" t="s">
        <v>1401</v>
      </c>
      <c r="V156" s="56" t="s">
        <v>1402</v>
      </c>
      <c r="W156" s="56" t="s">
        <v>1402</v>
      </c>
      <c r="X156" s="38" t="s">
        <v>1402</v>
      </c>
      <c r="Y156" s="60">
        <v>25750000000</v>
      </c>
      <c r="Z156" s="60">
        <v>429166664</v>
      </c>
      <c r="AA156" s="60"/>
      <c r="AB156" s="60">
        <f>Z156+AA156</f>
        <v>429166664</v>
      </c>
      <c r="AC156" s="61"/>
      <c r="AD156" s="61"/>
      <c r="AE156" s="109">
        <v>25750000000</v>
      </c>
      <c r="AF156" s="109">
        <v>107291674</v>
      </c>
      <c r="AG156" s="108">
        <f>$AR156+$AZ156+$BQ156+$BT156+$BU156+$BV156</f>
        <v>0</v>
      </c>
      <c r="AH156" s="121">
        <f>AF156-AG156</f>
        <v>107291674</v>
      </c>
      <c r="AI156" s="39" t="s">
        <v>1403</v>
      </c>
      <c r="AJ156" s="200"/>
      <c r="AK156" s="200"/>
      <c r="AL156" s="39"/>
      <c r="AM156" s="68"/>
      <c r="AN156" s="68"/>
      <c r="AO156" s="68"/>
      <c r="AP156" s="68"/>
      <c r="AQ156" s="68">
        <v>0</v>
      </c>
      <c r="AR156" s="68">
        <v>0</v>
      </c>
      <c r="AS156" s="68" t="s">
        <v>307</v>
      </c>
      <c r="AT156" s="68"/>
      <c r="AU156" s="69" t="s">
        <v>277</v>
      </c>
      <c r="AV156" s="69" t="s">
        <v>277</v>
      </c>
      <c r="AW156" s="69" t="s">
        <v>277</v>
      </c>
      <c r="AX156" s="69"/>
      <c r="AY156" s="68">
        <v>0</v>
      </c>
      <c r="AZ156" s="68">
        <v>0</v>
      </c>
      <c r="BA156" s="68" t="s">
        <v>307</v>
      </c>
      <c r="BB156" s="68"/>
      <c r="BC156" s="69" t="s">
        <v>277</v>
      </c>
      <c r="BD156" s="69" t="s">
        <v>277</v>
      </c>
      <c r="BE156" s="56" t="s">
        <v>277</v>
      </c>
      <c r="BF156" s="56" t="s">
        <v>277</v>
      </c>
      <c r="BG156" s="56" t="s">
        <v>277</v>
      </c>
      <c r="BH156" s="56" t="s">
        <v>277</v>
      </c>
      <c r="BI156" s="69">
        <v>0</v>
      </c>
      <c r="BJ156" s="69">
        <v>0</v>
      </c>
      <c r="BK156" s="69">
        <v>0</v>
      </c>
      <c r="BL156" s="69">
        <v>0</v>
      </c>
      <c r="BM156" s="69">
        <v>0</v>
      </c>
      <c r="BN156" s="69">
        <v>0</v>
      </c>
      <c r="BO156" s="69">
        <v>0</v>
      </c>
      <c r="BP156" s="69">
        <v>0</v>
      </c>
      <c r="BQ156" s="69"/>
      <c r="BR156" s="69" t="s">
        <v>382</v>
      </c>
      <c r="BS156" s="69" t="s">
        <v>1404</v>
      </c>
      <c r="BT156" s="68">
        <v>0</v>
      </c>
      <c r="BU156" s="68">
        <v>0</v>
      </c>
      <c r="BV156" s="68">
        <v>0</v>
      </c>
      <c r="BW156" s="94">
        <v>0</v>
      </c>
      <c r="BX156" s="107">
        <v>107291674</v>
      </c>
      <c r="BY156" s="94">
        <v>0</v>
      </c>
      <c r="BZ156" s="94">
        <v>0</v>
      </c>
      <c r="CA156" s="94">
        <v>0</v>
      </c>
      <c r="CB156" s="94">
        <v>0</v>
      </c>
      <c r="CC156" s="94">
        <v>0</v>
      </c>
      <c r="CD156" s="94">
        <v>0</v>
      </c>
      <c r="CE156" s="94">
        <v>0</v>
      </c>
      <c r="CF156" s="108">
        <f>SUM(BT156:CE156)</f>
        <v>107291674</v>
      </c>
      <c r="CG156" s="108">
        <f>$CF156-$AF156</f>
        <v>0</v>
      </c>
      <c r="CH156" s="37" t="s">
        <v>289</v>
      </c>
      <c r="CI156" s="37" t="s">
        <v>290</v>
      </c>
      <c r="CJ156" s="37" t="s">
        <v>277</v>
      </c>
      <c r="CK156" s="37" t="s">
        <v>290</v>
      </c>
      <c r="CL156" s="37" t="s">
        <v>277</v>
      </c>
      <c r="CM156" s="37" t="s">
        <v>277</v>
      </c>
      <c r="CN156" s="37" t="s">
        <v>290</v>
      </c>
      <c r="CO156" s="37" t="s">
        <v>902</v>
      </c>
      <c r="CP156" s="41">
        <v>46023</v>
      </c>
      <c r="CQ156" s="41">
        <v>46387</v>
      </c>
      <c r="CR156" s="37" t="s">
        <v>293</v>
      </c>
      <c r="CS156" s="37" t="s">
        <v>322</v>
      </c>
      <c r="CT156" s="37" t="s">
        <v>295</v>
      </c>
      <c r="CU156" s="37" t="s">
        <v>341</v>
      </c>
      <c r="CV156" s="37" t="s">
        <v>382</v>
      </c>
      <c r="CW156" s="37">
        <v>4200003525</v>
      </c>
      <c r="CX156" s="37" t="s">
        <v>1402</v>
      </c>
      <c r="CY156" s="37">
        <v>25750000000</v>
      </c>
      <c r="CZ156" s="123">
        <v>45261</v>
      </c>
      <c r="DA156" s="123">
        <v>46357</v>
      </c>
      <c r="DB156" s="37" t="s">
        <v>277</v>
      </c>
      <c r="DC156" s="37" t="s">
        <v>388</v>
      </c>
      <c r="DD156" s="68">
        <v>0</v>
      </c>
      <c r="DE156" s="68">
        <v>429166664</v>
      </c>
      <c r="DF156" s="68">
        <v>0</v>
      </c>
      <c r="DG156" s="68">
        <v>0</v>
      </c>
      <c r="DH156" s="68">
        <v>0</v>
      </c>
      <c r="DI156" s="68">
        <v>0</v>
      </c>
      <c r="DJ156" s="68">
        <v>0</v>
      </c>
      <c r="DK156" s="68">
        <v>0</v>
      </c>
      <c r="DL156" s="68">
        <v>0</v>
      </c>
      <c r="DM156" s="68">
        <v>0</v>
      </c>
      <c r="DN156" s="68">
        <v>0</v>
      </c>
      <c r="DO156" s="68">
        <v>0</v>
      </c>
      <c r="DP156" s="68">
        <f>SUM(DD156:DO156)</f>
        <v>429166664</v>
      </c>
      <c r="DQ156" s="68">
        <f>DP156-AB156</f>
        <v>0</v>
      </c>
      <c r="DR156" s="68">
        <f>$DD156</f>
        <v>0</v>
      </c>
      <c r="DS156" s="68">
        <f>DR156+DE156</f>
        <v>429166664</v>
      </c>
      <c r="DT156" s="68">
        <f>DS156+DF156</f>
        <v>429166664</v>
      </c>
      <c r="DU156" s="68">
        <f>DT156+DG156</f>
        <v>429166664</v>
      </c>
      <c r="DV156" s="68">
        <f>DU156+DH156</f>
        <v>429166664</v>
      </c>
      <c r="DW156" s="68">
        <f>DV156+DI156</f>
        <v>429166664</v>
      </c>
      <c r="DX156" s="68">
        <f>DW156+DJ156</f>
        <v>429166664</v>
      </c>
      <c r="DY156" s="68">
        <f>DX156+DK156</f>
        <v>429166664</v>
      </c>
      <c r="DZ156" s="68">
        <f>DY156+DL156</f>
        <v>429166664</v>
      </c>
      <c r="EA156" s="68">
        <f>DZ156+DM156</f>
        <v>429166664</v>
      </c>
      <c r="EB156" s="68">
        <f>EA156+DN156</f>
        <v>429166664</v>
      </c>
      <c r="EC156" s="68">
        <f>EB156+DO156</f>
        <v>429166664</v>
      </c>
      <c r="ED156" s="68">
        <f>$EC156-$AB156</f>
        <v>0</v>
      </c>
    </row>
    <row r="157" spans="1:134" ht="45">
      <c r="A157" s="74"/>
      <c r="B157" s="50">
        <v>26</v>
      </c>
      <c r="C157" s="50" t="s">
        <v>269</v>
      </c>
      <c r="D157" s="50" t="s">
        <v>297</v>
      </c>
      <c r="E157" s="50"/>
      <c r="F157" s="50" t="s">
        <v>272</v>
      </c>
      <c r="G157" s="50" t="s">
        <v>273</v>
      </c>
      <c r="H157" s="37" t="s">
        <v>151</v>
      </c>
      <c r="I157" s="37" t="s">
        <v>702</v>
      </c>
      <c r="J157" s="37" t="s">
        <v>1405</v>
      </c>
      <c r="K157" s="50" t="s">
        <v>3</v>
      </c>
      <c r="L157" s="50" t="s">
        <v>14</v>
      </c>
      <c r="M157" s="50" t="s">
        <v>16</v>
      </c>
      <c r="N157" s="50" t="s">
        <v>276</v>
      </c>
      <c r="O157" s="37" t="s">
        <v>3</v>
      </c>
      <c r="P157" s="37" t="s">
        <v>14</v>
      </c>
      <c r="Q157" s="37" t="s">
        <v>16</v>
      </c>
      <c r="R157" s="37" t="s">
        <v>276</v>
      </c>
      <c r="S157" s="50" t="s">
        <v>1406</v>
      </c>
      <c r="T157" s="50" t="s">
        <v>1407</v>
      </c>
      <c r="U157" s="50" t="s">
        <v>1408</v>
      </c>
      <c r="V157" s="56" t="s">
        <v>1409</v>
      </c>
      <c r="W157" s="56" t="s">
        <v>1409</v>
      </c>
      <c r="X157" s="38" t="s">
        <v>1409</v>
      </c>
      <c r="Y157" s="60">
        <v>4867350000</v>
      </c>
      <c r="Z157" s="60">
        <v>498112500</v>
      </c>
      <c r="AA157" s="60"/>
      <c r="AB157" s="60">
        <f>Z157+AA157</f>
        <v>498112500</v>
      </c>
      <c r="AC157" s="61"/>
      <c r="AD157" s="61"/>
      <c r="AE157" s="109">
        <v>4867350000</v>
      </c>
      <c r="AF157" s="109">
        <v>99622500</v>
      </c>
      <c r="AG157" s="108">
        <f>$AR157+$AZ157+$BQ157+$BT157+$BU157+$BV157</f>
        <v>0</v>
      </c>
      <c r="AH157" s="121">
        <f>AF157-AG157</f>
        <v>99622500</v>
      </c>
      <c r="AI157" s="39" t="s">
        <v>1410</v>
      </c>
      <c r="AJ157" s="198"/>
      <c r="AK157" s="198"/>
      <c r="AL157" s="42"/>
      <c r="AM157" s="68"/>
      <c r="AN157" s="68"/>
      <c r="AO157" s="68"/>
      <c r="AP157" s="68"/>
      <c r="AQ157" s="68">
        <v>0</v>
      </c>
      <c r="AR157" s="68">
        <v>0</v>
      </c>
      <c r="AS157" s="68" t="s">
        <v>307</v>
      </c>
      <c r="AT157" s="68"/>
      <c r="AU157" s="69" t="s">
        <v>277</v>
      </c>
      <c r="AV157" s="69" t="s">
        <v>277</v>
      </c>
      <c r="AW157" s="69" t="s">
        <v>277</v>
      </c>
      <c r="AX157" s="69"/>
      <c r="AY157" s="68">
        <v>0</v>
      </c>
      <c r="AZ157" s="68">
        <v>0</v>
      </c>
      <c r="BA157" s="68" t="s">
        <v>307</v>
      </c>
      <c r="BB157" s="68"/>
      <c r="BC157" s="69" t="s">
        <v>1329</v>
      </c>
      <c r="BD157" s="69" t="s">
        <v>277</v>
      </c>
      <c r="BE157" s="56" t="s">
        <v>277</v>
      </c>
      <c r="BF157" s="56" t="s">
        <v>277</v>
      </c>
      <c r="BG157" s="56" t="s">
        <v>277</v>
      </c>
      <c r="BH157" s="56" t="s">
        <v>277</v>
      </c>
      <c r="BI157" s="69">
        <v>0</v>
      </c>
      <c r="BJ157" s="69">
        <v>0</v>
      </c>
      <c r="BK157" s="69">
        <v>0</v>
      </c>
      <c r="BL157" s="69">
        <v>0</v>
      </c>
      <c r="BM157" s="69">
        <v>0</v>
      </c>
      <c r="BN157" s="69">
        <v>0</v>
      </c>
      <c r="BO157" s="69">
        <v>0</v>
      </c>
      <c r="BP157" s="69">
        <v>0</v>
      </c>
      <c r="BQ157" s="69"/>
      <c r="BR157" s="69" t="s">
        <v>382</v>
      </c>
      <c r="BS157" s="69" t="s">
        <v>798</v>
      </c>
      <c r="BT157" s="68">
        <v>0</v>
      </c>
      <c r="BU157" s="68">
        <v>0</v>
      </c>
      <c r="BV157" s="68">
        <v>0</v>
      </c>
      <c r="BW157" s="94">
        <v>0</v>
      </c>
      <c r="BX157" s="94">
        <v>0</v>
      </c>
      <c r="BY157" s="94">
        <v>0</v>
      </c>
      <c r="BZ157" s="107">
        <v>99622500</v>
      </c>
      <c r="CA157" s="94">
        <v>0</v>
      </c>
      <c r="CB157" s="94">
        <v>0</v>
      </c>
      <c r="CC157" s="94">
        <v>0</v>
      </c>
      <c r="CD157" s="94">
        <v>0</v>
      </c>
      <c r="CE157" s="94">
        <v>0</v>
      </c>
      <c r="CF157" s="108">
        <f>SUM(BT157:CE157)</f>
        <v>99622500</v>
      </c>
      <c r="CG157" s="108">
        <f>$CF157-$AF157</f>
        <v>0</v>
      </c>
      <c r="CH157" s="37" t="s">
        <v>289</v>
      </c>
      <c r="CI157" s="37" t="s">
        <v>290</v>
      </c>
      <c r="CJ157" s="37" t="s">
        <v>277</v>
      </c>
      <c r="CK157" s="37" t="s">
        <v>290</v>
      </c>
      <c r="CL157" s="37" t="s">
        <v>277</v>
      </c>
      <c r="CM157" s="37" t="s">
        <v>277</v>
      </c>
      <c r="CN157" s="37" t="s">
        <v>290</v>
      </c>
      <c r="CO157" s="37" t="s">
        <v>497</v>
      </c>
      <c r="CP157" s="41">
        <v>46023</v>
      </c>
      <c r="CQ157" s="41">
        <v>46387</v>
      </c>
      <c r="CR157" s="37" t="s">
        <v>293</v>
      </c>
      <c r="CS157" s="37" t="s">
        <v>294</v>
      </c>
      <c r="CT157" s="37" t="s">
        <v>295</v>
      </c>
      <c r="CU157" s="37" t="s">
        <v>341</v>
      </c>
      <c r="CV157" s="37" t="s">
        <v>382</v>
      </c>
      <c r="CW157" s="172">
        <v>4200003155</v>
      </c>
      <c r="CX157" s="172" t="s">
        <v>1409</v>
      </c>
      <c r="CY157" s="172">
        <v>4867350000</v>
      </c>
      <c r="CZ157" s="173">
        <v>45170</v>
      </c>
      <c r="DA157" s="173">
        <v>46631</v>
      </c>
      <c r="DB157" s="172" t="s">
        <v>277</v>
      </c>
      <c r="DC157" s="172" t="s">
        <v>987</v>
      </c>
      <c r="DD157" s="68">
        <v>0</v>
      </c>
      <c r="DE157" s="68">
        <v>498112500</v>
      </c>
      <c r="DF157" s="68">
        <v>0</v>
      </c>
      <c r="DG157" s="68">
        <v>0</v>
      </c>
      <c r="DH157" s="68">
        <v>0</v>
      </c>
      <c r="DI157" s="68">
        <v>0</v>
      </c>
      <c r="DJ157" s="68">
        <v>0</v>
      </c>
      <c r="DK157" s="68">
        <v>0</v>
      </c>
      <c r="DL157" s="68">
        <v>0</v>
      </c>
      <c r="DM157" s="68">
        <v>0</v>
      </c>
      <c r="DN157" s="68">
        <v>0</v>
      </c>
      <c r="DO157" s="68">
        <v>0</v>
      </c>
      <c r="DP157" s="68">
        <f>SUM(DD157:DO157)</f>
        <v>498112500</v>
      </c>
      <c r="DQ157" s="68">
        <f>DP157-AB157</f>
        <v>0</v>
      </c>
      <c r="DR157" s="68">
        <f>$DD157</f>
        <v>0</v>
      </c>
      <c r="DS157" s="68">
        <f>DR157+DE157</f>
        <v>498112500</v>
      </c>
      <c r="DT157" s="68">
        <f>DS157+DF157</f>
        <v>498112500</v>
      </c>
      <c r="DU157" s="68">
        <f>DT157+DG157</f>
        <v>498112500</v>
      </c>
      <c r="DV157" s="68">
        <f>DU157+DH157</f>
        <v>498112500</v>
      </c>
      <c r="DW157" s="68">
        <f>DV157+DI157</f>
        <v>498112500</v>
      </c>
      <c r="DX157" s="68">
        <f>DW157+DJ157</f>
        <v>498112500</v>
      </c>
      <c r="DY157" s="68">
        <f>DX157+DK157</f>
        <v>498112500</v>
      </c>
      <c r="DZ157" s="68">
        <f>DY157+DL157</f>
        <v>498112500</v>
      </c>
      <c r="EA157" s="68">
        <f>DZ157+DM157</f>
        <v>498112500</v>
      </c>
      <c r="EB157" s="68">
        <f>EA157+DN157</f>
        <v>498112500</v>
      </c>
      <c r="EC157" s="68">
        <f>EB157+DO157</f>
        <v>498112500</v>
      </c>
      <c r="ED157" s="68">
        <f>$EC157-$AB157</f>
        <v>0</v>
      </c>
    </row>
    <row r="158" spans="1:134">
      <c r="A158" s="74"/>
      <c r="B158" s="50">
        <v>37</v>
      </c>
      <c r="C158" s="50" t="s">
        <v>269</v>
      </c>
      <c r="D158" s="50" t="s">
        <v>297</v>
      </c>
      <c r="E158" s="50"/>
      <c r="F158" s="50" t="s">
        <v>272</v>
      </c>
      <c r="G158" s="50" t="s">
        <v>273</v>
      </c>
      <c r="H158" s="37" t="s">
        <v>151</v>
      </c>
      <c r="I158" s="37" t="s">
        <v>1009</v>
      </c>
      <c r="J158" s="37" t="s">
        <v>694</v>
      </c>
      <c r="K158" s="50" t="s">
        <v>3</v>
      </c>
      <c r="L158" s="50" t="s">
        <v>14</v>
      </c>
      <c r="M158" s="50" t="s">
        <v>16</v>
      </c>
      <c r="N158" s="50" t="s">
        <v>276</v>
      </c>
      <c r="O158" s="37" t="s">
        <v>3</v>
      </c>
      <c r="P158" s="37" t="s">
        <v>14</v>
      </c>
      <c r="Q158" s="37" t="s">
        <v>16</v>
      </c>
      <c r="R158" s="37" t="s">
        <v>276</v>
      </c>
      <c r="S158" s="50" t="s">
        <v>277</v>
      </c>
      <c r="T158" s="50" t="s">
        <v>1411</v>
      </c>
      <c r="U158" s="50" t="s">
        <v>1412</v>
      </c>
      <c r="V158" s="56" t="s">
        <v>451</v>
      </c>
      <c r="W158" s="56" t="s">
        <v>451</v>
      </c>
      <c r="X158" s="38" t="s">
        <v>451</v>
      </c>
      <c r="Y158" s="60">
        <v>4000000000</v>
      </c>
      <c r="Z158" s="60">
        <v>0</v>
      </c>
      <c r="AA158" s="60"/>
      <c r="AB158" s="60">
        <f>Z158+AA158</f>
        <v>0</v>
      </c>
      <c r="AC158" s="61"/>
      <c r="AD158" s="61"/>
      <c r="AE158" s="107">
        <v>4000000000</v>
      </c>
      <c r="AF158" s="109">
        <v>94499185</v>
      </c>
      <c r="AG158" s="108">
        <f>$AR158+$AZ158+$BQ158+$BT158+$BU158+$BV158</f>
        <v>0</v>
      </c>
      <c r="AH158" s="121">
        <f>AF158-AG158</f>
        <v>94499185</v>
      </c>
      <c r="AI158" s="39" t="s">
        <v>1413</v>
      </c>
      <c r="AJ158" s="198"/>
      <c r="AK158" s="198"/>
      <c r="AL158" s="42"/>
      <c r="AM158" s="68"/>
      <c r="AN158" s="68"/>
      <c r="AO158" s="68"/>
      <c r="AP158" s="68"/>
      <c r="AQ158" s="68">
        <v>0</v>
      </c>
      <c r="AR158" s="68">
        <v>0</v>
      </c>
      <c r="AS158" s="68" t="s">
        <v>307</v>
      </c>
      <c r="AT158" s="68"/>
      <c r="AU158" s="69" t="s">
        <v>277</v>
      </c>
      <c r="AV158" s="69" t="s">
        <v>277</v>
      </c>
      <c r="AW158" s="69" t="s">
        <v>277</v>
      </c>
      <c r="AX158" s="69"/>
      <c r="AY158" s="68">
        <v>0</v>
      </c>
      <c r="AZ158" s="68">
        <v>0</v>
      </c>
      <c r="BA158" s="68" t="s">
        <v>307</v>
      </c>
      <c r="BB158" s="68"/>
      <c r="BC158" s="69" t="s">
        <v>277</v>
      </c>
      <c r="BD158" s="69" t="s">
        <v>277</v>
      </c>
      <c r="BE158" s="56" t="s">
        <v>277</v>
      </c>
      <c r="BF158" s="56" t="s">
        <v>277</v>
      </c>
      <c r="BG158" s="56" t="s">
        <v>277</v>
      </c>
      <c r="BH158" s="56" t="s">
        <v>277</v>
      </c>
      <c r="BI158" s="69">
        <v>0</v>
      </c>
      <c r="BJ158" s="69">
        <v>0</v>
      </c>
      <c r="BK158" s="69">
        <v>0</v>
      </c>
      <c r="BL158" s="69">
        <v>0</v>
      </c>
      <c r="BM158" s="69">
        <v>0</v>
      </c>
      <c r="BN158" s="69">
        <v>0</v>
      </c>
      <c r="BO158" s="69">
        <v>0</v>
      </c>
      <c r="BP158" s="69">
        <v>0</v>
      </c>
      <c r="BQ158" s="69"/>
      <c r="BR158" s="69" t="s">
        <v>382</v>
      </c>
      <c r="BS158" s="69" t="s">
        <v>1414</v>
      </c>
      <c r="BT158" s="68">
        <v>0</v>
      </c>
      <c r="BU158" s="68">
        <v>0</v>
      </c>
      <c r="BV158" s="68">
        <v>0</v>
      </c>
      <c r="BW158" s="94">
        <v>0</v>
      </c>
      <c r="BX158" s="94">
        <v>0</v>
      </c>
      <c r="BY158" s="94">
        <v>0</v>
      </c>
      <c r="BZ158" s="94">
        <v>94499185</v>
      </c>
      <c r="CA158" s="94">
        <v>0</v>
      </c>
      <c r="CB158" s="132">
        <v>0</v>
      </c>
      <c r="CC158" s="132">
        <v>0</v>
      </c>
      <c r="CD158" s="132">
        <v>0</v>
      </c>
      <c r="CE158" s="132">
        <v>0</v>
      </c>
      <c r="CF158" s="171">
        <f>SUM(BT158:CE158)</f>
        <v>94499185</v>
      </c>
      <c r="CG158" s="108">
        <f>$CF158-$AF158</f>
        <v>0</v>
      </c>
      <c r="CH158" s="37" t="s">
        <v>289</v>
      </c>
      <c r="CI158" s="37" t="s">
        <v>290</v>
      </c>
      <c r="CJ158" s="37" t="s">
        <v>277</v>
      </c>
      <c r="CK158" s="37" t="s">
        <v>290</v>
      </c>
      <c r="CL158" s="37" t="s">
        <v>277</v>
      </c>
      <c r="CM158" s="37" t="s">
        <v>277</v>
      </c>
      <c r="CN158" s="37" t="s">
        <v>290</v>
      </c>
      <c r="CO158" s="172" t="s">
        <v>568</v>
      </c>
      <c r="CP158" s="41">
        <v>46023</v>
      </c>
      <c r="CQ158" s="41">
        <v>46387</v>
      </c>
      <c r="CR158" s="37" t="s">
        <v>293</v>
      </c>
      <c r="CS158" s="37" t="s">
        <v>322</v>
      </c>
      <c r="CT158" s="37" t="s">
        <v>295</v>
      </c>
      <c r="CU158" s="37" t="s">
        <v>296</v>
      </c>
      <c r="CV158" s="37" t="s">
        <v>323</v>
      </c>
      <c r="CW158" s="172">
        <v>4200003962</v>
      </c>
      <c r="CX158" s="172" t="s">
        <v>1415</v>
      </c>
      <c r="CY158" s="172">
        <v>2267980480</v>
      </c>
      <c r="CZ158" s="173">
        <v>45413</v>
      </c>
      <c r="DA158" s="173">
        <v>46508</v>
      </c>
      <c r="DB158" s="172" t="s">
        <v>277</v>
      </c>
      <c r="DC158" s="172" t="s">
        <v>1315</v>
      </c>
      <c r="DD158" s="68">
        <v>0</v>
      </c>
      <c r="DE158" s="68">
        <v>0</v>
      </c>
      <c r="DF158" s="68">
        <v>0</v>
      </c>
      <c r="DG158" s="68">
        <v>0</v>
      </c>
      <c r="DH158" s="68">
        <v>0</v>
      </c>
      <c r="DI158" s="68">
        <v>0</v>
      </c>
      <c r="DJ158" s="68">
        <v>0</v>
      </c>
      <c r="DK158" s="68">
        <v>0</v>
      </c>
      <c r="DL158" s="68">
        <v>0</v>
      </c>
      <c r="DM158" s="68">
        <v>0</v>
      </c>
      <c r="DN158" s="68">
        <v>0</v>
      </c>
      <c r="DO158" s="68">
        <v>0</v>
      </c>
      <c r="DP158" s="68">
        <f>SUM(DD158:DO158)</f>
        <v>0</v>
      </c>
      <c r="DQ158" s="68">
        <f>DP158-AB158</f>
        <v>0</v>
      </c>
      <c r="DR158" s="68">
        <f>$DD158</f>
        <v>0</v>
      </c>
      <c r="DS158" s="68">
        <f>DR158+DE158</f>
        <v>0</v>
      </c>
      <c r="DT158" s="68">
        <f>DS158+DF158</f>
        <v>0</v>
      </c>
      <c r="DU158" s="68">
        <f>DT158+DG158</f>
        <v>0</v>
      </c>
      <c r="DV158" s="68">
        <f>DU158+DH158</f>
        <v>0</v>
      </c>
      <c r="DW158" s="68">
        <f>DV158+DI158</f>
        <v>0</v>
      </c>
      <c r="DX158" s="68">
        <f>DW158+DJ158</f>
        <v>0</v>
      </c>
      <c r="DY158" s="68">
        <f>DX158+DK158</f>
        <v>0</v>
      </c>
      <c r="DZ158" s="68">
        <f>DY158+DL158</f>
        <v>0</v>
      </c>
      <c r="EA158" s="68">
        <f>DZ158+DM158</f>
        <v>0</v>
      </c>
      <c r="EB158" s="68">
        <f>EA158+DN158</f>
        <v>0</v>
      </c>
      <c r="EC158" s="68">
        <f>EB158+DO158</f>
        <v>0</v>
      </c>
      <c r="ED158" s="68">
        <f>$EC158-$AB158</f>
        <v>0</v>
      </c>
    </row>
    <row r="159" spans="1:134" ht="30">
      <c r="A159" s="74"/>
      <c r="B159" s="50">
        <v>118</v>
      </c>
      <c r="C159" s="50" t="s">
        <v>269</v>
      </c>
      <c r="D159" s="50" t="s">
        <v>297</v>
      </c>
      <c r="E159" s="50"/>
      <c r="F159" s="50" t="s">
        <v>272</v>
      </c>
      <c r="G159" s="50" t="s">
        <v>273</v>
      </c>
      <c r="H159" s="37" t="s">
        <v>151</v>
      </c>
      <c r="I159" s="37" t="s">
        <v>424</v>
      </c>
      <c r="J159" s="37" t="s">
        <v>560</v>
      </c>
      <c r="K159" s="50" t="s">
        <v>3</v>
      </c>
      <c r="L159" s="50" t="s">
        <v>14</v>
      </c>
      <c r="M159" s="50" t="s">
        <v>16</v>
      </c>
      <c r="N159" s="50" t="s">
        <v>276</v>
      </c>
      <c r="O159" s="37" t="s">
        <v>3</v>
      </c>
      <c r="P159" s="37" t="s">
        <v>14</v>
      </c>
      <c r="Q159" s="37" t="s">
        <v>16</v>
      </c>
      <c r="R159" s="37" t="s">
        <v>276</v>
      </c>
      <c r="S159" s="50" t="s">
        <v>1416</v>
      </c>
      <c r="T159" s="50" t="s">
        <v>1417</v>
      </c>
      <c r="U159" s="50" t="s">
        <v>1418</v>
      </c>
      <c r="V159" s="56" t="s">
        <v>1419</v>
      </c>
      <c r="W159" s="56" t="s">
        <v>1419</v>
      </c>
      <c r="X159" s="38" t="s">
        <v>1419</v>
      </c>
      <c r="Y159" s="60">
        <v>115000000</v>
      </c>
      <c r="Z159" s="60">
        <v>0</v>
      </c>
      <c r="AA159" s="60"/>
      <c r="AB159" s="60">
        <f>Z159+AA159</f>
        <v>0</v>
      </c>
      <c r="AC159" s="61"/>
      <c r="AD159" s="61"/>
      <c r="AE159" s="109">
        <v>619380000</v>
      </c>
      <c r="AF159" s="109">
        <v>77422500</v>
      </c>
      <c r="AG159" s="108">
        <f>$AR159+$AZ159+$BQ159+$BT159+$BU159+$BV159</f>
        <v>0</v>
      </c>
      <c r="AH159" s="121">
        <f>AF159-AG159</f>
        <v>77422500</v>
      </c>
      <c r="AI159" s="85" t="s">
        <v>1420</v>
      </c>
      <c r="AJ159" s="199"/>
      <c r="AK159" s="199"/>
      <c r="AL159" s="86"/>
      <c r="AM159" s="68"/>
      <c r="AN159" s="68"/>
      <c r="AO159" s="68"/>
      <c r="AP159" s="68"/>
      <c r="AQ159" s="68">
        <v>0</v>
      </c>
      <c r="AR159" s="68">
        <v>0</v>
      </c>
      <c r="AS159" s="68" t="s">
        <v>307</v>
      </c>
      <c r="AT159" s="68"/>
      <c r="AU159" s="69" t="s">
        <v>277</v>
      </c>
      <c r="AV159" s="69" t="s">
        <v>277</v>
      </c>
      <c r="AW159" s="69" t="s">
        <v>277</v>
      </c>
      <c r="AX159" s="69"/>
      <c r="AY159" s="68">
        <v>0</v>
      </c>
      <c r="AZ159" s="68">
        <v>0</v>
      </c>
      <c r="BA159" s="68" t="s">
        <v>307</v>
      </c>
      <c r="BB159" s="68"/>
      <c r="BC159" s="69" t="s">
        <v>797</v>
      </c>
      <c r="BD159" s="69" t="s">
        <v>277</v>
      </c>
      <c r="BE159" s="56" t="s">
        <v>277</v>
      </c>
      <c r="BF159" s="56" t="s">
        <v>277</v>
      </c>
      <c r="BG159" s="56" t="s">
        <v>277</v>
      </c>
      <c r="BH159" s="56" t="s">
        <v>277</v>
      </c>
      <c r="BI159" s="69">
        <v>0</v>
      </c>
      <c r="BJ159" s="69">
        <v>0</v>
      </c>
      <c r="BK159" s="69">
        <v>0</v>
      </c>
      <c r="BL159" s="69">
        <v>0</v>
      </c>
      <c r="BM159" s="69">
        <v>0</v>
      </c>
      <c r="BN159" s="69">
        <v>0</v>
      </c>
      <c r="BO159" s="69">
        <v>0</v>
      </c>
      <c r="BP159" s="69">
        <v>0</v>
      </c>
      <c r="BQ159" s="69"/>
      <c r="BR159" s="69" t="s">
        <v>382</v>
      </c>
      <c r="BS159" s="69" t="s">
        <v>798</v>
      </c>
      <c r="BT159" s="68">
        <v>0</v>
      </c>
      <c r="BU159" s="68">
        <v>0</v>
      </c>
      <c r="BV159" s="68">
        <v>0</v>
      </c>
      <c r="BW159" s="94">
        <v>0</v>
      </c>
      <c r="BX159" s="94">
        <v>0</v>
      </c>
      <c r="BY159" s="94">
        <v>0</v>
      </c>
      <c r="BZ159" s="94">
        <v>0</v>
      </c>
      <c r="CA159" s="94">
        <v>0</v>
      </c>
      <c r="CB159" s="109">
        <v>0</v>
      </c>
      <c r="CC159" s="109">
        <v>77422500</v>
      </c>
      <c r="CD159" s="109">
        <v>0</v>
      </c>
      <c r="CE159" s="109">
        <v>0</v>
      </c>
      <c r="CF159" s="108">
        <f>SUM(BT159:CE159)</f>
        <v>77422500</v>
      </c>
      <c r="CG159" s="108">
        <f>$CF159-$AF159</f>
        <v>0</v>
      </c>
      <c r="CH159" s="37" t="s">
        <v>289</v>
      </c>
      <c r="CI159" s="37" t="s">
        <v>290</v>
      </c>
      <c r="CJ159" s="37" t="s">
        <v>277</v>
      </c>
      <c r="CK159" s="37" t="s">
        <v>290</v>
      </c>
      <c r="CL159" s="37" t="s">
        <v>277</v>
      </c>
      <c r="CM159" s="37" t="s">
        <v>277</v>
      </c>
      <c r="CN159" s="37" t="s">
        <v>290</v>
      </c>
      <c r="CO159" s="37" t="s">
        <v>1421</v>
      </c>
      <c r="CP159" s="41">
        <v>46023</v>
      </c>
      <c r="CQ159" s="41">
        <v>46387</v>
      </c>
      <c r="CR159" s="37" t="s">
        <v>293</v>
      </c>
      <c r="CS159" s="37" t="s">
        <v>322</v>
      </c>
      <c r="CT159" s="37" t="s">
        <v>295</v>
      </c>
      <c r="CU159" s="37" t="s">
        <v>341</v>
      </c>
      <c r="CV159" s="37" t="s">
        <v>382</v>
      </c>
      <c r="CW159" s="37">
        <v>4200002517</v>
      </c>
      <c r="CX159" s="37" t="s">
        <v>1422</v>
      </c>
      <c r="CY159" s="37">
        <v>115000000</v>
      </c>
      <c r="CZ159" s="123">
        <v>44986</v>
      </c>
      <c r="DA159" s="123">
        <v>45017</v>
      </c>
      <c r="DB159" s="37" t="s">
        <v>277</v>
      </c>
      <c r="DC159" s="37" t="s">
        <v>1423</v>
      </c>
      <c r="DD159" s="68">
        <v>0</v>
      </c>
      <c r="DE159" s="68">
        <v>0</v>
      </c>
      <c r="DF159" s="68">
        <v>0</v>
      </c>
      <c r="DG159" s="68">
        <v>0</v>
      </c>
      <c r="DH159" s="68">
        <v>0</v>
      </c>
      <c r="DI159" s="68">
        <v>0</v>
      </c>
      <c r="DJ159" s="68">
        <v>0</v>
      </c>
      <c r="DK159" s="68">
        <v>0</v>
      </c>
      <c r="DL159" s="68">
        <v>0</v>
      </c>
      <c r="DM159" s="68">
        <v>0</v>
      </c>
      <c r="DN159" s="68">
        <v>0</v>
      </c>
      <c r="DO159" s="68">
        <v>0</v>
      </c>
      <c r="DP159" s="68">
        <f>SUM(DD159:DO159)</f>
        <v>0</v>
      </c>
      <c r="DQ159" s="68">
        <f>DP159-AB159</f>
        <v>0</v>
      </c>
      <c r="DR159" s="68">
        <f>$DD159</f>
        <v>0</v>
      </c>
      <c r="DS159" s="68">
        <f>DR159+DE159</f>
        <v>0</v>
      </c>
      <c r="DT159" s="68">
        <f>DS159+DF159</f>
        <v>0</v>
      </c>
      <c r="DU159" s="68">
        <f>DT159+DG159</f>
        <v>0</v>
      </c>
      <c r="DV159" s="68">
        <f>DU159+DH159</f>
        <v>0</v>
      </c>
      <c r="DW159" s="68">
        <f>DV159+DI159</f>
        <v>0</v>
      </c>
      <c r="DX159" s="68">
        <f>DW159+DJ159</f>
        <v>0</v>
      </c>
      <c r="DY159" s="68">
        <f>DX159+DK159</f>
        <v>0</v>
      </c>
      <c r="DZ159" s="68">
        <f>DY159+DL159</f>
        <v>0</v>
      </c>
      <c r="EA159" s="68">
        <f>DZ159+DM159</f>
        <v>0</v>
      </c>
      <c r="EB159" s="68">
        <f>EA159+DN159</f>
        <v>0</v>
      </c>
      <c r="EC159" s="68">
        <f>EB159+DO159</f>
        <v>0</v>
      </c>
      <c r="ED159" s="68">
        <f>$EC159-$AB159</f>
        <v>0</v>
      </c>
    </row>
    <row r="160" spans="1:134" ht="45">
      <c r="A160" s="74"/>
      <c r="B160" s="50">
        <v>140</v>
      </c>
      <c r="C160" s="50" t="s">
        <v>269</v>
      </c>
      <c r="D160" s="50" t="s">
        <v>297</v>
      </c>
      <c r="E160" s="50"/>
      <c r="F160" s="50" t="s">
        <v>272</v>
      </c>
      <c r="G160" s="50" t="s">
        <v>273</v>
      </c>
      <c r="H160" s="37" t="s">
        <v>151</v>
      </c>
      <c r="I160" s="37" t="s">
        <v>702</v>
      </c>
      <c r="J160" s="37" t="s">
        <v>703</v>
      </c>
      <c r="K160" s="50" t="s">
        <v>3</v>
      </c>
      <c r="L160" s="50" t="s">
        <v>25</v>
      </c>
      <c r="M160" s="50" t="s">
        <v>52</v>
      </c>
      <c r="N160" s="50" t="s">
        <v>276</v>
      </c>
      <c r="O160" s="37" t="s">
        <v>3</v>
      </c>
      <c r="P160" s="37" t="s">
        <v>25</v>
      </c>
      <c r="Q160" s="37" t="s">
        <v>52</v>
      </c>
      <c r="R160" s="87" t="s">
        <v>512</v>
      </c>
      <c r="S160" s="50" t="s">
        <v>1424</v>
      </c>
      <c r="T160" s="50" t="s">
        <v>1425</v>
      </c>
      <c r="U160" s="50" t="s">
        <v>1426</v>
      </c>
      <c r="V160" s="56" t="s">
        <v>1427</v>
      </c>
      <c r="W160" s="56" t="s">
        <v>1427</v>
      </c>
      <c r="X160" s="38" t="s">
        <v>1427</v>
      </c>
      <c r="Y160" s="60">
        <v>765000000</v>
      </c>
      <c r="Z160" s="60">
        <v>420750000</v>
      </c>
      <c r="AA160" s="60"/>
      <c r="AB160" s="60">
        <f>Z160+AA160</f>
        <v>420750000</v>
      </c>
      <c r="AC160" s="61"/>
      <c r="AD160" s="61"/>
      <c r="AE160" s="109">
        <v>765000000</v>
      </c>
      <c r="AF160" s="109">
        <v>76500000</v>
      </c>
      <c r="AG160" s="108">
        <f>$AR160+$AZ160+$BQ160+$BT160+$BU160+$BV160</f>
        <v>83156299</v>
      </c>
      <c r="AH160" s="121">
        <f>AF160-AG160</f>
        <v>-6656299</v>
      </c>
      <c r="AI160" s="39" t="s">
        <v>1428</v>
      </c>
      <c r="AJ160" s="198"/>
      <c r="AK160" s="198"/>
      <c r="AL160" s="42"/>
      <c r="AM160" s="68"/>
      <c r="AN160" s="68"/>
      <c r="AO160" s="68"/>
      <c r="AP160" s="68"/>
      <c r="AQ160" s="68">
        <v>0</v>
      </c>
      <c r="AR160" s="68">
        <v>0</v>
      </c>
      <c r="AS160" s="68" t="s">
        <v>307</v>
      </c>
      <c r="AT160" s="68"/>
      <c r="AU160" s="69" t="s">
        <v>277</v>
      </c>
      <c r="AV160" s="69" t="s">
        <v>277</v>
      </c>
      <c r="AW160" s="69" t="s">
        <v>277</v>
      </c>
      <c r="AX160" s="69"/>
      <c r="AY160" s="68">
        <v>0</v>
      </c>
      <c r="AZ160" s="68">
        <v>0</v>
      </c>
      <c r="BA160" s="68" t="s">
        <v>307</v>
      </c>
      <c r="BB160" s="68"/>
      <c r="BC160" s="69" t="s">
        <v>1429</v>
      </c>
      <c r="BD160" s="69" t="s">
        <v>277</v>
      </c>
      <c r="BE160" s="56" t="s">
        <v>277</v>
      </c>
      <c r="BF160" s="56" t="s">
        <v>277</v>
      </c>
      <c r="BG160" s="56" t="s">
        <v>277</v>
      </c>
      <c r="BH160" s="56" t="s">
        <v>277</v>
      </c>
      <c r="BI160" s="69">
        <v>0</v>
      </c>
      <c r="BJ160" s="69">
        <v>0</v>
      </c>
      <c r="BK160" s="69">
        <v>0</v>
      </c>
      <c r="BL160" s="69">
        <v>0</v>
      </c>
      <c r="BM160" s="69">
        <v>0</v>
      </c>
      <c r="BN160" s="69">
        <v>0</v>
      </c>
      <c r="BO160" s="69">
        <v>0</v>
      </c>
      <c r="BP160" s="69">
        <v>0</v>
      </c>
      <c r="BQ160" s="69"/>
      <c r="BR160" s="69" t="s">
        <v>382</v>
      </c>
      <c r="BS160" s="69" t="s">
        <v>798</v>
      </c>
      <c r="BT160" s="68">
        <v>0</v>
      </c>
      <c r="BU160" s="68">
        <v>0</v>
      </c>
      <c r="BV160" s="68">
        <v>83156299</v>
      </c>
      <c r="BW160" s="94">
        <v>0</v>
      </c>
      <c r="BX160" s="94">
        <v>0</v>
      </c>
      <c r="BY160" s="94">
        <v>0</v>
      </c>
      <c r="BZ160" s="94">
        <v>0</v>
      </c>
      <c r="CA160" s="94">
        <v>0</v>
      </c>
      <c r="CB160" s="94">
        <v>0</v>
      </c>
      <c r="CC160" s="109">
        <v>76500000</v>
      </c>
      <c r="CD160" s="94">
        <v>0</v>
      </c>
      <c r="CE160" s="94">
        <v>0</v>
      </c>
      <c r="CF160" s="108">
        <f>SUM(BT160:CE160)</f>
        <v>159656299</v>
      </c>
      <c r="CG160" s="108">
        <f>$CF160-$AF160</f>
        <v>83156299</v>
      </c>
      <c r="CH160" s="37" t="s">
        <v>289</v>
      </c>
      <c r="CI160" s="37" t="s">
        <v>290</v>
      </c>
      <c r="CJ160" s="37" t="s">
        <v>277</v>
      </c>
      <c r="CK160" s="37" t="s">
        <v>290</v>
      </c>
      <c r="CL160" s="37" t="s">
        <v>277</v>
      </c>
      <c r="CM160" s="37" t="s">
        <v>277</v>
      </c>
      <c r="CN160" s="37" t="s">
        <v>290</v>
      </c>
      <c r="CO160" s="37" t="s">
        <v>497</v>
      </c>
      <c r="CP160" s="41">
        <v>46023</v>
      </c>
      <c r="CQ160" s="41">
        <v>46387</v>
      </c>
      <c r="CR160" s="37" t="s">
        <v>293</v>
      </c>
      <c r="CS160" s="37" t="s">
        <v>454</v>
      </c>
      <c r="CT160" s="37" t="s">
        <v>524</v>
      </c>
      <c r="CU160" s="37" t="s">
        <v>341</v>
      </c>
      <c r="CV160" s="37" t="s">
        <v>382</v>
      </c>
      <c r="CW160" s="37" t="s">
        <v>1430</v>
      </c>
      <c r="CX160" s="37" t="s">
        <v>1431</v>
      </c>
      <c r="CY160" s="37">
        <v>191250000</v>
      </c>
      <c r="CZ160" s="123">
        <v>45505</v>
      </c>
      <c r="DA160" s="123">
        <v>45992</v>
      </c>
      <c r="DB160" s="37" t="s">
        <v>277</v>
      </c>
      <c r="DC160" s="37" t="s">
        <v>749</v>
      </c>
      <c r="DD160" s="68">
        <v>0</v>
      </c>
      <c r="DE160" s="68">
        <v>0</v>
      </c>
      <c r="DF160" s="68">
        <v>0</v>
      </c>
      <c r="DG160" s="68">
        <v>420750000</v>
      </c>
      <c r="DH160" s="68">
        <v>0</v>
      </c>
      <c r="DI160" s="68">
        <v>0</v>
      </c>
      <c r="DJ160" s="68">
        <v>0</v>
      </c>
      <c r="DK160" s="68">
        <v>0</v>
      </c>
      <c r="DL160" s="68">
        <v>0</v>
      </c>
      <c r="DM160" s="68">
        <v>0</v>
      </c>
      <c r="DN160" s="68">
        <v>0</v>
      </c>
      <c r="DO160" s="68">
        <v>0</v>
      </c>
      <c r="DP160" s="68">
        <f>SUM(DD160:DO160)</f>
        <v>420750000</v>
      </c>
      <c r="DQ160" s="68">
        <f>DP160-AB160</f>
        <v>0</v>
      </c>
      <c r="DR160" s="68">
        <f>$DD160</f>
        <v>0</v>
      </c>
      <c r="DS160" s="68">
        <f>DR160+DE160</f>
        <v>0</v>
      </c>
      <c r="DT160" s="68">
        <f>DS160+DF160</f>
        <v>0</v>
      </c>
      <c r="DU160" s="68">
        <f>DT160+DG160</f>
        <v>420750000</v>
      </c>
      <c r="DV160" s="68">
        <f>DU160+DH160</f>
        <v>420750000</v>
      </c>
      <c r="DW160" s="68">
        <f>DV160+DI160</f>
        <v>420750000</v>
      </c>
      <c r="DX160" s="68">
        <f>DW160+DJ160</f>
        <v>420750000</v>
      </c>
      <c r="DY160" s="68">
        <f>DX160+DK160</f>
        <v>420750000</v>
      </c>
      <c r="DZ160" s="68">
        <f>DY160+DL160</f>
        <v>420750000</v>
      </c>
      <c r="EA160" s="68">
        <f>DZ160+DM160</f>
        <v>420750000</v>
      </c>
      <c r="EB160" s="68">
        <f>EA160+DN160</f>
        <v>420750000</v>
      </c>
      <c r="EC160" s="68">
        <f>EB160+DO160</f>
        <v>420750000</v>
      </c>
      <c r="ED160" s="68">
        <f>$EC160-$AB160</f>
        <v>0</v>
      </c>
    </row>
    <row r="161" spans="1:134" ht="45">
      <c r="A161" s="74"/>
      <c r="B161" s="50">
        <v>120</v>
      </c>
      <c r="C161" s="50" t="s">
        <v>269</v>
      </c>
      <c r="D161" s="50" t="s">
        <v>297</v>
      </c>
      <c r="E161" s="50"/>
      <c r="F161" s="50" t="s">
        <v>272</v>
      </c>
      <c r="G161" s="50" t="s">
        <v>273</v>
      </c>
      <c r="H161" s="37" t="s">
        <v>151</v>
      </c>
      <c r="I161" s="37" t="s">
        <v>424</v>
      </c>
      <c r="J161" s="37" t="s">
        <v>694</v>
      </c>
      <c r="K161" s="50" t="s">
        <v>3</v>
      </c>
      <c r="L161" s="50" t="s">
        <v>14</v>
      </c>
      <c r="M161" s="50" t="s">
        <v>16</v>
      </c>
      <c r="N161" s="50" t="s">
        <v>276</v>
      </c>
      <c r="O161" s="37" t="s">
        <v>3</v>
      </c>
      <c r="P161" s="37" t="s">
        <v>14</v>
      </c>
      <c r="Q161" s="37" t="s">
        <v>16</v>
      </c>
      <c r="R161" s="37" t="s">
        <v>276</v>
      </c>
      <c r="S161" s="50" t="s">
        <v>1432</v>
      </c>
      <c r="T161" s="50" t="s">
        <v>1433</v>
      </c>
      <c r="U161" s="50" t="s">
        <v>1434</v>
      </c>
      <c r="V161" s="56" t="s">
        <v>1435</v>
      </c>
      <c r="W161" s="56" t="s">
        <v>1435</v>
      </c>
      <c r="X161" s="38" t="s">
        <v>933</v>
      </c>
      <c r="Y161" s="60">
        <v>280000000</v>
      </c>
      <c r="Z161" s="60">
        <v>56000000</v>
      </c>
      <c r="AA161" s="60"/>
      <c r="AB161" s="60">
        <f>Z161+AA161</f>
        <v>56000000</v>
      </c>
      <c r="AC161" s="61"/>
      <c r="AD161" s="61"/>
      <c r="AE161" s="109">
        <v>280000000</v>
      </c>
      <c r="AF161" s="109">
        <v>56000000</v>
      </c>
      <c r="AG161" s="108">
        <f>$AR161+$AZ161+$BQ161+$BT161+$BU161+$BV161</f>
        <v>0</v>
      </c>
      <c r="AH161" s="121">
        <f>AF161-AG161</f>
        <v>56000000</v>
      </c>
      <c r="AI161" s="45" t="s">
        <v>935</v>
      </c>
      <c r="AJ161" s="94"/>
      <c r="AK161" s="94"/>
      <c r="AL161" s="45"/>
      <c r="AM161" s="68"/>
      <c r="AN161" s="68"/>
      <c r="AO161" s="68"/>
      <c r="AP161" s="68"/>
      <c r="AQ161" s="68">
        <v>0</v>
      </c>
      <c r="AR161" s="68">
        <v>0</v>
      </c>
      <c r="AS161" s="68" t="s">
        <v>307</v>
      </c>
      <c r="AT161" s="68"/>
      <c r="AU161" s="69" t="s">
        <v>277</v>
      </c>
      <c r="AV161" s="69" t="s">
        <v>277</v>
      </c>
      <c r="AW161" s="69" t="s">
        <v>277</v>
      </c>
      <c r="AX161" s="69"/>
      <c r="AY161" s="68">
        <v>0</v>
      </c>
      <c r="AZ161" s="68">
        <v>0</v>
      </c>
      <c r="BA161" s="68" t="s">
        <v>307</v>
      </c>
      <c r="BB161" s="68"/>
      <c r="BC161" s="69" t="s">
        <v>277</v>
      </c>
      <c r="BD161" s="69" t="s">
        <v>277</v>
      </c>
      <c r="BE161" s="56" t="s">
        <v>277</v>
      </c>
      <c r="BF161" s="56" t="s">
        <v>277</v>
      </c>
      <c r="BG161" s="56" t="s">
        <v>277</v>
      </c>
      <c r="BH161" s="56" t="s">
        <v>277</v>
      </c>
      <c r="BI161" s="69">
        <v>0</v>
      </c>
      <c r="BJ161" s="69">
        <v>0</v>
      </c>
      <c r="BK161" s="69">
        <v>0</v>
      </c>
      <c r="BL161" s="69">
        <v>0</v>
      </c>
      <c r="BM161" s="69">
        <v>0</v>
      </c>
      <c r="BN161" s="69">
        <v>0</v>
      </c>
      <c r="BO161" s="69">
        <v>0</v>
      </c>
      <c r="BP161" s="69">
        <v>0</v>
      </c>
      <c r="BQ161" s="69"/>
      <c r="BR161" s="69" t="s">
        <v>382</v>
      </c>
      <c r="BS161" s="69" t="s">
        <v>798</v>
      </c>
      <c r="BT161" s="68">
        <v>0</v>
      </c>
      <c r="BU161" s="68">
        <v>0</v>
      </c>
      <c r="BV161" s="68"/>
      <c r="BW161" s="94">
        <v>0</v>
      </c>
      <c r="BX161" s="94">
        <v>0</v>
      </c>
      <c r="BY161" s="94">
        <v>0</v>
      </c>
      <c r="BZ161" s="94">
        <v>56000000</v>
      </c>
      <c r="CA161" s="94">
        <v>0</v>
      </c>
      <c r="CB161" s="94">
        <v>0</v>
      </c>
      <c r="CC161" s="94">
        <v>0</v>
      </c>
      <c r="CD161" s="94">
        <v>0</v>
      </c>
      <c r="CE161" s="94">
        <v>0</v>
      </c>
      <c r="CF161" s="108">
        <f>SUM(BT161:CE161)</f>
        <v>56000000</v>
      </c>
      <c r="CG161" s="108">
        <f>$CF161-$AF161</f>
        <v>0</v>
      </c>
      <c r="CH161" s="37" t="s">
        <v>289</v>
      </c>
      <c r="CI161" s="37" t="s">
        <v>290</v>
      </c>
      <c r="CJ161" s="37" t="s">
        <v>277</v>
      </c>
      <c r="CK161" s="37" t="s">
        <v>290</v>
      </c>
      <c r="CL161" s="37" t="s">
        <v>277</v>
      </c>
      <c r="CM161" s="37" t="s">
        <v>277</v>
      </c>
      <c r="CN161" s="37" t="s">
        <v>290</v>
      </c>
      <c r="CO161" s="37" t="s">
        <v>433</v>
      </c>
      <c r="CP161" s="41">
        <v>46023</v>
      </c>
      <c r="CQ161" s="41">
        <v>46387</v>
      </c>
      <c r="CR161" s="37" t="s">
        <v>293</v>
      </c>
      <c r="CS161" s="37" t="s">
        <v>322</v>
      </c>
      <c r="CT161" s="37" t="s">
        <v>295</v>
      </c>
      <c r="CU161" s="37" t="s">
        <v>341</v>
      </c>
      <c r="CV161" s="37" t="s">
        <v>382</v>
      </c>
      <c r="CW161" s="37" t="s">
        <v>1436</v>
      </c>
      <c r="CX161" s="37" t="s">
        <v>1435</v>
      </c>
      <c r="CY161" s="37">
        <v>280000000</v>
      </c>
      <c r="CZ161" s="123">
        <v>45108</v>
      </c>
      <c r="DA161" s="123">
        <v>45170</v>
      </c>
      <c r="DB161" s="37" t="s">
        <v>277</v>
      </c>
      <c r="DC161" s="37" t="s">
        <v>1437</v>
      </c>
      <c r="DD161" s="68">
        <v>0</v>
      </c>
      <c r="DE161" s="68">
        <v>56000000</v>
      </c>
      <c r="DF161" s="68">
        <v>0</v>
      </c>
      <c r="DG161" s="68">
        <v>0</v>
      </c>
      <c r="DH161" s="68">
        <v>0</v>
      </c>
      <c r="DI161" s="68">
        <v>0</v>
      </c>
      <c r="DJ161" s="68">
        <v>0</v>
      </c>
      <c r="DK161" s="68">
        <v>0</v>
      </c>
      <c r="DL161" s="68">
        <v>0</v>
      </c>
      <c r="DM161" s="68">
        <v>0</v>
      </c>
      <c r="DN161" s="68">
        <v>0</v>
      </c>
      <c r="DO161" s="68">
        <v>0</v>
      </c>
      <c r="DP161" s="68">
        <f>SUM(DD161:DO161)</f>
        <v>56000000</v>
      </c>
      <c r="DQ161" s="68">
        <f>DP161-AB161</f>
        <v>0</v>
      </c>
      <c r="DR161" s="68">
        <f>$DD161</f>
        <v>0</v>
      </c>
      <c r="DS161" s="68">
        <f>DR161+DE161</f>
        <v>56000000</v>
      </c>
      <c r="DT161" s="68">
        <f>DS161+DF161</f>
        <v>56000000</v>
      </c>
      <c r="DU161" s="68">
        <f>DT161+DG161</f>
        <v>56000000</v>
      </c>
      <c r="DV161" s="68">
        <f>DU161+DH161</f>
        <v>56000000</v>
      </c>
      <c r="DW161" s="68">
        <f>DV161+DI161</f>
        <v>56000000</v>
      </c>
      <c r="DX161" s="68">
        <f>DW161+DJ161</f>
        <v>56000000</v>
      </c>
      <c r="DY161" s="68">
        <f>DX161+DK161</f>
        <v>56000000</v>
      </c>
      <c r="DZ161" s="68">
        <f>DY161+DL161</f>
        <v>56000000</v>
      </c>
      <c r="EA161" s="68">
        <f>DZ161+DM161</f>
        <v>56000000</v>
      </c>
      <c r="EB161" s="68">
        <f>EA161+DN161</f>
        <v>56000000</v>
      </c>
      <c r="EC161" s="68">
        <f>EB161+DO161</f>
        <v>56000000</v>
      </c>
      <c r="ED161" s="68">
        <f>$EC161-$AB161</f>
        <v>0</v>
      </c>
    </row>
    <row r="162" spans="1:134" ht="30">
      <c r="A162" s="74"/>
      <c r="B162" s="50">
        <v>137</v>
      </c>
      <c r="C162" s="50" t="s">
        <v>269</v>
      </c>
      <c r="D162" s="50" t="s">
        <v>297</v>
      </c>
      <c r="E162" s="50"/>
      <c r="F162" s="50" t="s">
        <v>272</v>
      </c>
      <c r="G162" s="50" t="s">
        <v>273</v>
      </c>
      <c r="H162" s="37" t="s">
        <v>151</v>
      </c>
      <c r="I162" s="37" t="s">
        <v>274</v>
      </c>
      <c r="J162" s="37" t="s">
        <v>1170</v>
      </c>
      <c r="K162" s="50" t="s">
        <v>3</v>
      </c>
      <c r="L162" s="50" t="s">
        <v>25</v>
      </c>
      <c r="M162" s="50" t="s">
        <v>52</v>
      </c>
      <c r="N162" s="50" t="s">
        <v>276</v>
      </c>
      <c r="O162" s="37" t="s">
        <v>3</v>
      </c>
      <c r="P162" s="37" t="s">
        <v>25</v>
      </c>
      <c r="Q162" s="37" t="s">
        <v>52</v>
      </c>
      <c r="R162" s="37" t="s">
        <v>512</v>
      </c>
      <c r="S162" s="50" t="s">
        <v>1438</v>
      </c>
      <c r="T162" s="50" t="s">
        <v>1439</v>
      </c>
      <c r="U162" s="50" t="s">
        <v>1440</v>
      </c>
      <c r="V162" s="56" t="s">
        <v>1441</v>
      </c>
      <c r="W162" s="56" t="s">
        <v>1441</v>
      </c>
      <c r="X162" s="38" t="s">
        <v>1441</v>
      </c>
      <c r="Y162" s="60">
        <v>905000000</v>
      </c>
      <c r="Z162" s="60">
        <v>226250000</v>
      </c>
      <c r="AA162" s="60"/>
      <c r="AB162" s="60">
        <f>Z162+AA162</f>
        <v>226250000</v>
      </c>
      <c r="AC162" s="61"/>
      <c r="AD162" s="61"/>
      <c r="AE162" s="94">
        <v>905000000</v>
      </c>
      <c r="AF162" s="109">
        <v>50000000</v>
      </c>
      <c r="AG162" s="108">
        <f>$AR162+$AZ162+$BQ162+$BT162+$BU162+$BV162</f>
        <v>0</v>
      </c>
      <c r="AH162" s="121">
        <f>AF162-AG162</f>
        <v>50000000</v>
      </c>
      <c r="AI162" s="39" t="s">
        <v>1442</v>
      </c>
      <c r="AJ162" s="200"/>
      <c r="AK162" s="200"/>
      <c r="AL162" s="39"/>
      <c r="AM162" s="68"/>
      <c r="AN162" s="68"/>
      <c r="AO162" s="68"/>
      <c r="AP162" s="68"/>
      <c r="AQ162" s="68">
        <v>0</v>
      </c>
      <c r="AR162" s="68">
        <v>0</v>
      </c>
      <c r="AS162" s="68" t="s">
        <v>307</v>
      </c>
      <c r="AT162" s="68"/>
      <c r="AU162" s="69" t="s">
        <v>277</v>
      </c>
      <c r="AV162" s="69" t="s">
        <v>277</v>
      </c>
      <c r="AW162" s="69" t="s">
        <v>277</v>
      </c>
      <c r="AX162" s="69"/>
      <c r="AY162" s="68">
        <v>0</v>
      </c>
      <c r="AZ162" s="68">
        <v>0</v>
      </c>
      <c r="BA162" s="68" t="s">
        <v>307</v>
      </c>
      <c r="BB162" s="68"/>
      <c r="BC162" s="69" t="s">
        <v>1443</v>
      </c>
      <c r="BD162" s="69" t="s">
        <v>277</v>
      </c>
      <c r="BE162" s="56" t="s">
        <v>277</v>
      </c>
      <c r="BF162" s="56" t="s">
        <v>277</v>
      </c>
      <c r="BG162" s="56" t="s">
        <v>277</v>
      </c>
      <c r="BH162" s="56" t="s">
        <v>277</v>
      </c>
      <c r="BI162" s="69">
        <v>0</v>
      </c>
      <c r="BJ162" s="69">
        <v>0</v>
      </c>
      <c r="BK162" s="69">
        <v>0</v>
      </c>
      <c r="BL162" s="69">
        <v>0</v>
      </c>
      <c r="BM162" s="69">
        <v>0</v>
      </c>
      <c r="BN162" s="69">
        <v>0</v>
      </c>
      <c r="BO162" s="69">
        <v>0</v>
      </c>
      <c r="BP162" s="69">
        <v>0</v>
      </c>
      <c r="BQ162" s="69"/>
      <c r="BR162" s="69" t="s">
        <v>382</v>
      </c>
      <c r="BS162" s="69" t="s">
        <v>798</v>
      </c>
      <c r="BT162" s="68">
        <v>0</v>
      </c>
      <c r="BU162" s="68">
        <v>0</v>
      </c>
      <c r="BV162" s="68">
        <v>0</v>
      </c>
      <c r="BW162" s="94">
        <v>0</v>
      </c>
      <c r="BX162" s="94">
        <v>0</v>
      </c>
      <c r="BY162" s="94">
        <v>0</v>
      </c>
      <c r="BZ162" s="94">
        <v>50000000</v>
      </c>
      <c r="CA162" s="94">
        <v>0</v>
      </c>
      <c r="CB162" s="94">
        <v>0</v>
      </c>
      <c r="CC162" s="94">
        <v>0</v>
      </c>
      <c r="CD162" s="94">
        <v>0</v>
      </c>
      <c r="CE162" s="94">
        <v>0</v>
      </c>
      <c r="CF162" s="108">
        <f>SUM(BT162:CE162)</f>
        <v>50000000</v>
      </c>
      <c r="CG162" s="108">
        <f>$CF162-$AF162</f>
        <v>0</v>
      </c>
      <c r="CH162" s="37" t="s">
        <v>289</v>
      </c>
      <c r="CI162" s="37" t="s">
        <v>290</v>
      </c>
      <c r="CJ162" s="37" t="s">
        <v>277</v>
      </c>
      <c r="CK162" s="37" t="s">
        <v>290</v>
      </c>
      <c r="CL162" s="37" t="s">
        <v>277</v>
      </c>
      <c r="CM162" s="37" t="s">
        <v>277</v>
      </c>
      <c r="CN162" s="37" t="s">
        <v>290</v>
      </c>
      <c r="CO162" s="37" t="s">
        <v>1175</v>
      </c>
      <c r="CP162" s="41">
        <v>46023</v>
      </c>
      <c r="CQ162" s="41">
        <v>46387</v>
      </c>
      <c r="CR162" s="37" t="s">
        <v>293</v>
      </c>
      <c r="CS162" s="37" t="s">
        <v>454</v>
      </c>
      <c r="CT162" s="37" t="s">
        <v>295</v>
      </c>
      <c r="CU162" s="37" t="s">
        <v>341</v>
      </c>
      <c r="CV162" s="37" t="s">
        <v>382</v>
      </c>
      <c r="CW162" s="37">
        <v>4200003842</v>
      </c>
      <c r="CX162" s="37" t="s">
        <v>1444</v>
      </c>
      <c r="CY162" s="37">
        <v>505000000</v>
      </c>
      <c r="CZ162" s="123">
        <v>45413</v>
      </c>
      <c r="DA162" s="123">
        <v>46143</v>
      </c>
      <c r="DB162" s="37" t="s">
        <v>277</v>
      </c>
      <c r="DC162" s="37" t="s">
        <v>1445</v>
      </c>
      <c r="DD162" s="68">
        <v>0</v>
      </c>
      <c r="DE162" s="68">
        <v>0</v>
      </c>
      <c r="DF162" s="68">
        <v>0</v>
      </c>
      <c r="DG162" s="68">
        <v>226250000</v>
      </c>
      <c r="DH162" s="68">
        <v>0</v>
      </c>
      <c r="DI162" s="68">
        <v>0</v>
      </c>
      <c r="DJ162" s="68">
        <v>0</v>
      </c>
      <c r="DK162" s="68">
        <v>0</v>
      </c>
      <c r="DL162" s="68">
        <v>0</v>
      </c>
      <c r="DM162" s="68">
        <v>0</v>
      </c>
      <c r="DN162" s="68">
        <v>0</v>
      </c>
      <c r="DO162" s="68">
        <v>0</v>
      </c>
      <c r="DP162" s="68">
        <f>SUM(DD162:DO162)</f>
        <v>226250000</v>
      </c>
      <c r="DQ162" s="68">
        <f>DP162-AB162</f>
        <v>0</v>
      </c>
      <c r="DR162" s="68">
        <f>$DD162</f>
        <v>0</v>
      </c>
      <c r="DS162" s="68">
        <f>DR162+DE162</f>
        <v>0</v>
      </c>
      <c r="DT162" s="68">
        <f>DS162+DF162</f>
        <v>0</v>
      </c>
      <c r="DU162" s="68">
        <f>DT162+DG162</f>
        <v>226250000</v>
      </c>
      <c r="DV162" s="68">
        <f>DU162+DH162</f>
        <v>226250000</v>
      </c>
      <c r="DW162" s="68">
        <f>DV162+DI162</f>
        <v>226250000</v>
      </c>
      <c r="DX162" s="68">
        <f>DW162+DJ162</f>
        <v>226250000</v>
      </c>
      <c r="DY162" s="68">
        <f>DX162+DK162</f>
        <v>226250000</v>
      </c>
      <c r="DZ162" s="68">
        <f>DY162+DL162</f>
        <v>226250000</v>
      </c>
      <c r="EA162" s="68">
        <f>DZ162+DM162</f>
        <v>226250000</v>
      </c>
      <c r="EB162" s="68">
        <f>EA162+DN162</f>
        <v>226250000</v>
      </c>
      <c r="EC162" s="68">
        <f>EB162+DO162</f>
        <v>226250000</v>
      </c>
      <c r="ED162" s="68">
        <f>$EC162-$AB162</f>
        <v>0</v>
      </c>
    </row>
    <row r="163" spans="1:134" ht="45">
      <c r="A163" s="74"/>
      <c r="B163" s="50">
        <v>115</v>
      </c>
      <c r="C163" s="50" t="s">
        <v>269</v>
      </c>
      <c r="D163" s="50" t="s">
        <v>297</v>
      </c>
      <c r="E163" s="50"/>
      <c r="F163" s="50" t="s">
        <v>272</v>
      </c>
      <c r="G163" s="50" t="s">
        <v>273</v>
      </c>
      <c r="H163" s="37" t="s">
        <v>151</v>
      </c>
      <c r="I163" s="37" t="s">
        <v>424</v>
      </c>
      <c r="J163" s="37" t="s">
        <v>694</v>
      </c>
      <c r="K163" s="50" t="s">
        <v>3</v>
      </c>
      <c r="L163" s="50" t="s">
        <v>14</v>
      </c>
      <c r="M163" s="50" t="s">
        <v>16</v>
      </c>
      <c r="N163" s="50" t="s">
        <v>276</v>
      </c>
      <c r="O163" s="37" t="s">
        <v>3</v>
      </c>
      <c r="P163" s="37" t="s">
        <v>14</v>
      </c>
      <c r="Q163" s="37" t="s">
        <v>16</v>
      </c>
      <c r="R163" s="37" t="s">
        <v>276</v>
      </c>
      <c r="S163" s="50" t="s">
        <v>1446</v>
      </c>
      <c r="T163" s="50" t="s">
        <v>1447</v>
      </c>
      <c r="U163" s="50" t="s">
        <v>1448</v>
      </c>
      <c r="V163" s="56" t="s">
        <v>1449</v>
      </c>
      <c r="W163" s="56" t="s">
        <v>1449</v>
      </c>
      <c r="X163" s="38" t="s">
        <v>1449</v>
      </c>
      <c r="Y163" s="60">
        <v>1200000000</v>
      </c>
      <c r="Z163" s="60">
        <v>44000000</v>
      </c>
      <c r="AA163" s="60"/>
      <c r="AB163" s="60">
        <f>Z163+AA163</f>
        <v>44000000</v>
      </c>
      <c r="AC163" s="61"/>
      <c r="AD163" s="61"/>
      <c r="AE163" s="109">
        <v>1200000000</v>
      </c>
      <c r="AF163" s="109">
        <v>44000000</v>
      </c>
      <c r="AG163" s="108">
        <f>$AR163+$AZ163+$BQ163+$BT163+$BU163+$BV163</f>
        <v>0</v>
      </c>
      <c r="AH163" s="121">
        <f>AF163-AG163</f>
        <v>44000000</v>
      </c>
      <c r="AI163" s="39" t="s">
        <v>1450</v>
      </c>
      <c r="AJ163" s="200"/>
      <c r="AK163" s="200"/>
      <c r="AL163" s="39"/>
      <c r="AM163" s="68"/>
      <c r="AN163" s="68"/>
      <c r="AO163" s="68"/>
      <c r="AP163" s="68"/>
      <c r="AQ163" s="68">
        <v>0</v>
      </c>
      <c r="AR163" s="68">
        <v>0</v>
      </c>
      <c r="AS163" s="68" t="s">
        <v>307</v>
      </c>
      <c r="AT163" s="68"/>
      <c r="AU163" s="69" t="s">
        <v>277</v>
      </c>
      <c r="AV163" s="69" t="s">
        <v>277</v>
      </c>
      <c r="AW163" s="69" t="s">
        <v>277</v>
      </c>
      <c r="AX163" s="69"/>
      <c r="AY163" s="68">
        <v>0</v>
      </c>
      <c r="AZ163" s="68">
        <v>0</v>
      </c>
      <c r="BA163" s="68" t="s">
        <v>307</v>
      </c>
      <c r="BB163" s="68"/>
      <c r="BC163" s="69" t="s">
        <v>1451</v>
      </c>
      <c r="BD163" s="69" t="s">
        <v>277</v>
      </c>
      <c r="BE163" s="56" t="s">
        <v>277</v>
      </c>
      <c r="BF163" s="56" t="s">
        <v>277</v>
      </c>
      <c r="BG163" s="56" t="s">
        <v>277</v>
      </c>
      <c r="BH163" s="56" t="s">
        <v>277</v>
      </c>
      <c r="BI163" s="69">
        <v>0</v>
      </c>
      <c r="BJ163" s="69">
        <v>0</v>
      </c>
      <c r="BK163" s="69">
        <v>0</v>
      </c>
      <c r="BL163" s="69">
        <v>0</v>
      </c>
      <c r="BM163" s="69">
        <v>0</v>
      </c>
      <c r="BN163" s="69">
        <v>0</v>
      </c>
      <c r="BO163" s="69">
        <v>0</v>
      </c>
      <c r="BP163" s="69">
        <v>0</v>
      </c>
      <c r="BQ163" s="69"/>
      <c r="BR163" s="69" t="s">
        <v>382</v>
      </c>
      <c r="BS163" s="69" t="s">
        <v>798</v>
      </c>
      <c r="BT163" s="68">
        <v>0</v>
      </c>
      <c r="BU163" s="68">
        <v>0</v>
      </c>
      <c r="BV163" s="68"/>
      <c r="BW163" s="94">
        <v>0</v>
      </c>
      <c r="BX163" s="94">
        <v>44000000</v>
      </c>
      <c r="BY163" s="94">
        <v>0</v>
      </c>
      <c r="BZ163" s="94">
        <v>0</v>
      </c>
      <c r="CA163" s="94">
        <v>0</v>
      </c>
      <c r="CB163" s="94">
        <v>0</v>
      </c>
      <c r="CC163" s="94">
        <v>0</v>
      </c>
      <c r="CD163" s="94">
        <v>0</v>
      </c>
      <c r="CE163" s="94">
        <v>0</v>
      </c>
      <c r="CF163" s="108">
        <f>SUM(BT163:CE163)</f>
        <v>44000000</v>
      </c>
      <c r="CG163" s="108">
        <f>$CF163-$AF163</f>
        <v>0</v>
      </c>
      <c r="CH163" s="37" t="s">
        <v>289</v>
      </c>
      <c r="CI163" s="37" t="s">
        <v>290</v>
      </c>
      <c r="CJ163" s="37" t="s">
        <v>277</v>
      </c>
      <c r="CK163" s="37" t="s">
        <v>290</v>
      </c>
      <c r="CL163" s="37" t="s">
        <v>277</v>
      </c>
      <c r="CM163" s="37" t="s">
        <v>277</v>
      </c>
      <c r="CN163" s="37" t="s">
        <v>290</v>
      </c>
      <c r="CO163" s="37" t="s">
        <v>433</v>
      </c>
      <c r="CP163" s="41">
        <v>46023</v>
      </c>
      <c r="CQ163" s="41">
        <v>46387</v>
      </c>
      <c r="CR163" s="37" t="s">
        <v>293</v>
      </c>
      <c r="CS163" s="37" t="s">
        <v>454</v>
      </c>
      <c r="CT163" s="37" t="s">
        <v>524</v>
      </c>
      <c r="CU163" s="37" t="s">
        <v>341</v>
      </c>
      <c r="CV163" s="37" t="s">
        <v>382</v>
      </c>
      <c r="CW163" s="37">
        <v>4200001147</v>
      </c>
      <c r="CX163" s="37" t="s">
        <v>1449</v>
      </c>
      <c r="CY163" s="37">
        <v>1230000000</v>
      </c>
      <c r="CZ163" s="123">
        <v>44593</v>
      </c>
      <c r="DA163" s="123">
        <v>45689</v>
      </c>
      <c r="DB163" s="37" t="s">
        <v>277</v>
      </c>
      <c r="DC163" s="37" t="s">
        <v>1452</v>
      </c>
      <c r="DD163" s="68">
        <v>0</v>
      </c>
      <c r="DE163" s="68">
        <v>44000000</v>
      </c>
      <c r="DF163" s="68">
        <v>0</v>
      </c>
      <c r="DG163" s="68">
        <v>0</v>
      </c>
      <c r="DH163" s="68">
        <v>0</v>
      </c>
      <c r="DI163" s="68">
        <v>0</v>
      </c>
      <c r="DJ163" s="68">
        <v>0</v>
      </c>
      <c r="DK163" s="68">
        <v>0</v>
      </c>
      <c r="DL163" s="68">
        <v>0</v>
      </c>
      <c r="DM163" s="68">
        <v>0</v>
      </c>
      <c r="DN163" s="68">
        <v>0</v>
      </c>
      <c r="DO163" s="68">
        <v>0</v>
      </c>
      <c r="DP163" s="68">
        <f>SUM(DD163:DO163)</f>
        <v>44000000</v>
      </c>
      <c r="DQ163" s="68">
        <f>DP163-AB163</f>
        <v>0</v>
      </c>
      <c r="DR163" s="68">
        <f>$DD163</f>
        <v>0</v>
      </c>
      <c r="DS163" s="68">
        <f>DR163+DE163</f>
        <v>44000000</v>
      </c>
      <c r="DT163" s="68">
        <f>DS163+DF163</f>
        <v>44000000</v>
      </c>
      <c r="DU163" s="68">
        <f>DT163+DG163</f>
        <v>44000000</v>
      </c>
      <c r="DV163" s="68">
        <f>DU163+DH163</f>
        <v>44000000</v>
      </c>
      <c r="DW163" s="68">
        <f>DV163+DI163</f>
        <v>44000000</v>
      </c>
      <c r="DX163" s="68">
        <f>DW163+DJ163</f>
        <v>44000000</v>
      </c>
      <c r="DY163" s="68">
        <f>DX163+DK163</f>
        <v>44000000</v>
      </c>
      <c r="DZ163" s="68">
        <f>DY163+DL163</f>
        <v>44000000</v>
      </c>
      <c r="EA163" s="68">
        <f>DZ163+DM163</f>
        <v>44000000</v>
      </c>
      <c r="EB163" s="68">
        <f>EA163+DN163</f>
        <v>44000000</v>
      </c>
      <c r="EC163" s="68">
        <f>EB163+DO163</f>
        <v>44000000</v>
      </c>
      <c r="ED163" s="68">
        <f>$EC163-$AB163</f>
        <v>0</v>
      </c>
    </row>
    <row r="164" spans="1:134" ht="30">
      <c r="A164" s="74"/>
      <c r="B164" s="50">
        <v>132</v>
      </c>
      <c r="C164" s="50" t="s">
        <v>269</v>
      </c>
      <c r="D164" s="50" t="s">
        <v>297</v>
      </c>
      <c r="E164" s="50"/>
      <c r="F164" s="50" t="s">
        <v>272</v>
      </c>
      <c r="G164" s="50" t="s">
        <v>273</v>
      </c>
      <c r="H164" s="37" t="s">
        <v>151</v>
      </c>
      <c r="I164" s="37" t="s">
        <v>604</v>
      </c>
      <c r="J164" s="37" t="s">
        <v>1453</v>
      </c>
      <c r="K164" s="50" t="s">
        <v>3</v>
      </c>
      <c r="L164" s="50" t="s">
        <v>14</v>
      </c>
      <c r="M164" s="50" t="s">
        <v>16</v>
      </c>
      <c r="N164" s="50" t="s">
        <v>276</v>
      </c>
      <c r="O164" s="37" t="s">
        <v>3</v>
      </c>
      <c r="P164" s="37" t="s">
        <v>14</v>
      </c>
      <c r="Q164" s="37" t="s">
        <v>16</v>
      </c>
      <c r="R164" s="37" t="s">
        <v>276</v>
      </c>
      <c r="S164" s="50" t="s">
        <v>1454</v>
      </c>
      <c r="T164" s="50" t="s">
        <v>1455</v>
      </c>
      <c r="U164" s="50" t="s">
        <v>1456</v>
      </c>
      <c r="V164" s="56" t="s">
        <v>1457</v>
      </c>
      <c r="W164" s="56" t="s">
        <v>1457</v>
      </c>
      <c r="X164" s="38" t="s">
        <v>1458</v>
      </c>
      <c r="Y164" s="60">
        <v>3500000000</v>
      </c>
      <c r="Z164" s="60">
        <v>29166674</v>
      </c>
      <c r="AA164" s="60"/>
      <c r="AB164" s="60">
        <f>Z164+AA164</f>
        <v>29166674</v>
      </c>
      <c r="AC164" s="61"/>
      <c r="AD164" s="61"/>
      <c r="AE164" s="109">
        <v>500000000</v>
      </c>
      <c r="AF164" s="109">
        <v>41666666</v>
      </c>
      <c r="AG164" s="108">
        <f>$AR164+$AZ164+$BQ164+$BT164+$BU164+$BV164</f>
        <v>0</v>
      </c>
      <c r="AH164" s="121">
        <f>AF164-AG164</f>
        <v>41666666</v>
      </c>
      <c r="AI164" s="39" t="s">
        <v>277</v>
      </c>
      <c r="AJ164" s="200"/>
      <c r="AK164" s="200"/>
      <c r="AL164" s="39"/>
      <c r="AM164" s="68"/>
      <c r="AN164" s="68"/>
      <c r="AO164" s="68"/>
      <c r="AP164" s="68"/>
      <c r="AQ164" s="68">
        <v>0</v>
      </c>
      <c r="AR164" s="68">
        <v>0</v>
      </c>
      <c r="AS164" s="68" t="s">
        <v>307</v>
      </c>
      <c r="AT164" s="68"/>
      <c r="AU164" s="69" t="s">
        <v>277</v>
      </c>
      <c r="AV164" s="69" t="s">
        <v>277</v>
      </c>
      <c r="AW164" s="69" t="s">
        <v>277</v>
      </c>
      <c r="AX164" s="69"/>
      <c r="AY164" s="68">
        <v>0</v>
      </c>
      <c r="AZ164" s="68">
        <v>0</v>
      </c>
      <c r="BA164" s="68" t="s">
        <v>307</v>
      </c>
      <c r="BB164" s="68"/>
      <c r="BC164" s="69" t="s">
        <v>1459</v>
      </c>
      <c r="BD164" s="69" t="s">
        <v>277</v>
      </c>
      <c r="BE164" s="56" t="s">
        <v>277</v>
      </c>
      <c r="BF164" s="56" t="s">
        <v>277</v>
      </c>
      <c r="BG164" s="56" t="s">
        <v>277</v>
      </c>
      <c r="BH164" s="56" t="s">
        <v>277</v>
      </c>
      <c r="BI164" s="69">
        <v>0</v>
      </c>
      <c r="BJ164" s="69">
        <v>0</v>
      </c>
      <c r="BK164" s="69">
        <v>0</v>
      </c>
      <c r="BL164" s="69">
        <v>0</v>
      </c>
      <c r="BM164" s="69">
        <v>0</v>
      </c>
      <c r="BN164" s="69">
        <v>0</v>
      </c>
      <c r="BO164" s="69">
        <v>0</v>
      </c>
      <c r="BP164" s="69">
        <v>0</v>
      </c>
      <c r="BQ164" s="69"/>
      <c r="BR164" s="69" t="s">
        <v>382</v>
      </c>
      <c r="BS164" s="69" t="s">
        <v>798</v>
      </c>
      <c r="BT164" s="68">
        <v>0</v>
      </c>
      <c r="BU164" s="68">
        <v>0</v>
      </c>
      <c r="BV164" s="68">
        <v>0</v>
      </c>
      <c r="BW164" s="94">
        <v>0</v>
      </c>
      <c r="BX164" s="94">
        <v>0</v>
      </c>
      <c r="BY164" s="94">
        <v>0</v>
      </c>
      <c r="BZ164" s="94">
        <v>0</v>
      </c>
      <c r="CA164" s="94">
        <v>0</v>
      </c>
      <c r="CB164" s="94">
        <v>0</v>
      </c>
      <c r="CC164" s="94">
        <v>0</v>
      </c>
      <c r="CD164" s="109">
        <v>41666666</v>
      </c>
      <c r="CE164" s="94">
        <v>0</v>
      </c>
      <c r="CF164" s="108">
        <f>SUM(BT164:CE164)</f>
        <v>41666666</v>
      </c>
      <c r="CG164" s="108">
        <f>$CF164-$AF164</f>
        <v>0</v>
      </c>
      <c r="CH164" s="172" t="s">
        <v>289</v>
      </c>
      <c r="CI164" s="37" t="s">
        <v>290</v>
      </c>
      <c r="CJ164" s="37" t="s">
        <v>277</v>
      </c>
      <c r="CK164" s="37" t="s">
        <v>290</v>
      </c>
      <c r="CL164" s="37" t="s">
        <v>277</v>
      </c>
      <c r="CM164" s="37" t="s">
        <v>277</v>
      </c>
      <c r="CN164" s="37" t="s">
        <v>290</v>
      </c>
      <c r="CO164" s="37" t="s">
        <v>739</v>
      </c>
      <c r="CP164" s="41">
        <v>46023</v>
      </c>
      <c r="CQ164" s="41">
        <v>46387</v>
      </c>
      <c r="CR164" s="37" t="s">
        <v>293</v>
      </c>
      <c r="CS164" s="37" t="s">
        <v>294</v>
      </c>
      <c r="CT164" s="37" t="s">
        <v>295</v>
      </c>
      <c r="CU164" s="37" t="s">
        <v>341</v>
      </c>
      <c r="CV164" s="37" t="s">
        <v>382</v>
      </c>
      <c r="CW164" s="37">
        <v>4200002630</v>
      </c>
      <c r="CX164" s="37" t="s">
        <v>1457</v>
      </c>
      <c r="CY164" s="37">
        <v>3500000000</v>
      </c>
      <c r="CZ164" s="123">
        <v>45047</v>
      </c>
      <c r="DA164" s="123">
        <v>46143</v>
      </c>
      <c r="DB164" s="37" t="s">
        <v>277</v>
      </c>
      <c r="DC164" s="37" t="s">
        <v>1460</v>
      </c>
      <c r="DD164" s="68">
        <v>0</v>
      </c>
      <c r="DE164" s="68">
        <v>29166674</v>
      </c>
      <c r="DF164" s="68">
        <v>0</v>
      </c>
      <c r="DG164" s="68">
        <v>0</v>
      </c>
      <c r="DH164" s="68">
        <v>0</v>
      </c>
      <c r="DI164" s="68">
        <v>0</v>
      </c>
      <c r="DJ164" s="68">
        <v>0</v>
      </c>
      <c r="DK164" s="68">
        <v>0</v>
      </c>
      <c r="DL164" s="68">
        <v>0</v>
      </c>
      <c r="DM164" s="68">
        <v>0</v>
      </c>
      <c r="DN164" s="68">
        <v>0</v>
      </c>
      <c r="DO164" s="68">
        <v>0</v>
      </c>
      <c r="DP164" s="68">
        <f>SUM(DD164:DO164)</f>
        <v>29166674</v>
      </c>
      <c r="DQ164" s="68">
        <f>DP164-AB164</f>
        <v>0</v>
      </c>
      <c r="DR164" s="68">
        <f>$DD164</f>
        <v>0</v>
      </c>
      <c r="DS164" s="68">
        <f>DR164+DE164</f>
        <v>29166674</v>
      </c>
      <c r="DT164" s="68">
        <f>DS164+DF164</f>
        <v>29166674</v>
      </c>
      <c r="DU164" s="68">
        <f>DT164+DG164</f>
        <v>29166674</v>
      </c>
      <c r="DV164" s="68">
        <f>DU164+DH164</f>
        <v>29166674</v>
      </c>
      <c r="DW164" s="68">
        <f>DV164+DI164</f>
        <v>29166674</v>
      </c>
      <c r="DX164" s="68">
        <f>DW164+DJ164</f>
        <v>29166674</v>
      </c>
      <c r="DY164" s="68">
        <f>DX164+DK164</f>
        <v>29166674</v>
      </c>
      <c r="DZ164" s="68">
        <f>DY164+DL164</f>
        <v>29166674</v>
      </c>
      <c r="EA164" s="68">
        <f>DZ164+DM164</f>
        <v>29166674</v>
      </c>
      <c r="EB164" s="68">
        <f>EA164+DN164</f>
        <v>29166674</v>
      </c>
      <c r="EC164" s="68">
        <f>EB164+DO164</f>
        <v>29166674</v>
      </c>
      <c r="ED164" s="68">
        <f>$EC164-$AB164</f>
        <v>0</v>
      </c>
    </row>
    <row r="165" spans="1:134" ht="30">
      <c r="A165" s="74"/>
      <c r="B165" s="50">
        <v>61</v>
      </c>
      <c r="C165" s="50" t="s">
        <v>269</v>
      </c>
      <c r="D165" s="50" t="s">
        <v>297</v>
      </c>
      <c r="E165" s="50"/>
      <c r="F165" s="50" t="s">
        <v>272</v>
      </c>
      <c r="G165" s="50" t="s">
        <v>273</v>
      </c>
      <c r="H165" s="37" t="s">
        <v>151</v>
      </c>
      <c r="I165" s="37" t="s">
        <v>604</v>
      </c>
      <c r="J165" s="37" t="s">
        <v>1453</v>
      </c>
      <c r="K165" s="50" t="s">
        <v>3</v>
      </c>
      <c r="L165" s="50" t="s">
        <v>14</v>
      </c>
      <c r="M165" s="50" t="s">
        <v>16</v>
      </c>
      <c r="N165" s="50" t="s">
        <v>276</v>
      </c>
      <c r="O165" s="37" t="s">
        <v>3</v>
      </c>
      <c r="P165" s="37" t="s">
        <v>14</v>
      </c>
      <c r="Q165" s="37" t="s">
        <v>16</v>
      </c>
      <c r="R165" s="37" t="s">
        <v>276</v>
      </c>
      <c r="S165" s="50" t="s">
        <v>1461</v>
      </c>
      <c r="T165" s="50" t="s">
        <v>1462</v>
      </c>
      <c r="U165" s="50" t="s">
        <v>1463</v>
      </c>
      <c r="V165" s="56" t="s">
        <v>1464</v>
      </c>
      <c r="W165" s="56" t="s">
        <v>1464</v>
      </c>
      <c r="X165" s="38" t="s">
        <v>1464</v>
      </c>
      <c r="Y165" s="60">
        <v>23000000000</v>
      </c>
      <c r="Z165" s="60">
        <v>38333337</v>
      </c>
      <c r="AA165" s="60"/>
      <c r="AB165" s="60">
        <f>Z165+AA165</f>
        <v>38333337</v>
      </c>
      <c r="AC165" s="61"/>
      <c r="AD165" s="61"/>
      <c r="AE165" s="107">
        <v>23000000000</v>
      </c>
      <c r="AF165" s="109">
        <v>38333337</v>
      </c>
      <c r="AG165" s="108">
        <f>$AR165+$AZ165+$BQ165+$BT165+$BU165+$BV165</f>
        <v>61437500</v>
      </c>
      <c r="AH165" s="121">
        <f>AF165-AG165</f>
        <v>-23104163</v>
      </c>
      <c r="AI165" s="39" t="s">
        <v>1465</v>
      </c>
      <c r="AJ165" s="198"/>
      <c r="AK165" s="198"/>
      <c r="AL165" s="42"/>
      <c r="AM165" s="68"/>
      <c r="AN165" s="68"/>
      <c r="AO165" s="68"/>
      <c r="AP165" s="68"/>
      <c r="AQ165" s="68">
        <v>0</v>
      </c>
      <c r="AR165" s="68">
        <v>0</v>
      </c>
      <c r="AS165" s="68" t="s">
        <v>307</v>
      </c>
      <c r="AT165" s="68"/>
      <c r="AU165" s="69" t="s">
        <v>277</v>
      </c>
      <c r="AV165" s="69" t="s">
        <v>277</v>
      </c>
      <c r="AW165" s="69" t="s">
        <v>277</v>
      </c>
      <c r="AX165" s="69"/>
      <c r="AY165" s="68">
        <v>0</v>
      </c>
      <c r="AZ165" s="68">
        <v>0</v>
      </c>
      <c r="BA165" s="68" t="s">
        <v>307</v>
      </c>
      <c r="BB165" s="68"/>
      <c r="BC165" s="69" t="s">
        <v>1466</v>
      </c>
      <c r="BD165" s="69" t="s">
        <v>277</v>
      </c>
      <c r="BE165" s="56" t="s">
        <v>277</v>
      </c>
      <c r="BF165" s="56" t="s">
        <v>277</v>
      </c>
      <c r="BG165" s="56" t="s">
        <v>277</v>
      </c>
      <c r="BH165" s="56" t="s">
        <v>277</v>
      </c>
      <c r="BI165" s="69">
        <v>0</v>
      </c>
      <c r="BJ165" s="69">
        <v>0</v>
      </c>
      <c r="BK165" s="69">
        <v>0</v>
      </c>
      <c r="BL165" s="69">
        <v>0</v>
      </c>
      <c r="BM165" s="69">
        <v>0</v>
      </c>
      <c r="BN165" s="69">
        <v>0</v>
      </c>
      <c r="BO165" s="69">
        <v>0</v>
      </c>
      <c r="BP165" s="69">
        <v>0</v>
      </c>
      <c r="BQ165" s="69"/>
      <c r="BR165" s="69" t="s">
        <v>382</v>
      </c>
      <c r="BS165" s="69" t="s">
        <v>798</v>
      </c>
      <c r="BT165" s="68">
        <v>61437500</v>
      </c>
      <c r="BU165" s="68">
        <v>0</v>
      </c>
      <c r="BV165" s="68">
        <v>0</v>
      </c>
      <c r="BW165" s="94">
        <v>0</v>
      </c>
      <c r="BX165" s="94">
        <v>0</v>
      </c>
      <c r="BY165" s="94">
        <v>0</v>
      </c>
      <c r="BZ165" s="94">
        <v>0</v>
      </c>
      <c r="CA165" s="132">
        <v>0</v>
      </c>
      <c r="CB165" s="109">
        <v>0</v>
      </c>
      <c r="CC165" s="109">
        <v>0</v>
      </c>
      <c r="CD165" s="109">
        <v>0</v>
      </c>
      <c r="CE165" s="109">
        <v>0</v>
      </c>
      <c r="CF165" s="108">
        <f>SUM(BT165:CE165)</f>
        <v>61437500</v>
      </c>
      <c r="CG165" s="108">
        <f>$CF165-$AF165</f>
        <v>23104163</v>
      </c>
      <c r="CH165" s="172" t="s">
        <v>289</v>
      </c>
      <c r="CI165" s="37" t="s">
        <v>290</v>
      </c>
      <c r="CJ165" s="37" t="s">
        <v>277</v>
      </c>
      <c r="CK165" s="172" t="s">
        <v>290</v>
      </c>
      <c r="CL165" s="37" t="s">
        <v>277</v>
      </c>
      <c r="CM165" s="37" t="s">
        <v>277</v>
      </c>
      <c r="CN165" s="37" t="s">
        <v>290</v>
      </c>
      <c r="CO165" s="37" t="s">
        <v>275</v>
      </c>
      <c r="CP165" s="41">
        <v>46023</v>
      </c>
      <c r="CQ165" s="41">
        <v>46387</v>
      </c>
      <c r="CR165" s="37" t="s">
        <v>293</v>
      </c>
      <c r="CS165" s="37" t="s">
        <v>294</v>
      </c>
      <c r="CT165" s="37" t="s">
        <v>295</v>
      </c>
      <c r="CU165" s="37" t="s">
        <v>341</v>
      </c>
      <c r="CV165" s="37" t="s">
        <v>382</v>
      </c>
      <c r="CW165" s="37">
        <v>4200003774</v>
      </c>
      <c r="CX165" s="37" t="s">
        <v>1467</v>
      </c>
      <c r="CY165" s="37">
        <v>23000000000</v>
      </c>
      <c r="CZ165" s="123">
        <v>45383</v>
      </c>
      <c r="DA165" s="123">
        <v>46478</v>
      </c>
      <c r="DB165" s="37" t="s">
        <v>277</v>
      </c>
      <c r="DC165" s="37" t="s">
        <v>1460</v>
      </c>
      <c r="DD165" s="68">
        <v>0</v>
      </c>
      <c r="DE165" s="68">
        <v>38333337</v>
      </c>
      <c r="DF165" s="68">
        <v>0</v>
      </c>
      <c r="DG165" s="68">
        <v>0</v>
      </c>
      <c r="DH165" s="68">
        <v>0</v>
      </c>
      <c r="DI165" s="68">
        <v>0</v>
      </c>
      <c r="DJ165" s="68">
        <v>0</v>
      </c>
      <c r="DK165" s="68">
        <v>0</v>
      </c>
      <c r="DL165" s="68">
        <v>0</v>
      </c>
      <c r="DM165" s="68">
        <v>0</v>
      </c>
      <c r="DN165" s="68">
        <v>0</v>
      </c>
      <c r="DO165" s="68">
        <v>0</v>
      </c>
      <c r="DP165" s="68">
        <f>SUM(DD165:DO165)</f>
        <v>38333337</v>
      </c>
      <c r="DQ165" s="68">
        <f>DP165-AB165</f>
        <v>0</v>
      </c>
      <c r="DR165" s="68">
        <f>$DD165</f>
        <v>0</v>
      </c>
      <c r="DS165" s="68">
        <f>DR165+DE165</f>
        <v>38333337</v>
      </c>
      <c r="DT165" s="68">
        <f>DS165+DF165</f>
        <v>38333337</v>
      </c>
      <c r="DU165" s="68">
        <f>DT165+DG165</f>
        <v>38333337</v>
      </c>
      <c r="DV165" s="68">
        <f>DU165+DH165</f>
        <v>38333337</v>
      </c>
      <c r="DW165" s="68">
        <f>DV165+DI165</f>
        <v>38333337</v>
      </c>
      <c r="DX165" s="68">
        <f>DW165+DJ165</f>
        <v>38333337</v>
      </c>
      <c r="DY165" s="68">
        <f>DX165+DK165</f>
        <v>38333337</v>
      </c>
      <c r="DZ165" s="68">
        <f>DY165+DL165</f>
        <v>38333337</v>
      </c>
      <c r="EA165" s="68">
        <f>DZ165+DM165</f>
        <v>38333337</v>
      </c>
      <c r="EB165" s="68">
        <f>EA165+DN165</f>
        <v>38333337</v>
      </c>
      <c r="EC165" s="68">
        <f>EB165+DO165</f>
        <v>38333337</v>
      </c>
      <c r="ED165" s="68">
        <f>$EC165-$AB165</f>
        <v>0</v>
      </c>
    </row>
    <row r="166" spans="1:134" ht="60">
      <c r="A166" s="74"/>
      <c r="B166" s="50">
        <v>165</v>
      </c>
      <c r="C166" s="50" t="s">
        <v>269</v>
      </c>
      <c r="D166" s="50" t="s">
        <v>270</v>
      </c>
      <c r="E166" s="52" t="s">
        <v>1468</v>
      </c>
      <c r="F166" s="50" t="s">
        <v>272</v>
      </c>
      <c r="G166" s="50" t="s">
        <v>273</v>
      </c>
      <c r="H166" s="37" t="s">
        <v>151</v>
      </c>
      <c r="I166" s="37" t="s">
        <v>424</v>
      </c>
      <c r="J166" s="37" t="s">
        <v>694</v>
      </c>
      <c r="K166" s="50" t="s">
        <v>3</v>
      </c>
      <c r="L166" s="50" t="s">
        <v>14</v>
      </c>
      <c r="M166" s="50" t="s">
        <v>16</v>
      </c>
      <c r="N166" s="50" t="s">
        <v>276</v>
      </c>
      <c r="O166" s="37" t="s">
        <v>3</v>
      </c>
      <c r="P166" s="37" t="s">
        <v>14</v>
      </c>
      <c r="Q166" s="37" t="s">
        <v>16</v>
      </c>
      <c r="R166" s="37" t="s">
        <v>276</v>
      </c>
      <c r="S166" s="50" t="s">
        <v>277</v>
      </c>
      <c r="T166" s="50" t="s">
        <v>277</v>
      </c>
      <c r="U166" s="50" t="s">
        <v>1469</v>
      </c>
      <c r="V166" s="56" t="s">
        <v>277</v>
      </c>
      <c r="W166" s="56" t="s">
        <v>1470</v>
      </c>
      <c r="X166" s="38" t="s">
        <v>1470</v>
      </c>
      <c r="Y166" s="60">
        <v>696000004</v>
      </c>
      <c r="Z166" s="60"/>
      <c r="AA166" s="60"/>
      <c r="AB166" s="60"/>
      <c r="AC166" s="61"/>
      <c r="AD166" s="61"/>
      <c r="AE166" s="109">
        <v>696000004</v>
      </c>
      <c r="AF166" s="109">
        <v>27361602</v>
      </c>
      <c r="AG166" s="108">
        <f>$AR166+$AZ166+$BQ166+$BT166+$BU166+$BV166</f>
        <v>0</v>
      </c>
      <c r="AH166" s="121">
        <f>AF166-AG166</f>
        <v>27361602</v>
      </c>
      <c r="AI166" s="39" t="s">
        <v>1471</v>
      </c>
      <c r="AJ166" s="198"/>
      <c r="AK166" s="198"/>
      <c r="AL166" s="42"/>
      <c r="AM166" s="68"/>
      <c r="AN166" s="68"/>
      <c r="AO166" s="68"/>
      <c r="AP166" s="68"/>
      <c r="AQ166" s="68"/>
      <c r="AR166" s="68"/>
      <c r="AS166" s="68"/>
      <c r="AT166" s="68"/>
      <c r="AU166" s="69"/>
      <c r="AV166" s="69"/>
      <c r="AW166" s="69"/>
      <c r="AX166" s="69"/>
      <c r="AY166" s="68"/>
      <c r="AZ166" s="68"/>
      <c r="BA166" s="68"/>
      <c r="BB166" s="68"/>
      <c r="BC166" s="69"/>
      <c r="BD166" s="69"/>
      <c r="BE166" s="56" t="s">
        <v>277</v>
      </c>
      <c r="BF166" s="56" t="s">
        <v>277</v>
      </c>
      <c r="BG166" s="56" t="s">
        <v>277</v>
      </c>
      <c r="BH166" s="56" t="s">
        <v>277</v>
      </c>
      <c r="BI166" s="69">
        <v>0</v>
      </c>
      <c r="BJ166" s="69">
        <v>0</v>
      </c>
      <c r="BK166" s="69">
        <v>0</v>
      </c>
      <c r="BL166" s="69">
        <v>0</v>
      </c>
      <c r="BM166" s="69">
        <v>0</v>
      </c>
      <c r="BN166" s="69">
        <v>0</v>
      </c>
      <c r="BO166" s="69">
        <v>0</v>
      </c>
      <c r="BP166" s="69">
        <v>0</v>
      </c>
      <c r="BQ166" s="69"/>
      <c r="BR166" s="69" t="s">
        <v>382</v>
      </c>
      <c r="BS166" s="69" t="s">
        <v>440</v>
      </c>
      <c r="BT166" s="68">
        <v>0</v>
      </c>
      <c r="BU166" s="68">
        <v>0</v>
      </c>
      <c r="BV166" s="68">
        <v>0</v>
      </c>
      <c r="BW166" s="94">
        <v>0</v>
      </c>
      <c r="BX166" s="94">
        <v>0</v>
      </c>
      <c r="BY166" s="94">
        <v>0</v>
      </c>
      <c r="BZ166" s="94">
        <v>0</v>
      </c>
      <c r="CA166" s="94">
        <v>0</v>
      </c>
      <c r="CB166" s="94">
        <v>0</v>
      </c>
      <c r="CC166" s="109">
        <v>27361602</v>
      </c>
      <c r="CD166" s="94">
        <v>0</v>
      </c>
      <c r="CE166" s="94">
        <v>0</v>
      </c>
      <c r="CF166" s="108">
        <f>SUM(BT166:CE166)</f>
        <v>27361602</v>
      </c>
      <c r="CG166" s="108">
        <f>$CF166-$AF166</f>
        <v>0</v>
      </c>
      <c r="CH166" s="45" t="s">
        <v>289</v>
      </c>
      <c r="CI166" s="87" t="s">
        <v>290</v>
      </c>
      <c r="CJ166" s="87" t="s">
        <v>277</v>
      </c>
      <c r="CK166" s="91" t="s">
        <v>290</v>
      </c>
      <c r="CL166" s="87" t="s">
        <v>277</v>
      </c>
      <c r="CM166" s="87" t="s">
        <v>277</v>
      </c>
      <c r="CN166" s="91" t="s">
        <v>474</v>
      </c>
      <c r="CO166" s="87" t="s">
        <v>277</v>
      </c>
      <c r="CP166" s="87" t="s">
        <v>277</v>
      </c>
      <c r="CQ166" s="87" t="s">
        <v>277</v>
      </c>
      <c r="CR166" s="87" t="s">
        <v>293</v>
      </c>
      <c r="CS166" s="87" t="s">
        <v>322</v>
      </c>
      <c r="CT166" s="37" t="s">
        <v>444</v>
      </c>
      <c r="CU166" s="37" t="s">
        <v>1472</v>
      </c>
      <c r="CV166" s="37" t="s">
        <v>382</v>
      </c>
      <c r="CW166" s="37" t="s">
        <v>277</v>
      </c>
      <c r="CX166" s="37" t="s">
        <v>277</v>
      </c>
      <c r="CY166" s="37" t="s">
        <v>277</v>
      </c>
      <c r="CZ166" s="87" t="s">
        <v>277</v>
      </c>
      <c r="DA166" s="87" t="s">
        <v>277</v>
      </c>
      <c r="DB166" s="37" t="s">
        <v>277</v>
      </c>
      <c r="DC166" s="37" t="s">
        <v>277</v>
      </c>
      <c r="DD166" s="68"/>
      <c r="DE166" s="68"/>
      <c r="DF166" s="68"/>
      <c r="DG166" s="68"/>
      <c r="DH166" s="68"/>
      <c r="DI166" s="68"/>
      <c r="DJ166" s="68"/>
      <c r="DK166" s="68"/>
      <c r="DL166" s="68"/>
      <c r="DM166" s="68"/>
      <c r="DN166" s="68"/>
      <c r="DO166" s="68"/>
      <c r="DP166" s="68">
        <f>SUM(DD166:DO166)</f>
        <v>0</v>
      </c>
      <c r="DQ166" s="68">
        <f>DP166-AB166</f>
        <v>0</v>
      </c>
      <c r="DR166" s="68">
        <f>$DD166</f>
        <v>0</v>
      </c>
      <c r="DS166" s="68">
        <f>DR166+DE166</f>
        <v>0</v>
      </c>
      <c r="DT166" s="68">
        <f>DS166+DF166</f>
        <v>0</v>
      </c>
      <c r="DU166" s="68">
        <f>DT166+DG166</f>
        <v>0</v>
      </c>
      <c r="DV166" s="68">
        <f>DU166+DH166</f>
        <v>0</v>
      </c>
      <c r="DW166" s="68">
        <f>DV166+DI166</f>
        <v>0</v>
      </c>
      <c r="DX166" s="68">
        <f>DW166+DJ166</f>
        <v>0</v>
      </c>
      <c r="DY166" s="68">
        <f>DX166+DK166</f>
        <v>0</v>
      </c>
      <c r="DZ166" s="68">
        <f>DY166+DL166</f>
        <v>0</v>
      </c>
      <c r="EA166" s="68">
        <f>DZ166+DM166</f>
        <v>0</v>
      </c>
      <c r="EB166" s="68">
        <f>EA166+DN166</f>
        <v>0</v>
      </c>
      <c r="EC166" s="68">
        <f>EB166+DO166</f>
        <v>0</v>
      </c>
      <c r="ED166" s="68">
        <f>$EC166-$AB166</f>
        <v>0</v>
      </c>
    </row>
    <row r="167" spans="1:134" ht="45">
      <c r="A167" s="74"/>
      <c r="B167" s="50">
        <v>65</v>
      </c>
      <c r="C167" s="50" t="s">
        <v>269</v>
      </c>
      <c r="D167" s="50" t="s">
        <v>297</v>
      </c>
      <c r="E167" s="50"/>
      <c r="F167" s="50" t="s">
        <v>272</v>
      </c>
      <c r="G167" s="50" t="s">
        <v>273</v>
      </c>
      <c r="H167" s="37" t="s">
        <v>151</v>
      </c>
      <c r="I167" s="37" t="s">
        <v>674</v>
      </c>
      <c r="J167" s="37" t="s">
        <v>1095</v>
      </c>
      <c r="K167" s="50" t="s">
        <v>3</v>
      </c>
      <c r="L167" s="50" t="s">
        <v>14</v>
      </c>
      <c r="M167" s="50" t="s">
        <v>16</v>
      </c>
      <c r="N167" s="50" t="s">
        <v>276</v>
      </c>
      <c r="O167" s="37" t="s">
        <v>3</v>
      </c>
      <c r="P167" s="37" t="s">
        <v>14</v>
      </c>
      <c r="Q167" s="37" t="s">
        <v>16</v>
      </c>
      <c r="R167" s="37" t="s">
        <v>276</v>
      </c>
      <c r="S167" s="50" t="s">
        <v>1473</v>
      </c>
      <c r="T167" s="50" t="s">
        <v>1474</v>
      </c>
      <c r="U167" s="50" t="s">
        <v>1475</v>
      </c>
      <c r="V167" s="56" t="s">
        <v>1476</v>
      </c>
      <c r="W167" s="56" t="s">
        <v>1476</v>
      </c>
      <c r="X167" s="38" t="s">
        <v>1476</v>
      </c>
      <c r="Y167" s="60">
        <v>2960000000</v>
      </c>
      <c r="Z167" s="60">
        <v>60000000</v>
      </c>
      <c r="AA167" s="60"/>
      <c r="AB167" s="60">
        <f>Z167+AA167</f>
        <v>60000000</v>
      </c>
      <c r="AC167" s="61"/>
      <c r="AD167" s="61"/>
      <c r="AE167" s="96">
        <v>2960000000</v>
      </c>
      <c r="AF167" s="109">
        <v>20000000</v>
      </c>
      <c r="AG167" s="108">
        <f>$AR167+$AZ167+$BQ167+$BT167+$BU167+$BV167</f>
        <v>0</v>
      </c>
      <c r="AH167" s="121">
        <f>AF167-AG167</f>
        <v>20000000</v>
      </c>
      <c r="AI167" s="39" t="s">
        <v>1477</v>
      </c>
      <c r="AJ167" s="198"/>
      <c r="AK167" s="198"/>
      <c r="AL167" s="42"/>
      <c r="AM167" s="68"/>
      <c r="AN167" s="68"/>
      <c r="AO167" s="68"/>
      <c r="AP167" s="68"/>
      <c r="AQ167" s="68">
        <v>0</v>
      </c>
      <c r="AR167" s="68">
        <v>0</v>
      </c>
      <c r="AS167" s="68" t="s">
        <v>307</v>
      </c>
      <c r="AT167" s="68"/>
      <c r="AU167" s="69" t="s">
        <v>277</v>
      </c>
      <c r="AV167" s="69" t="s">
        <v>277</v>
      </c>
      <c r="AW167" s="69" t="s">
        <v>277</v>
      </c>
      <c r="AX167" s="69"/>
      <c r="AY167" s="68">
        <v>0</v>
      </c>
      <c r="AZ167" s="68">
        <v>0</v>
      </c>
      <c r="BA167" s="68" t="s">
        <v>307</v>
      </c>
      <c r="BB167" s="68"/>
      <c r="BC167" s="69" t="s">
        <v>1478</v>
      </c>
      <c r="BD167" s="69" t="s">
        <v>277</v>
      </c>
      <c r="BE167" s="56" t="s">
        <v>277</v>
      </c>
      <c r="BF167" s="56" t="s">
        <v>277</v>
      </c>
      <c r="BG167" s="56" t="s">
        <v>277</v>
      </c>
      <c r="BH167" s="56" t="s">
        <v>277</v>
      </c>
      <c r="BI167" s="69">
        <v>0</v>
      </c>
      <c r="BJ167" s="69">
        <v>0</v>
      </c>
      <c r="BK167" s="69">
        <v>0</v>
      </c>
      <c r="BL167" s="69">
        <v>0</v>
      </c>
      <c r="BM167" s="69">
        <v>0</v>
      </c>
      <c r="BN167" s="69">
        <v>0</v>
      </c>
      <c r="BO167" s="69">
        <v>0</v>
      </c>
      <c r="BP167" s="69">
        <v>0</v>
      </c>
      <c r="BQ167" s="69"/>
      <c r="BR167" s="69" t="s">
        <v>382</v>
      </c>
      <c r="BS167" s="69" t="s">
        <v>798</v>
      </c>
      <c r="BT167" s="68">
        <v>0</v>
      </c>
      <c r="BU167" s="68">
        <v>0</v>
      </c>
      <c r="BV167" s="68">
        <v>0</v>
      </c>
      <c r="BW167" s="94">
        <v>0</v>
      </c>
      <c r="BX167" s="94">
        <v>20000000</v>
      </c>
      <c r="BY167" s="94">
        <v>0</v>
      </c>
      <c r="BZ167" s="94">
        <v>0</v>
      </c>
      <c r="CA167" s="94">
        <v>0</v>
      </c>
      <c r="CB167" s="94">
        <v>0</v>
      </c>
      <c r="CC167" s="94">
        <v>0</v>
      </c>
      <c r="CD167" s="94">
        <v>0</v>
      </c>
      <c r="CE167" s="94">
        <v>0</v>
      </c>
      <c r="CF167" s="108">
        <f>SUM(BT167:CE167)</f>
        <v>20000000</v>
      </c>
      <c r="CG167" s="108">
        <f>$CF167-$AF167</f>
        <v>0</v>
      </c>
      <c r="CH167" s="37" t="s">
        <v>289</v>
      </c>
      <c r="CI167" s="37" t="s">
        <v>290</v>
      </c>
      <c r="CJ167" s="37" t="s">
        <v>277</v>
      </c>
      <c r="CK167" s="37" t="s">
        <v>290</v>
      </c>
      <c r="CL167" s="37" t="s">
        <v>277</v>
      </c>
      <c r="CM167" s="37" t="s">
        <v>277</v>
      </c>
      <c r="CN167" s="37" t="s">
        <v>290</v>
      </c>
      <c r="CO167" s="37" t="s">
        <v>277</v>
      </c>
      <c r="CP167" s="41">
        <v>46023</v>
      </c>
      <c r="CQ167" s="41">
        <v>46418</v>
      </c>
      <c r="CR167" s="37" t="s">
        <v>293</v>
      </c>
      <c r="CS167" s="37" t="s">
        <v>454</v>
      </c>
      <c r="CT167" s="37" t="s">
        <v>295</v>
      </c>
      <c r="CU167" s="37" t="s">
        <v>341</v>
      </c>
      <c r="CV167" s="37" t="s">
        <v>382</v>
      </c>
      <c r="CW167" s="88" t="s">
        <v>1479</v>
      </c>
      <c r="CX167" s="37" t="s">
        <v>1480</v>
      </c>
      <c r="CY167" s="37">
        <v>2960000000</v>
      </c>
      <c r="CZ167" s="123">
        <v>45536</v>
      </c>
      <c r="DA167" s="123">
        <v>46631</v>
      </c>
      <c r="DB167" s="37" t="s">
        <v>277</v>
      </c>
      <c r="DC167" s="37" t="s">
        <v>388</v>
      </c>
      <c r="DD167" s="68">
        <v>0</v>
      </c>
      <c r="DE167" s="68">
        <v>60000000</v>
      </c>
      <c r="DF167" s="68">
        <v>0</v>
      </c>
      <c r="DG167" s="68">
        <v>0</v>
      </c>
      <c r="DH167" s="68">
        <v>0</v>
      </c>
      <c r="DI167" s="68">
        <v>0</v>
      </c>
      <c r="DJ167" s="68">
        <v>0</v>
      </c>
      <c r="DK167" s="68">
        <v>0</v>
      </c>
      <c r="DL167" s="68">
        <v>0</v>
      </c>
      <c r="DM167" s="68">
        <v>0</v>
      </c>
      <c r="DN167" s="68">
        <v>0</v>
      </c>
      <c r="DO167" s="68">
        <v>0</v>
      </c>
      <c r="DP167" s="68">
        <f>SUM(DD167:DO167)</f>
        <v>60000000</v>
      </c>
      <c r="DQ167" s="68">
        <f>DP167-AB167</f>
        <v>0</v>
      </c>
      <c r="DR167" s="68">
        <f>$DD167</f>
        <v>0</v>
      </c>
      <c r="DS167" s="68">
        <f>DR167+DE167</f>
        <v>60000000</v>
      </c>
      <c r="DT167" s="68">
        <f>DS167+DF167</f>
        <v>60000000</v>
      </c>
      <c r="DU167" s="68">
        <f>DT167+DG167</f>
        <v>60000000</v>
      </c>
      <c r="DV167" s="68">
        <f>DU167+DH167</f>
        <v>60000000</v>
      </c>
      <c r="DW167" s="68">
        <f>DV167+DI167</f>
        <v>60000000</v>
      </c>
      <c r="DX167" s="68">
        <f>DW167+DJ167</f>
        <v>60000000</v>
      </c>
      <c r="DY167" s="68">
        <f>DX167+DK167</f>
        <v>60000000</v>
      </c>
      <c r="DZ167" s="68">
        <f>DY167+DL167</f>
        <v>60000000</v>
      </c>
      <c r="EA167" s="68">
        <f>DZ167+DM167</f>
        <v>60000000</v>
      </c>
      <c r="EB167" s="68">
        <f>EA167+DN167</f>
        <v>60000000</v>
      </c>
      <c r="EC167" s="68">
        <f>EB167+DO167</f>
        <v>60000000</v>
      </c>
      <c r="ED167" s="68">
        <f>$EC167-$AB167</f>
        <v>0</v>
      </c>
    </row>
    <row r="168" spans="1:134" ht="30">
      <c r="A168" s="74"/>
      <c r="B168" s="50">
        <v>131</v>
      </c>
      <c r="C168" s="50" t="s">
        <v>269</v>
      </c>
      <c r="D168" s="50" t="s">
        <v>297</v>
      </c>
      <c r="E168" s="50"/>
      <c r="F168" s="50" t="s">
        <v>272</v>
      </c>
      <c r="G168" s="50" t="s">
        <v>273</v>
      </c>
      <c r="H168" s="37" t="s">
        <v>151</v>
      </c>
      <c r="I168" s="37" t="s">
        <v>424</v>
      </c>
      <c r="J168" s="37" t="s">
        <v>694</v>
      </c>
      <c r="K168" s="50" t="s">
        <v>3</v>
      </c>
      <c r="L168" s="50" t="s">
        <v>14</v>
      </c>
      <c r="M168" s="50" t="s">
        <v>16</v>
      </c>
      <c r="N168" s="50" t="s">
        <v>276</v>
      </c>
      <c r="O168" s="37" t="s">
        <v>3</v>
      </c>
      <c r="P168" s="37" t="s">
        <v>14</v>
      </c>
      <c r="Q168" s="37" t="s">
        <v>16</v>
      </c>
      <c r="R168" s="37" t="s">
        <v>276</v>
      </c>
      <c r="S168" s="50" t="s">
        <v>1481</v>
      </c>
      <c r="T168" s="50" t="s">
        <v>1482</v>
      </c>
      <c r="U168" s="50" t="s">
        <v>1483</v>
      </c>
      <c r="V168" s="56" t="s">
        <v>1484</v>
      </c>
      <c r="W168" s="56" t="s">
        <v>1484</v>
      </c>
      <c r="X168" s="38" t="s">
        <v>1484</v>
      </c>
      <c r="Y168" s="60">
        <v>249167000</v>
      </c>
      <c r="Z168" s="60">
        <v>16650000</v>
      </c>
      <c r="AA168" s="60"/>
      <c r="AB168" s="60">
        <f>Z168+AA168</f>
        <v>16650000</v>
      </c>
      <c r="AC168" s="61"/>
      <c r="AD168" s="61"/>
      <c r="AE168" s="109">
        <v>249167000</v>
      </c>
      <c r="AF168" s="109">
        <v>16650000</v>
      </c>
      <c r="AG168" s="108">
        <f>$AR168+$AZ168+$BQ168+$BT168+$BU168+$BV168</f>
        <v>0</v>
      </c>
      <c r="AH168" s="121">
        <f>AF168-AG168</f>
        <v>16650000</v>
      </c>
      <c r="AI168" s="39" t="s">
        <v>1485</v>
      </c>
      <c r="AJ168" s="198"/>
      <c r="AK168" s="198"/>
      <c r="AL168" s="42"/>
      <c r="AM168" s="68"/>
      <c r="AN168" s="68"/>
      <c r="AO168" s="68"/>
      <c r="AP168" s="68"/>
      <c r="AQ168" s="68">
        <v>0</v>
      </c>
      <c r="AR168" s="68">
        <v>0</v>
      </c>
      <c r="AS168" s="68" t="s">
        <v>307</v>
      </c>
      <c r="AT168" s="68"/>
      <c r="AU168" s="69" t="s">
        <v>277</v>
      </c>
      <c r="AV168" s="69" t="s">
        <v>277</v>
      </c>
      <c r="AW168" s="69" t="s">
        <v>277</v>
      </c>
      <c r="AX168" s="69"/>
      <c r="AY168" s="68">
        <v>0</v>
      </c>
      <c r="AZ168" s="68">
        <v>0</v>
      </c>
      <c r="BA168" s="68" t="s">
        <v>307</v>
      </c>
      <c r="BB168" s="68"/>
      <c r="BC168" s="69" t="s">
        <v>1486</v>
      </c>
      <c r="BD168" s="69" t="s">
        <v>277</v>
      </c>
      <c r="BE168" s="56" t="s">
        <v>277</v>
      </c>
      <c r="BF168" s="56" t="s">
        <v>277</v>
      </c>
      <c r="BG168" s="56" t="s">
        <v>277</v>
      </c>
      <c r="BH168" s="56" t="s">
        <v>277</v>
      </c>
      <c r="BI168" s="69">
        <v>0</v>
      </c>
      <c r="BJ168" s="69">
        <v>0</v>
      </c>
      <c r="BK168" s="69">
        <v>0</v>
      </c>
      <c r="BL168" s="69">
        <v>0</v>
      </c>
      <c r="BM168" s="69">
        <v>0</v>
      </c>
      <c r="BN168" s="69">
        <v>0</v>
      </c>
      <c r="BO168" s="69">
        <v>0</v>
      </c>
      <c r="BP168" s="69">
        <v>0</v>
      </c>
      <c r="BQ168" s="69"/>
      <c r="BR168" s="69" t="s">
        <v>382</v>
      </c>
      <c r="BS168" s="69" t="s">
        <v>798</v>
      </c>
      <c r="BT168" s="68">
        <v>0</v>
      </c>
      <c r="BU168" s="68">
        <v>0</v>
      </c>
      <c r="BV168" s="68">
        <v>0</v>
      </c>
      <c r="BW168" s="94">
        <v>0</v>
      </c>
      <c r="BX168" s="94">
        <v>0</v>
      </c>
      <c r="BY168" s="94">
        <v>0</v>
      </c>
      <c r="BZ168" s="94">
        <v>16650000</v>
      </c>
      <c r="CA168" s="94">
        <v>0</v>
      </c>
      <c r="CB168" s="94">
        <v>0</v>
      </c>
      <c r="CC168" s="94">
        <v>0</v>
      </c>
      <c r="CD168" s="94">
        <v>0</v>
      </c>
      <c r="CE168" s="94">
        <v>0</v>
      </c>
      <c r="CF168" s="108">
        <f>SUM(BT168:CE168)</f>
        <v>16650000</v>
      </c>
      <c r="CG168" s="108">
        <f>$CF168-$AF168</f>
        <v>0</v>
      </c>
      <c r="CH168" s="37" t="s">
        <v>289</v>
      </c>
      <c r="CI168" s="37" t="s">
        <v>290</v>
      </c>
      <c r="CJ168" s="37" t="s">
        <v>277</v>
      </c>
      <c r="CK168" s="37" t="s">
        <v>290</v>
      </c>
      <c r="CL168" s="37" t="s">
        <v>277</v>
      </c>
      <c r="CM168" s="37" t="s">
        <v>277</v>
      </c>
      <c r="CN168" s="37" t="s">
        <v>290</v>
      </c>
      <c r="CO168" s="37" t="s">
        <v>433</v>
      </c>
      <c r="CP168" s="41">
        <v>46023</v>
      </c>
      <c r="CQ168" s="41">
        <v>46387</v>
      </c>
      <c r="CR168" s="37" t="s">
        <v>293</v>
      </c>
      <c r="CS168" s="37" t="s">
        <v>322</v>
      </c>
      <c r="CT168" s="37" t="s">
        <v>295</v>
      </c>
      <c r="CU168" s="37" t="s">
        <v>341</v>
      </c>
      <c r="CV168" s="37" t="s">
        <v>382</v>
      </c>
      <c r="CW168" s="37">
        <v>4200004456</v>
      </c>
      <c r="CX168" s="37" t="s">
        <v>1484</v>
      </c>
      <c r="CY168" s="37">
        <v>227615290</v>
      </c>
      <c r="CZ168" s="123">
        <v>45597</v>
      </c>
      <c r="DA168" s="123">
        <v>45658</v>
      </c>
      <c r="DB168" s="37" t="s">
        <v>277</v>
      </c>
      <c r="DC168" s="37" t="s">
        <v>1487</v>
      </c>
      <c r="DD168" s="68">
        <v>0</v>
      </c>
      <c r="DE168" s="68">
        <v>16650000</v>
      </c>
      <c r="DF168" s="68">
        <v>0</v>
      </c>
      <c r="DG168" s="68">
        <v>0</v>
      </c>
      <c r="DH168" s="68">
        <v>0</v>
      </c>
      <c r="DI168" s="68">
        <v>0</v>
      </c>
      <c r="DJ168" s="68">
        <v>0</v>
      </c>
      <c r="DK168" s="68">
        <v>0</v>
      </c>
      <c r="DL168" s="68">
        <v>0</v>
      </c>
      <c r="DM168" s="68">
        <v>0</v>
      </c>
      <c r="DN168" s="68">
        <v>0</v>
      </c>
      <c r="DO168" s="68">
        <v>0</v>
      </c>
      <c r="DP168" s="68">
        <f>SUM(DD168:DO168)</f>
        <v>16650000</v>
      </c>
      <c r="DQ168" s="68">
        <f>DP168-AB168</f>
        <v>0</v>
      </c>
      <c r="DR168" s="68">
        <f>$DD168</f>
        <v>0</v>
      </c>
      <c r="DS168" s="68">
        <f>DR168+DE168</f>
        <v>16650000</v>
      </c>
      <c r="DT168" s="68">
        <f>DS168+DF168</f>
        <v>16650000</v>
      </c>
      <c r="DU168" s="68">
        <f>DT168+DG168</f>
        <v>16650000</v>
      </c>
      <c r="DV168" s="68">
        <f>DU168+DH168</f>
        <v>16650000</v>
      </c>
      <c r="DW168" s="68">
        <f>DV168+DI168</f>
        <v>16650000</v>
      </c>
      <c r="DX168" s="68">
        <f>DW168+DJ168</f>
        <v>16650000</v>
      </c>
      <c r="DY168" s="68">
        <f>DX168+DK168</f>
        <v>16650000</v>
      </c>
      <c r="DZ168" s="68">
        <f>DY168+DL168</f>
        <v>16650000</v>
      </c>
      <c r="EA168" s="68">
        <f>DZ168+DM168</f>
        <v>16650000</v>
      </c>
      <c r="EB168" s="68">
        <f>EA168+DN168</f>
        <v>16650000</v>
      </c>
      <c r="EC168" s="68">
        <f>EB168+DO168</f>
        <v>16650000</v>
      </c>
      <c r="ED168" s="68">
        <f>$EC168-$AB168</f>
        <v>0</v>
      </c>
    </row>
    <row r="169" spans="1:134" ht="30">
      <c r="A169" s="74"/>
      <c r="B169" s="50">
        <v>147</v>
      </c>
      <c r="C169" s="50" t="s">
        <v>269</v>
      </c>
      <c r="D169" s="50" t="s">
        <v>297</v>
      </c>
      <c r="E169" s="50"/>
      <c r="F169" s="50" t="s">
        <v>272</v>
      </c>
      <c r="G169" s="50" t="s">
        <v>273</v>
      </c>
      <c r="H169" s="37" t="s">
        <v>151</v>
      </c>
      <c r="I169" s="37" t="s">
        <v>274</v>
      </c>
      <c r="J169" s="37" t="s">
        <v>275</v>
      </c>
      <c r="K169" s="50" t="s">
        <v>3</v>
      </c>
      <c r="L169" s="50" t="s">
        <v>25</v>
      </c>
      <c r="M169" s="50" t="s">
        <v>52</v>
      </c>
      <c r="N169" s="50" t="s">
        <v>276</v>
      </c>
      <c r="O169" s="37" t="s">
        <v>3</v>
      </c>
      <c r="P169" s="37" t="s">
        <v>25</v>
      </c>
      <c r="Q169" s="37" t="s">
        <v>52</v>
      </c>
      <c r="R169" s="37" t="s">
        <v>512</v>
      </c>
      <c r="S169" s="50" t="s">
        <v>1488</v>
      </c>
      <c r="T169" s="50" t="s">
        <v>654</v>
      </c>
      <c r="U169" s="50" t="s">
        <v>1489</v>
      </c>
      <c r="V169" s="56" t="s">
        <v>1490</v>
      </c>
      <c r="W169" s="56" t="s">
        <v>1490</v>
      </c>
      <c r="X169" s="38" t="s">
        <v>1490</v>
      </c>
      <c r="Y169" s="60">
        <v>580286505</v>
      </c>
      <c r="Z169" s="60">
        <v>17408595</v>
      </c>
      <c r="AA169" s="60"/>
      <c r="AB169" s="60">
        <f>Z169+AA169</f>
        <v>17408595</v>
      </c>
      <c r="AC169" s="61"/>
      <c r="AD169" s="61"/>
      <c r="AE169" s="96">
        <v>580286505</v>
      </c>
      <c r="AF169" s="109">
        <v>15000000</v>
      </c>
      <c r="AG169" s="108">
        <f>$AR169+$AZ169+$BQ169+$BT169+$BU169+$BV169</f>
        <v>17408595.149999999</v>
      </c>
      <c r="AH169" s="121">
        <f>AF169-AG169</f>
        <v>-2408595.1499999985</v>
      </c>
      <c r="AI169" s="39" t="s">
        <v>1491</v>
      </c>
      <c r="AJ169" s="198"/>
      <c r="AK169" s="198"/>
      <c r="AL169" s="42"/>
      <c r="AM169" s="68"/>
      <c r="AN169" s="68"/>
      <c r="AO169" s="68"/>
      <c r="AP169" s="68"/>
      <c r="AQ169" s="68">
        <v>0</v>
      </c>
      <c r="AR169" s="68">
        <v>0</v>
      </c>
      <c r="AS169" s="68" t="s">
        <v>307</v>
      </c>
      <c r="AT169" s="68"/>
      <c r="AU169" s="69" t="s">
        <v>1492</v>
      </c>
      <c r="AV169" s="69" t="s">
        <v>1493</v>
      </c>
      <c r="AW169" s="69" t="s">
        <v>1494</v>
      </c>
      <c r="AX169" s="69"/>
      <c r="AY169" s="68">
        <v>17408595.149999999</v>
      </c>
      <c r="AZ169" s="68">
        <v>17408595.149999999</v>
      </c>
      <c r="BA169" s="68" t="s">
        <v>307</v>
      </c>
      <c r="BB169" s="68"/>
      <c r="BC169" s="69" t="s">
        <v>1495</v>
      </c>
      <c r="BD169" s="69" t="s">
        <v>277</v>
      </c>
      <c r="BE169" s="56" t="s">
        <v>277</v>
      </c>
      <c r="BF169" s="56" t="s">
        <v>277</v>
      </c>
      <c r="BG169" s="56" t="s">
        <v>277</v>
      </c>
      <c r="BH169" s="56" t="s">
        <v>277</v>
      </c>
      <c r="BI169" s="69">
        <v>0</v>
      </c>
      <c r="BJ169" s="69">
        <v>0</v>
      </c>
      <c r="BK169" s="69">
        <v>0</v>
      </c>
      <c r="BL169" s="69">
        <v>0</v>
      </c>
      <c r="BM169" s="69">
        <v>0</v>
      </c>
      <c r="BN169" s="69">
        <v>0</v>
      </c>
      <c r="BO169" s="69">
        <v>0</v>
      </c>
      <c r="BP169" s="69">
        <v>0</v>
      </c>
      <c r="BQ169" s="69"/>
      <c r="BR169" s="69" t="s">
        <v>382</v>
      </c>
      <c r="BS169" s="69" t="s">
        <v>798</v>
      </c>
      <c r="BT169" s="68">
        <v>0</v>
      </c>
      <c r="BU169" s="68">
        <v>0</v>
      </c>
      <c r="BV169" s="68"/>
      <c r="BW169" s="94">
        <v>0</v>
      </c>
      <c r="BX169" s="94">
        <v>0</v>
      </c>
      <c r="BY169" s="94">
        <v>0</v>
      </c>
      <c r="BZ169" s="94">
        <v>0</v>
      </c>
      <c r="CA169" s="94">
        <v>0</v>
      </c>
      <c r="CB169" s="94">
        <v>0</v>
      </c>
      <c r="CC169" s="94">
        <v>0</v>
      </c>
      <c r="CD169" s="94">
        <v>0</v>
      </c>
      <c r="CE169" s="109">
        <v>0</v>
      </c>
      <c r="CF169" s="108">
        <f>SUM(BT169:CE169)</f>
        <v>0</v>
      </c>
      <c r="CG169" s="108">
        <f>$CF169-$AF169</f>
        <v>-15000000</v>
      </c>
      <c r="CH169" s="37" t="s">
        <v>289</v>
      </c>
      <c r="CI169" s="37" t="s">
        <v>290</v>
      </c>
      <c r="CJ169" s="37" t="s">
        <v>277</v>
      </c>
      <c r="CK169" s="37" t="s">
        <v>290</v>
      </c>
      <c r="CL169" s="37" t="s">
        <v>277</v>
      </c>
      <c r="CM169" s="37" t="s">
        <v>277</v>
      </c>
      <c r="CN169" s="37" t="s">
        <v>290</v>
      </c>
      <c r="CO169" s="37" t="s">
        <v>275</v>
      </c>
      <c r="CP169" s="41">
        <v>45809</v>
      </c>
      <c r="CQ169" s="41">
        <v>46235</v>
      </c>
      <c r="CR169" s="37" t="s">
        <v>293</v>
      </c>
      <c r="CS169" s="37" t="s">
        <v>322</v>
      </c>
      <c r="CT169" s="37" t="s">
        <v>295</v>
      </c>
      <c r="CU169" s="37" t="s">
        <v>341</v>
      </c>
      <c r="CV169" s="37" t="s">
        <v>384</v>
      </c>
      <c r="CW169" s="37" t="s">
        <v>277</v>
      </c>
      <c r="CX169" s="37" t="s">
        <v>277</v>
      </c>
      <c r="CY169" s="37">
        <v>0</v>
      </c>
      <c r="CZ169" s="123" t="s">
        <v>277</v>
      </c>
      <c r="DA169" s="123" t="s">
        <v>277</v>
      </c>
      <c r="DB169" s="37" t="s">
        <v>343</v>
      </c>
      <c r="DC169" s="37" t="s">
        <v>1496</v>
      </c>
      <c r="DD169" s="68">
        <v>0</v>
      </c>
      <c r="DE169" s="68">
        <v>0</v>
      </c>
      <c r="DF169" s="68">
        <v>0</v>
      </c>
      <c r="DG169" s="68">
        <v>0</v>
      </c>
      <c r="DH169" s="68">
        <v>0</v>
      </c>
      <c r="DI169" s="68">
        <v>0</v>
      </c>
      <c r="DJ169" s="68">
        <v>0</v>
      </c>
      <c r="DK169" s="68">
        <v>17408595</v>
      </c>
      <c r="DL169" s="68">
        <v>0</v>
      </c>
      <c r="DM169" s="68">
        <v>0</v>
      </c>
      <c r="DN169" s="68">
        <v>0</v>
      </c>
      <c r="DO169" s="68">
        <v>0</v>
      </c>
      <c r="DP169" s="68">
        <f>SUM(DD169:DO169)</f>
        <v>17408595</v>
      </c>
      <c r="DQ169" s="68">
        <f>DP169-AB169</f>
        <v>0</v>
      </c>
      <c r="DR169" s="68">
        <f>$DD169</f>
        <v>0</v>
      </c>
      <c r="DS169" s="68">
        <f>DR169+DE169</f>
        <v>0</v>
      </c>
      <c r="DT169" s="68">
        <f>DS169+DF169</f>
        <v>0</v>
      </c>
      <c r="DU169" s="68">
        <f>DT169+DG169</f>
        <v>0</v>
      </c>
      <c r="DV169" s="68">
        <f>DU169+DH169</f>
        <v>0</v>
      </c>
      <c r="DW169" s="68">
        <f>DV169+DI169</f>
        <v>0</v>
      </c>
      <c r="DX169" s="68">
        <f>DW169+DJ169</f>
        <v>0</v>
      </c>
      <c r="DY169" s="68">
        <f>DX169+DK169</f>
        <v>17408595</v>
      </c>
      <c r="DZ169" s="68">
        <f>DY169+DL169</f>
        <v>17408595</v>
      </c>
      <c r="EA169" s="68">
        <f>DZ169+DM169</f>
        <v>17408595</v>
      </c>
      <c r="EB169" s="68">
        <f>EA169+DN169</f>
        <v>17408595</v>
      </c>
      <c r="EC169" s="68">
        <f>EB169+DO169</f>
        <v>17408595</v>
      </c>
      <c r="ED169" s="68">
        <f>$EC169-$AB169</f>
        <v>0</v>
      </c>
    </row>
    <row r="170" spans="1:134" ht="45">
      <c r="A170" s="74"/>
      <c r="B170" s="50">
        <v>83</v>
      </c>
      <c r="C170" s="50" t="s">
        <v>269</v>
      </c>
      <c r="D170" s="50" t="s">
        <v>297</v>
      </c>
      <c r="E170" s="50"/>
      <c r="F170" s="50" t="s">
        <v>272</v>
      </c>
      <c r="G170" s="50" t="s">
        <v>273</v>
      </c>
      <c r="H170" s="37" t="s">
        <v>151</v>
      </c>
      <c r="I170" s="37" t="s">
        <v>424</v>
      </c>
      <c r="J170" s="37" t="s">
        <v>694</v>
      </c>
      <c r="K170" s="50" t="s">
        <v>3</v>
      </c>
      <c r="L170" s="50" t="s">
        <v>14</v>
      </c>
      <c r="M170" s="50" t="s">
        <v>16</v>
      </c>
      <c r="N170" s="50" t="s">
        <v>276</v>
      </c>
      <c r="O170" s="37" t="s">
        <v>3</v>
      </c>
      <c r="P170" s="37" t="s">
        <v>14</v>
      </c>
      <c r="Q170" s="37" t="s">
        <v>16</v>
      </c>
      <c r="R170" s="37" t="s">
        <v>276</v>
      </c>
      <c r="S170" s="50" t="s">
        <v>1497</v>
      </c>
      <c r="T170" s="50" t="s">
        <v>1498</v>
      </c>
      <c r="U170" s="50" t="s">
        <v>1499</v>
      </c>
      <c r="V170" s="56" t="s">
        <v>1500</v>
      </c>
      <c r="W170" s="56" t="s">
        <v>1501</v>
      </c>
      <c r="X170" s="38" t="s">
        <v>1501</v>
      </c>
      <c r="Y170" s="60">
        <v>689310000</v>
      </c>
      <c r="Z170" s="60">
        <v>0</v>
      </c>
      <c r="AA170" s="60"/>
      <c r="AB170" s="60">
        <f>Z170+AA170</f>
        <v>0</v>
      </c>
      <c r="AC170" s="61"/>
      <c r="AD170" s="61"/>
      <c r="AE170" s="96">
        <v>689310000</v>
      </c>
      <c r="AF170" s="109">
        <v>6280297</v>
      </c>
      <c r="AG170" s="108">
        <f>$AR170+$AZ170+$BQ170+$BT170+$BU170+$BV170</f>
        <v>0</v>
      </c>
      <c r="AH170" s="121">
        <f>AF170-AG170</f>
        <v>6280297</v>
      </c>
      <c r="AI170" s="39" t="s">
        <v>1502</v>
      </c>
      <c r="AJ170" s="200"/>
      <c r="AK170" s="200"/>
      <c r="AL170" s="39"/>
      <c r="AM170" s="68"/>
      <c r="AN170" s="68"/>
      <c r="AO170" s="68"/>
      <c r="AP170" s="68"/>
      <c r="AQ170" s="68">
        <v>0</v>
      </c>
      <c r="AR170" s="68">
        <v>0</v>
      </c>
      <c r="AS170" s="68" t="s">
        <v>307</v>
      </c>
      <c r="AT170" s="68"/>
      <c r="AU170" s="69" t="s">
        <v>277</v>
      </c>
      <c r="AV170" s="69" t="s">
        <v>277</v>
      </c>
      <c r="AW170" s="69" t="s">
        <v>277</v>
      </c>
      <c r="AX170" s="69"/>
      <c r="AY170" s="68">
        <v>0</v>
      </c>
      <c r="AZ170" s="68">
        <v>0</v>
      </c>
      <c r="BA170" s="68" t="s">
        <v>307</v>
      </c>
      <c r="BB170" s="68"/>
      <c r="BC170" s="69" t="s">
        <v>797</v>
      </c>
      <c r="BD170" s="69" t="s">
        <v>277</v>
      </c>
      <c r="BE170" s="56" t="s">
        <v>277</v>
      </c>
      <c r="BF170" s="56" t="s">
        <v>277</v>
      </c>
      <c r="BG170" s="56" t="s">
        <v>277</v>
      </c>
      <c r="BH170" s="56" t="s">
        <v>277</v>
      </c>
      <c r="BI170" s="69">
        <v>0</v>
      </c>
      <c r="BJ170" s="69">
        <v>0</v>
      </c>
      <c r="BK170" s="69">
        <v>0</v>
      </c>
      <c r="BL170" s="69">
        <v>0</v>
      </c>
      <c r="BM170" s="69">
        <v>0</v>
      </c>
      <c r="BN170" s="69">
        <v>0</v>
      </c>
      <c r="BO170" s="69">
        <v>0</v>
      </c>
      <c r="BP170" s="69">
        <v>0</v>
      </c>
      <c r="BQ170" s="69"/>
      <c r="BR170" s="69" t="s">
        <v>382</v>
      </c>
      <c r="BS170" s="69" t="s">
        <v>798</v>
      </c>
      <c r="BT170" s="68">
        <v>0</v>
      </c>
      <c r="BU170" s="68">
        <v>0</v>
      </c>
      <c r="BV170" s="68">
        <v>0</v>
      </c>
      <c r="BW170" s="94">
        <v>0</v>
      </c>
      <c r="BX170" s="94">
        <v>0</v>
      </c>
      <c r="BY170" s="94">
        <v>0</v>
      </c>
      <c r="BZ170" s="107">
        <v>6280297</v>
      </c>
      <c r="CA170" s="94">
        <v>0</v>
      </c>
      <c r="CB170" s="94">
        <v>0</v>
      </c>
      <c r="CC170" s="94">
        <v>0</v>
      </c>
      <c r="CD170" s="94">
        <v>0</v>
      </c>
      <c r="CE170" s="94">
        <v>0</v>
      </c>
      <c r="CF170" s="108">
        <f>SUM(BT170:CE170)</f>
        <v>6280297</v>
      </c>
      <c r="CG170" s="108">
        <f>$CF170-$AF170</f>
        <v>0</v>
      </c>
      <c r="CH170" s="37" t="s">
        <v>289</v>
      </c>
      <c r="CI170" s="37" t="s">
        <v>290</v>
      </c>
      <c r="CJ170" s="37" t="s">
        <v>277</v>
      </c>
      <c r="CK170" s="37" t="s">
        <v>290</v>
      </c>
      <c r="CL170" s="37" t="s">
        <v>277</v>
      </c>
      <c r="CM170" s="37" t="s">
        <v>277</v>
      </c>
      <c r="CN170" s="37" t="s">
        <v>290</v>
      </c>
      <c r="CO170" s="37" t="s">
        <v>568</v>
      </c>
      <c r="CP170" s="41">
        <v>46023</v>
      </c>
      <c r="CQ170" s="41">
        <v>46387</v>
      </c>
      <c r="CR170" s="37" t="s">
        <v>293</v>
      </c>
      <c r="CS170" s="37" t="s">
        <v>322</v>
      </c>
      <c r="CT170" s="37" t="s">
        <v>295</v>
      </c>
      <c r="CU170" s="37" t="s">
        <v>341</v>
      </c>
      <c r="CV170" s="37" t="s">
        <v>382</v>
      </c>
      <c r="CW170" s="37">
        <v>4200002567</v>
      </c>
      <c r="CX170" s="37" t="s">
        <v>1503</v>
      </c>
      <c r="CY170" s="37">
        <v>689310000</v>
      </c>
      <c r="CZ170" s="123">
        <v>45017</v>
      </c>
      <c r="DA170" s="123">
        <v>46478</v>
      </c>
      <c r="DB170" s="37" t="s">
        <v>277</v>
      </c>
      <c r="DC170" s="37" t="s">
        <v>1109</v>
      </c>
      <c r="DD170" s="68">
        <v>0</v>
      </c>
      <c r="DE170" s="68">
        <v>0</v>
      </c>
      <c r="DF170" s="68">
        <v>0</v>
      </c>
      <c r="DG170" s="68">
        <v>0</v>
      </c>
      <c r="DH170" s="68">
        <v>0</v>
      </c>
      <c r="DI170" s="68">
        <v>0</v>
      </c>
      <c r="DJ170" s="68">
        <v>0</v>
      </c>
      <c r="DK170" s="68">
        <v>0</v>
      </c>
      <c r="DL170" s="68">
        <v>0</v>
      </c>
      <c r="DM170" s="68">
        <v>0</v>
      </c>
      <c r="DN170" s="68">
        <v>0</v>
      </c>
      <c r="DO170" s="68">
        <v>0</v>
      </c>
      <c r="DP170" s="68">
        <f>SUM(DD170:DO170)</f>
        <v>0</v>
      </c>
      <c r="DQ170" s="68">
        <f>DP170-AB170</f>
        <v>0</v>
      </c>
      <c r="DR170" s="68">
        <f>$DD170</f>
        <v>0</v>
      </c>
      <c r="DS170" s="68">
        <f>DR170+DE170</f>
        <v>0</v>
      </c>
      <c r="DT170" s="68">
        <f>DS170+DF170</f>
        <v>0</v>
      </c>
      <c r="DU170" s="68">
        <f>DT170+DG170</f>
        <v>0</v>
      </c>
      <c r="DV170" s="68">
        <f>DU170+DH170</f>
        <v>0</v>
      </c>
      <c r="DW170" s="68">
        <f>DV170+DI170</f>
        <v>0</v>
      </c>
      <c r="DX170" s="68">
        <f>DW170+DJ170</f>
        <v>0</v>
      </c>
      <c r="DY170" s="68">
        <f>DX170+DK170</f>
        <v>0</v>
      </c>
      <c r="DZ170" s="68">
        <f>DY170+DL170</f>
        <v>0</v>
      </c>
      <c r="EA170" s="68">
        <f>DZ170+DM170</f>
        <v>0</v>
      </c>
      <c r="EB170" s="68">
        <f>EA170+DN170</f>
        <v>0</v>
      </c>
      <c r="EC170" s="68">
        <f>EB170+DO170</f>
        <v>0</v>
      </c>
      <c r="ED170" s="68">
        <f>$EC170-$AB170</f>
        <v>0</v>
      </c>
    </row>
    <row r="171" spans="1:134" ht="30">
      <c r="A171" s="74"/>
      <c r="B171" s="50">
        <v>149</v>
      </c>
      <c r="C171" s="50" t="s">
        <v>269</v>
      </c>
      <c r="D171" s="50" t="s">
        <v>297</v>
      </c>
      <c r="E171" s="50"/>
      <c r="F171" s="50" t="s">
        <v>272</v>
      </c>
      <c r="G171" s="50" t="s">
        <v>273</v>
      </c>
      <c r="H171" s="37" t="s">
        <v>1504</v>
      </c>
      <c r="I171" s="37" t="s">
        <v>274</v>
      </c>
      <c r="J171" s="92" t="s">
        <v>1505</v>
      </c>
      <c r="K171" s="50" t="s">
        <v>3</v>
      </c>
      <c r="L171" s="50" t="s">
        <v>25</v>
      </c>
      <c r="M171" s="50" t="s">
        <v>52</v>
      </c>
      <c r="N171" s="50" t="s">
        <v>276</v>
      </c>
      <c r="O171" s="37" t="s">
        <v>3</v>
      </c>
      <c r="P171" s="37" t="s">
        <v>25</v>
      </c>
      <c r="Q171" s="37" t="s">
        <v>52</v>
      </c>
      <c r="R171" s="37" t="s">
        <v>512</v>
      </c>
      <c r="S171" s="50" t="s">
        <v>1506</v>
      </c>
      <c r="T171" s="50" t="s">
        <v>1507</v>
      </c>
      <c r="U171" s="50" t="s">
        <v>1508</v>
      </c>
      <c r="V171" s="84" t="s">
        <v>1509</v>
      </c>
      <c r="W171" s="84" t="s">
        <v>1509</v>
      </c>
      <c r="X171" s="82" t="s">
        <v>1509</v>
      </c>
      <c r="Y171" s="60">
        <v>7100000000</v>
      </c>
      <c r="Z171" s="60">
        <v>2310953840</v>
      </c>
      <c r="AA171" s="60">
        <v>-2310953840</v>
      </c>
      <c r="AB171" s="60">
        <f>Z171+AA171</f>
        <v>0</v>
      </c>
      <c r="AC171" s="61" t="s">
        <v>414</v>
      </c>
      <c r="AD171" s="61" t="s">
        <v>1510</v>
      </c>
      <c r="AE171" s="112">
        <v>7100000000</v>
      </c>
      <c r="AF171" s="112">
        <v>0</v>
      </c>
      <c r="AG171" s="110">
        <f>$AR171+$AZ171+$BQ171+$BT171+$BU171+$BV171</f>
        <v>1785100800</v>
      </c>
      <c r="AH171" s="121">
        <f>AF171-AG171</f>
        <v>-1785100800</v>
      </c>
      <c r="AI171" s="39" t="s">
        <v>1511</v>
      </c>
      <c r="AJ171" s="198"/>
      <c r="AK171" s="198"/>
      <c r="AL171" s="42"/>
      <c r="AM171" s="68"/>
      <c r="AN171" s="68"/>
      <c r="AO171" s="68"/>
      <c r="AP171" s="68"/>
      <c r="AQ171" s="68">
        <v>0</v>
      </c>
      <c r="AR171" s="68">
        <v>0</v>
      </c>
      <c r="AS171" s="68" t="s">
        <v>307</v>
      </c>
      <c r="AT171" s="68"/>
      <c r="AU171" s="69" t="s">
        <v>277</v>
      </c>
      <c r="AV171" s="69" t="s">
        <v>277</v>
      </c>
      <c r="AW171" s="69" t="s">
        <v>277</v>
      </c>
      <c r="AX171" s="69"/>
      <c r="AY171" s="68">
        <v>0</v>
      </c>
      <c r="AZ171" s="68">
        <v>0</v>
      </c>
      <c r="BA171" s="68" t="s">
        <v>307</v>
      </c>
      <c r="BB171" s="68"/>
      <c r="BC171" s="69" t="s">
        <v>1512</v>
      </c>
      <c r="BD171" s="69" t="s">
        <v>277</v>
      </c>
      <c r="BE171" s="56" t="s">
        <v>277</v>
      </c>
      <c r="BF171" s="56" t="s">
        <v>277</v>
      </c>
      <c r="BG171" s="56" t="s">
        <v>277</v>
      </c>
      <c r="BH171" s="56" t="s">
        <v>277</v>
      </c>
      <c r="BI171" s="69">
        <v>0</v>
      </c>
      <c r="BJ171" s="69">
        <v>0</v>
      </c>
      <c r="BK171" s="69">
        <v>0</v>
      </c>
      <c r="BL171" s="69">
        <v>0</v>
      </c>
      <c r="BM171" s="69">
        <v>0</v>
      </c>
      <c r="BN171" s="69">
        <v>0</v>
      </c>
      <c r="BO171" s="69">
        <v>0</v>
      </c>
      <c r="BP171" s="69">
        <v>0</v>
      </c>
      <c r="BQ171" s="69"/>
      <c r="BR171" s="69" t="s">
        <v>643</v>
      </c>
      <c r="BS171" s="69" t="s">
        <v>1513</v>
      </c>
      <c r="BT171" s="68">
        <v>1785100800</v>
      </c>
      <c r="BU171" s="68">
        <v>0</v>
      </c>
      <c r="BV171" s="68">
        <v>0</v>
      </c>
      <c r="BW171" s="94">
        <v>0</v>
      </c>
      <c r="BX171" s="94">
        <v>0</v>
      </c>
      <c r="BY171" s="94">
        <v>0</v>
      </c>
      <c r="BZ171" s="94">
        <v>0</v>
      </c>
      <c r="CA171" s="94">
        <v>0</v>
      </c>
      <c r="CB171" s="94">
        <v>0</v>
      </c>
      <c r="CC171" s="94">
        <v>0</v>
      </c>
      <c r="CD171" s="94">
        <v>0</v>
      </c>
      <c r="CE171" s="109">
        <v>0</v>
      </c>
      <c r="CF171" s="108">
        <f>SUM(BT171:CE171)</f>
        <v>1785100800</v>
      </c>
      <c r="CG171" s="108">
        <f>$CF171-$AF171</f>
        <v>1785100800</v>
      </c>
      <c r="CH171" s="37" t="s">
        <v>289</v>
      </c>
      <c r="CI171" s="37" t="s">
        <v>290</v>
      </c>
      <c r="CJ171" s="37" t="s">
        <v>277</v>
      </c>
      <c r="CK171" s="37" t="s">
        <v>290</v>
      </c>
      <c r="CL171" s="37" t="s">
        <v>277</v>
      </c>
      <c r="CM171" s="37" t="s">
        <v>277</v>
      </c>
      <c r="CN171" s="37" t="s">
        <v>290</v>
      </c>
      <c r="CO171" s="37" t="s">
        <v>893</v>
      </c>
      <c r="CP171" s="41">
        <v>45383</v>
      </c>
      <c r="CQ171" s="41">
        <v>46477</v>
      </c>
      <c r="CR171" s="37" t="s">
        <v>577</v>
      </c>
      <c r="CS171" s="37" t="s">
        <v>454</v>
      </c>
      <c r="CT171" s="37" t="s">
        <v>524</v>
      </c>
      <c r="CU171" s="37" t="s">
        <v>341</v>
      </c>
      <c r="CV171" s="37" t="s">
        <v>382</v>
      </c>
      <c r="CW171" s="37" t="s">
        <v>1514</v>
      </c>
      <c r="CX171" s="37" t="s">
        <v>1509</v>
      </c>
      <c r="CY171" s="37">
        <v>7100000000</v>
      </c>
      <c r="CZ171" s="123">
        <v>45597</v>
      </c>
      <c r="DA171" s="123">
        <v>46327</v>
      </c>
      <c r="DB171" s="37" t="s">
        <v>277</v>
      </c>
      <c r="DC171" s="37" t="s">
        <v>1515</v>
      </c>
      <c r="DD171" s="68">
        <v>0</v>
      </c>
      <c r="DE171" s="68">
        <v>0</v>
      </c>
      <c r="DF171" s="68">
        <f>1624947667-1624947667</f>
        <v>0</v>
      </c>
      <c r="DG171" s="68">
        <f>686006173-686006173</f>
        <v>0</v>
      </c>
      <c r="DH171" s="68">
        <v>0</v>
      </c>
      <c r="DI171" s="68">
        <v>0</v>
      </c>
      <c r="DJ171" s="68">
        <v>0</v>
      </c>
      <c r="DK171" s="68">
        <v>0</v>
      </c>
      <c r="DL171" s="68">
        <v>0</v>
      </c>
      <c r="DM171" s="68">
        <v>0</v>
      </c>
      <c r="DN171" s="68">
        <v>0</v>
      </c>
      <c r="DO171" s="68">
        <v>0</v>
      </c>
      <c r="DP171" s="68">
        <f>SUM(DD171:DO171)</f>
        <v>0</v>
      </c>
      <c r="DQ171" s="68">
        <f>DP171-AB171</f>
        <v>0</v>
      </c>
      <c r="DR171" s="68">
        <f>$DD171</f>
        <v>0</v>
      </c>
      <c r="DS171" s="68">
        <f>DR171+DE171</f>
        <v>0</v>
      </c>
      <c r="DT171" s="68">
        <f>DS171+DF171</f>
        <v>0</v>
      </c>
      <c r="DU171" s="68">
        <f>DT171+DG171</f>
        <v>0</v>
      </c>
      <c r="DV171" s="68">
        <f>DU171+DH171</f>
        <v>0</v>
      </c>
      <c r="DW171" s="68">
        <f>DV171+DI171</f>
        <v>0</v>
      </c>
      <c r="DX171" s="68">
        <f>DW171+DJ171</f>
        <v>0</v>
      </c>
      <c r="DY171" s="68">
        <f>DX171+DK171</f>
        <v>0</v>
      </c>
      <c r="DZ171" s="68">
        <f>DY171+DL171</f>
        <v>0</v>
      </c>
      <c r="EA171" s="68">
        <f>DZ171+DM171</f>
        <v>0</v>
      </c>
      <c r="EB171" s="68">
        <f>EA171+DN171</f>
        <v>0</v>
      </c>
      <c r="EC171" s="68">
        <f>EB171+DO171</f>
        <v>0</v>
      </c>
      <c r="ED171" s="68">
        <f>$EC171-$AB171</f>
        <v>0</v>
      </c>
    </row>
    <row r="172" spans="1:134" ht="60">
      <c r="A172" s="74"/>
      <c r="B172" s="50">
        <v>98</v>
      </c>
      <c r="C172" s="50" t="s">
        <v>269</v>
      </c>
      <c r="D172" s="50" t="s">
        <v>297</v>
      </c>
      <c r="E172" s="50"/>
      <c r="F172" s="50" t="s">
        <v>272</v>
      </c>
      <c r="G172" s="50" t="s">
        <v>273</v>
      </c>
      <c r="H172" s="37" t="s">
        <v>151</v>
      </c>
      <c r="I172" s="37" t="s">
        <v>274</v>
      </c>
      <c r="J172" s="92" t="s">
        <v>298</v>
      </c>
      <c r="K172" s="50" t="s">
        <v>3</v>
      </c>
      <c r="L172" s="50" t="s">
        <v>14</v>
      </c>
      <c r="M172" s="50" t="s">
        <v>16</v>
      </c>
      <c r="N172" s="50" t="s">
        <v>276</v>
      </c>
      <c r="O172" s="37" t="s">
        <v>3</v>
      </c>
      <c r="P172" s="37" t="s">
        <v>14</v>
      </c>
      <c r="Q172" s="37" t="s">
        <v>16</v>
      </c>
      <c r="R172" s="37" t="s">
        <v>276</v>
      </c>
      <c r="S172" s="50" t="s">
        <v>1060</v>
      </c>
      <c r="T172" s="50" t="s">
        <v>1516</v>
      </c>
      <c r="U172" s="50" t="s">
        <v>1517</v>
      </c>
      <c r="V172" s="84" t="s">
        <v>1518</v>
      </c>
      <c r="W172" s="84" t="s">
        <v>1518</v>
      </c>
      <c r="X172" s="82" t="s">
        <v>1518</v>
      </c>
      <c r="Y172" s="60">
        <v>67362457263</v>
      </c>
      <c r="Z172" s="60">
        <v>18861488034</v>
      </c>
      <c r="AA172" s="60">
        <v>-18861488034</v>
      </c>
      <c r="AB172" s="60">
        <f>Z172+AA172</f>
        <v>0</v>
      </c>
      <c r="AC172" s="183" t="s">
        <v>1519</v>
      </c>
      <c r="AD172" s="61" t="s">
        <v>1520</v>
      </c>
      <c r="AE172" s="107">
        <v>0</v>
      </c>
      <c r="AF172" s="107">
        <v>0</v>
      </c>
      <c r="AG172" s="110">
        <f>$AR172+$AZ172+$BQ172+$BT172+$BU172+$BV172</f>
        <v>605105000</v>
      </c>
      <c r="AH172" s="121">
        <f>AF172-AG172</f>
        <v>-605105000</v>
      </c>
      <c r="AI172" s="85" t="s">
        <v>1521</v>
      </c>
      <c r="AJ172" s="199"/>
      <c r="AK172" s="199"/>
      <c r="AL172" s="86"/>
      <c r="AM172" s="68"/>
      <c r="AN172" s="68"/>
      <c r="AO172" s="68"/>
      <c r="AP172" s="68"/>
      <c r="AQ172" s="68">
        <v>0</v>
      </c>
      <c r="AR172" s="68">
        <v>0</v>
      </c>
      <c r="AS172" s="68" t="s">
        <v>307</v>
      </c>
      <c r="AT172" s="68"/>
      <c r="AU172" s="69" t="s">
        <v>277</v>
      </c>
      <c r="AV172" s="69" t="s">
        <v>277</v>
      </c>
      <c r="AW172" s="69" t="s">
        <v>277</v>
      </c>
      <c r="AX172" s="69"/>
      <c r="AY172" s="68">
        <v>0</v>
      </c>
      <c r="AZ172" s="68">
        <v>0</v>
      </c>
      <c r="BA172" s="68" t="s">
        <v>307</v>
      </c>
      <c r="BB172" s="68"/>
      <c r="BC172" s="69" t="s">
        <v>277</v>
      </c>
      <c r="BD172" s="69" t="s">
        <v>277</v>
      </c>
      <c r="BE172" s="56" t="s">
        <v>277</v>
      </c>
      <c r="BF172" s="56" t="s">
        <v>277</v>
      </c>
      <c r="BG172" s="56" t="s">
        <v>277</v>
      </c>
      <c r="BH172" s="56" t="s">
        <v>277</v>
      </c>
      <c r="BI172" s="69">
        <v>0</v>
      </c>
      <c r="BJ172" s="69">
        <v>0</v>
      </c>
      <c r="BK172" s="69">
        <v>0</v>
      </c>
      <c r="BL172" s="69">
        <v>0</v>
      </c>
      <c r="BM172" s="69">
        <v>0</v>
      </c>
      <c r="BN172" s="69">
        <v>0</v>
      </c>
      <c r="BO172" s="69">
        <v>0</v>
      </c>
      <c r="BP172" s="69">
        <v>0</v>
      </c>
      <c r="BQ172" s="69"/>
      <c r="BR172" s="69" t="s">
        <v>156</v>
      </c>
      <c r="BS172" s="69" t="s">
        <v>1522</v>
      </c>
      <c r="BT172" s="68">
        <v>605105000</v>
      </c>
      <c r="BU172" s="68">
        <v>0</v>
      </c>
      <c r="BV172" s="68">
        <v>0</v>
      </c>
      <c r="BW172" s="94">
        <v>0</v>
      </c>
      <c r="BX172" s="94">
        <v>0</v>
      </c>
      <c r="BY172" s="94">
        <v>0</v>
      </c>
      <c r="BZ172" s="94">
        <v>0</v>
      </c>
      <c r="CA172" s="94">
        <v>0</v>
      </c>
      <c r="CB172" s="94">
        <v>0</v>
      </c>
      <c r="CC172" s="94">
        <v>0</v>
      </c>
      <c r="CD172" s="94">
        <v>0</v>
      </c>
      <c r="CE172" s="94">
        <v>0</v>
      </c>
      <c r="CF172" s="108">
        <f>SUM(BT172:CE172)</f>
        <v>605105000</v>
      </c>
      <c r="CG172" s="108">
        <f>$CF172-$AF172</f>
        <v>605105000</v>
      </c>
      <c r="CH172" s="37" t="s">
        <v>318</v>
      </c>
      <c r="CI172" s="37" t="s">
        <v>291</v>
      </c>
      <c r="CJ172" s="37" t="s">
        <v>319</v>
      </c>
      <c r="CK172" s="37" t="s">
        <v>290</v>
      </c>
      <c r="CL172" s="37" t="s">
        <v>320</v>
      </c>
      <c r="CM172" s="37" t="s">
        <v>321</v>
      </c>
      <c r="CN172" s="37" t="s">
        <v>290</v>
      </c>
      <c r="CO172" s="37" t="s">
        <v>277</v>
      </c>
      <c r="CP172" s="41">
        <v>46023</v>
      </c>
      <c r="CQ172" s="41">
        <v>48183</v>
      </c>
      <c r="CR172" s="37" t="s">
        <v>293</v>
      </c>
      <c r="CS172" s="37" t="s">
        <v>322</v>
      </c>
      <c r="CT172" s="37" t="s">
        <v>295</v>
      </c>
      <c r="CU172" s="37" t="s">
        <v>296</v>
      </c>
      <c r="CV172" s="37" t="s">
        <v>323</v>
      </c>
      <c r="CW172" s="37">
        <v>0</v>
      </c>
      <c r="CX172" s="37">
        <v>0</v>
      </c>
      <c r="CY172" s="37">
        <v>0</v>
      </c>
      <c r="CZ172" s="123" t="s">
        <v>277</v>
      </c>
      <c r="DA172" s="123" t="s">
        <v>277</v>
      </c>
      <c r="DB172" s="37" t="s">
        <v>1523</v>
      </c>
      <c r="DC172" s="37" t="s">
        <v>1524</v>
      </c>
      <c r="DD172" s="68">
        <v>0</v>
      </c>
      <c r="DE172" s="68">
        <v>0</v>
      </c>
      <c r="DF172" s="68">
        <v>0</v>
      </c>
      <c r="DG172" s="68">
        <v>0</v>
      </c>
      <c r="DH172" s="68">
        <v>0</v>
      </c>
      <c r="DI172" s="68">
        <v>0</v>
      </c>
      <c r="DJ172" s="68">
        <f>9430744017-9430744017</f>
        <v>0</v>
      </c>
      <c r="DK172" s="68">
        <f>9430744017-9430744017</f>
        <v>0</v>
      </c>
      <c r="DL172" s="68">
        <v>0</v>
      </c>
      <c r="DM172" s="68">
        <v>0</v>
      </c>
      <c r="DN172" s="68">
        <v>0</v>
      </c>
      <c r="DO172" s="68">
        <v>0</v>
      </c>
      <c r="DP172" s="68">
        <f>SUM(DD172:DO172)</f>
        <v>0</v>
      </c>
      <c r="DQ172" s="68">
        <f>DP172-AB172</f>
        <v>0</v>
      </c>
      <c r="DR172" s="68">
        <f>$DD172</f>
        <v>0</v>
      </c>
      <c r="DS172" s="68">
        <f>DR172+DE172</f>
        <v>0</v>
      </c>
      <c r="DT172" s="68">
        <f>DS172+DF172</f>
        <v>0</v>
      </c>
      <c r="DU172" s="68">
        <f>DT172+DG172</f>
        <v>0</v>
      </c>
      <c r="DV172" s="68">
        <f>DU172+DH172</f>
        <v>0</v>
      </c>
      <c r="DW172" s="68">
        <f>DV172+DI172</f>
        <v>0</v>
      </c>
      <c r="DX172" s="68">
        <f>DW172+DJ172</f>
        <v>0</v>
      </c>
      <c r="DY172" s="68">
        <f>DX172+DK172</f>
        <v>0</v>
      </c>
      <c r="DZ172" s="68">
        <f>DY172+DL172</f>
        <v>0</v>
      </c>
      <c r="EA172" s="68">
        <f>DZ172+DM172</f>
        <v>0</v>
      </c>
      <c r="EB172" s="68">
        <f>EA172+DN172</f>
        <v>0</v>
      </c>
      <c r="EC172" s="68">
        <f>EB172+DO172</f>
        <v>0</v>
      </c>
      <c r="ED172" s="68">
        <f>$EC172-$AB172</f>
        <v>0</v>
      </c>
    </row>
    <row r="173" spans="1:134" ht="45">
      <c r="A173" s="74"/>
      <c r="B173" s="50">
        <v>57</v>
      </c>
      <c r="C173" s="50" t="s">
        <v>269</v>
      </c>
      <c r="D173" s="50" t="s">
        <v>297</v>
      </c>
      <c r="E173" s="50"/>
      <c r="F173" s="50" t="s">
        <v>272</v>
      </c>
      <c r="G173" s="50" t="s">
        <v>273</v>
      </c>
      <c r="H173" s="37" t="s">
        <v>151</v>
      </c>
      <c r="I173" s="92" t="s">
        <v>274</v>
      </c>
      <c r="J173" s="92" t="s">
        <v>340</v>
      </c>
      <c r="K173" s="50" t="s">
        <v>3</v>
      </c>
      <c r="L173" s="50" t="s">
        <v>14</v>
      </c>
      <c r="M173" s="50" t="s">
        <v>16</v>
      </c>
      <c r="N173" s="50" t="s">
        <v>276</v>
      </c>
      <c r="O173" s="37" t="s">
        <v>3</v>
      </c>
      <c r="P173" s="37" t="s">
        <v>14</v>
      </c>
      <c r="Q173" s="37" t="s">
        <v>16</v>
      </c>
      <c r="R173" s="37" t="s">
        <v>276</v>
      </c>
      <c r="S173" s="50" t="s">
        <v>277</v>
      </c>
      <c r="T173" s="50" t="s">
        <v>1525</v>
      </c>
      <c r="U173" s="50" t="s">
        <v>1526</v>
      </c>
      <c r="V173" s="84" t="s">
        <v>1527</v>
      </c>
      <c r="W173" s="84" t="s">
        <v>1527</v>
      </c>
      <c r="X173" s="82" t="s">
        <v>1527</v>
      </c>
      <c r="Y173" s="60">
        <v>2401100800</v>
      </c>
      <c r="Z173" s="60">
        <v>224000000</v>
      </c>
      <c r="AA173" s="60"/>
      <c r="AB173" s="60">
        <f>Z173+AA173</f>
        <v>224000000</v>
      </c>
      <c r="AC173" s="61"/>
      <c r="AD173" s="61"/>
      <c r="AE173" s="109">
        <v>0</v>
      </c>
      <c r="AF173" s="109">
        <v>0</v>
      </c>
      <c r="AG173" s="108">
        <f>$AR173+$AZ173+$BQ173+$BT173+$BU173+$BV173</f>
        <v>181577500</v>
      </c>
      <c r="AH173" s="121">
        <f>AF173-AG173</f>
        <v>-181577500</v>
      </c>
      <c r="AI173" s="99" t="s">
        <v>1528</v>
      </c>
      <c r="AJ173" s="212"/>
      <c r="AK173" s="212"/>
      <c r="AL173" s="99"/>
      <c r="AM173" s="68"/>
      <c r="AN173" s="68"/>
      <c r="AO173" s="68"/>
      <c r="AP173" s="68"/>
      <c r="AQ173" s="68">
        <v>0</v>
      </c>
      <c r="AR173" s="68">
        <v>0</v>
      </c>
      <c r="AS173" s="68" t="s">
        <v>307</v>
      </c>
      <c r="AT173" s="68"/>
      <c r="AU173" s="69" t="s">
        <v>277</v>
      </c>
      <c r="AV173" s="69" t="s">
        <v>277</v>
      </c>
      <c r="AW173" s="69" t="s">
        <v>277</v>
      </c>
      <c r="AX173" s="69"/>
      <c r="AY173" s="68">
        <v>0</v>
      </c>
      <c r="AZ173" s="68">
        <v>0</v>
      </c>
      <c r="BA173" s="68" t="s">
        <v>307</v>
      </c>
      <c r="BB173" s="68"/>
      <c r="BC173" s="69" t="s">
        <v>1165</v>
      </c>
      <c r="BD173" s="69" t="s">
        <v>277</v>
      </c>
      <c r="BE173" s="56" t="s">
        <v>277</v>
      </c>
      <c r="BF173" s="56" t="s">
        <v>277</v>
      </c>
      <c r="BG173" s="56" t="s">
        <v>277</v>
      </c>
      <c r="BH173" s="56" t="s">
        <v>277</v>
      </c>
      <c r="BI173" s="69">
        <v>0</v>
      </c>
      <c r="BJ173" s="69">
        <v>0</v>
      </c>
      <c r="BK173" s="69">
        <v>0</v>
      </c>
      <c r="BL173" s="69">
        <v>0</v>
      </c>
      <c r="BM173" s="69">
        <v>0</v>
      </c>
      <c r="BN173" s="69">
        <v>0</v>
      </c>
      <c r="BO173" s="69">
        <v>0</v>
      </c>
      <c r="BP173" s="69">
        <v>0</v>
      </c>
      <c r="BQ173" s="69"/>
      <c r="BR173" s="69" t="s">
        <v>382</v>
      </c>
      <c r="BS173" s="69" t="s">
        <v>798</v>
      </c>
      <c r="BT173" s="68">
        <v>0</v>
      </c>
      <c r="BU173" s="68">
        <v>0</v>
      </c>
      <c r="BV173" s="68">
        <v>181577500</v>
      </c>
      <c r="BW173" s="94">
        <v>0</v>
      </c>
      <c r="BX173" s="94">
        <v>0</v>
      </c>
      <c r="BY173" s="94">
        <v>0</v>
      </c>
      <c r="BZ173" s="94">
        <v>0</v>
      </c>
      <c r="CA173" s="94">
        <v>0</v>
      </c>
      <c r="CB173" s="94">
        <v>0</v>
      </c>
      <c r="CC173" s="94">
        <v>0</v>
      </c>
      <c r="CD173" s="94">
        <v>0</v>
      </c>
      <c r="CE173" s="94">
        <v>0</v>
      </c>
      <c r="CF173" s="108">
        <f>SUM(BT173:CE173)</f>
        <v>181577500</v>
      </c>
      <c r="CG173" s="108">
        <f>$CF173-$AF173</f>
        <v>181577500</v>
      </c>
      <c r="CH173" s="37" t="s">
        <v>289</v>
      </c>
      <c r="CI173" s="37" t="s">
        <v>290</v>
      </c>
      <c r="CJ173" s="37" t="s">
        <v>277</v>
      </c>
      <c r="CK173" s="37" t="s">
        <v>290</v>
      </c>
      <c r="CL173" s="37" t="s">
        <v>277</v>
      </c>
      <c r="CM173" s="37" t="s">
        <v>277</v>
      </c>
      <c r="CN173" s="37" t="s">
        <v>290</v>
      </c>
      <c r="CO173" s="37" t="s">
        <v>340</v>
      </c>
      <c r="CP173" s="41">
        <v>45566</v>
      </c>
      <c r="CQ173" s="41">
        <v>45839</v>
      </c>
      <c r="CR173" s="37" t="s">
        <v>293</v>
      </c>
      <c r="CS173" s="37" t="s">
        <v>322</v>
      </c>
      <c r="CT173" s="37" t="s">
        <v>295</v>
      </c>
      <c r="CU173" s="37" t="s">
        <v>341</v>
      </c>
      <c r="CV173" s="37" t="s">
        <v>382</v>
      </c>
      <c r="CW173" s="37" t="s">
        <v>1167</v>
      </c>
      <c r="CX173" s="37" t="s">
        <v>1168</v>
      </c>
      <c r="CY173" s="37">
        <v>2401100800</v>
      </c>
      <c r="CZ173" s="123">
        <v>45627</v>
      </c>
      <c r="DA173" s="123">
        <v>46722</v>
      </c>
      <c r="DB173" s="37" t="s">
        <v>277</v>
      </c>
      <c r="DC173" s="37" t="s">
        <v>1169</v>
      </c>
      <c r="DD173" s="68">
        <v>0</v>
      </c>
      <c r="DE173" s="68">
        <v>224000000</v>
      </c>
      <c r="DF173" s="68">
        <v>0</v>
      </c>
      <c r="DG173" s="68">
        <v>0</v>
      </c>
      <c r="DH173" s="68">
        <v>0</v>
      </c>
      <c r="DI173" s="68">
        <v>0</v>
      </c>
      <c r="DJ173" s="68">
        <v>0</v>
      </c>
      <c r="DK173" s="68">
        <v>0</v>
      </c>
      <c r="DL173" s="68">
        <v>0</v>
      </c>
      <c r="DM173" s="68">
        <v>0</v>
      </c>
      <c r="DN173" s="68">
        <v>0</v>
      </c>
      <c r="DO173" s="68">
        <v>0</v>
      </c>
      <c r="DP173" s="68">
        <f>SUM(DD173:DO173)</f>
        <v>224000000</v>
      </c>
      <c r="DQ173" s="68">
        <f>DP173-AB173</f>
        <v>0</v>
      </c>
      <c r="DR173" s="68">
        <f>$DD173</f>
        <v>0</v>
      </c>
      <c r="DS173" s="68">
        <f>DR173+DE173</f>
        <v>224000000</v>
      </c>
      <c r="DT173" s="68">
        <f>DS173+DF173</f>
        <v>224000000</v>
      </c>
      <c r="DU173" s="68">
        <f>DT173+DG173</f>
        <v>224000000</v>
      </c>
      <c r="DV173" s="68">
        <f>DU173+DH173</f>
        <v>224000000</v>
      </c>
      <c r="DW173" s="68">
        <f>DV173+DI173</f>
        <v>224000000</v>
      </c>
      <c r="DX173" s="68">
        <f>DW173+DJ173</f>
        <v>224000000</v>
      </c>
      <c r="DY173" s="68">
        <f>DX173+DK173</f>
        <v>224000000</v>
      </c>
      <c r="DZ173" s="68">
        <f>DY173+DL173</f>
        <v>224000000</v>
      </c>
      <c r="EA173" s="68">
        <f>DZ173+DM173</f>
        <v>224000000</v>
      </c>
      <c r="EB173" s="68">
        <f>EA173+DN173</f>
        <v>224000000</v>
      </c>
      <c r="EC173" s="68">
        <f>EB173+DO173</f>
        <v>224000000</v>
      </c>
      <c r="ED173" s="68">
        <f>$EC173-$AB173</f>
        <v>0</v>
      </c>
    </row>
    <row r="174" spans="1:134" ht="60">
      <c r="A174" s="74"/>
      <c r="B174" s="50">
        <v>72</v>
      </c>
      <c r="C174" s="50" t="s">
        <v>269</v>
      </c>
      <c r="D174" s="50" t="s">
        <v>297</v>
      </c>
      <c r="E174" s="50"/>
      <c r="F174" s="50" t="s">
        <v>272</v>
      </c>
      <c r="G174" s="50" t="s">
        <v>273</v>
      </c>
      <c r="H174" s="37" t="s">
        <v>151</v>
      </c>
      <c r="I174" s="37" t="s">
        <v>277</v>
      </c>
      <c r="J174" s="92" t="s">
        <v>1529</v>
      </c>
      <c r="K174" s="50" t="s">
        <v>3</v>
      </c>
      <c r="L174" s="50" t="s">
        <v>14</v>
      </c>
      <c r="M174" s="50" t="s">
        <v>16</v>
      </c>
      <c r="N174" s="50" t="s">
        <v>276</v>
      </c>
      <c r="O174" s="37" t="s">
        <v>3</v>
      </c>
      <c r="P174" s="37" t="s">
        <v>14</v>
      </c>
      <c r="Q174" s="37" t="s">
        <v>16</v>
      </c>
      <c r="R174" s="37" t="s">
        <v>276</v>
      </c>
      <c r="S174" s="50" t="s">
        <v>277</v>
      </c>
      <c r="T174" s="50" t="s">
        <v>1530</v>
      </c>
      <c r="U174" s="50" t="s">
        <v>1531</v>
      </c>
      <c r="V174" s="84" t="s">
        <v>277</v>
      </c>
      <c r="W174" s="84" t="s">
        <v>1532</v>
      </c>
      <c r="X174" s="82" t="s">
        <v>1532</v>
      </c>
      <c r="Y174" s="60">
        <v>234812875</v>
      </c>
      <c r="Z174" s="60">
        <v>0</v>
      </c>
      <c r="AA174" s="60"/>
      <c r="AB174" s="60">
        <f>Z174+AA174</f>
        <v>0</v>
      </c>
      <c r="AC174" s="61"/>
      <c r="AD174" s="61"/>
      <c r="AE174" s="109">
        <v>0</v>
      </c>
      <c r="AF174" s="109">
        <v>0</v>
      </c>
      <c r="AG174" s="108">
        <f>$AR174+$AZ174+$BQ174+$BT174+$BU174+$BV174</f>
        <v>150000000</v>
      </c>
      <c r="AH174" s="121">
        <f>AF174-AG174</f>
        <v>-150000000</v>
      </c>
      <c r="AI174" s="106" t="s">
        <v>643</v>
      </c>
      <c r="AJ174" s="207"/>
      <c r="AK174" s="207"/>
      <c r="AL174" s="130"/>
      <c r="AM174" s="68"/>
      <c r="AN174" s="68"/>
      <c r="AO174" s="68"/>
      <c r="AP174" s="68"/>
      <c r="AQ174" s="68">
        <v>0</v>
      </c>
      <c r="AR174" s="68">
        <v>0</v>
      </c>
      <c r="AS174" s="68" t="s">
        <v>307</v>
      </c>
      <c r="AT174" s="68"/>
      <c r="AU174" s="69" t="s">
        <v>277</v>
      </c>
      <c r="AV174" s="69" t="s">
        <v>277</v>
      </c>
      <c r="AW174" s="69" t="s">
        <v>277</v>
      </c>
      <c r="AX174" s="69"/>
      <c r="AY174" s="68">
        <v>0</v>
      </c>
      <c r="AZ174" s="68">
        <v>0</v>
      </c>
      <c r="BA174" s="68" t="s">
        <v>307</v>
      </c>
      <c r="BB174" s="68"/>
      <c r="BC174" s="69" t="s">
        <v>277</v>
      </c>
      <c r="BD174" s="69" t="s">
        <v>277</v>
      </c>
      <c r="BE174" s="56" t="s">
        <v>277</v>
      </c>
      <c r="BF174" s="56" t="s">
        <v>277</v>
      </c>
      <c r="BG174" s="56" t="s">
        <v>277</v>
      </c>
      <c r="BH174" s="56" t="s">
        <v>277</v>
      </c>
      <c r="BI174" s="69">
        <v>0</v>
      </c>
      <c r="BJ174" s="69">
        <v>0</v>
      </c>
      <c r="BK174" s="69">
        <v>0</v>
      </c>
      <c r="BL174" s="69">
        <v>0</v>
      </c>
      <c r="BM174" s="69">
        <v>0</v>
      </c>
      <c r="BN174" s="69">
        <v>0</v>
      </c>
      <c r="BO174" s="69">
        <v>0</v>
      </c>
      <c r="BP174" s="69">
        <v>0</v>
      </c>
      <c r="BQ174" s="69"/>
      <c r="BR174" s="69" t="s">
        <v>156</v>
      </c>
      <c r="BS174" s="69" t="s">
        <v>1533</v>
      </c>
      <c r="BT174" s="68">
        <v>100000000</v>
      </c>
      <c r="BU174" s="68">
        <v>0</v>
      </c>
      <c r="BV174" s="68">
        <v>50000000</v>
      </c>
      <c r="BW174" s="94">
        <v>0</v>
      </c>
      <c r="BX174" s="94">
        <v>0</v>
      </c>
      <c r="BY174" s="94">
        <v>0</v>
      </c>
      <c r="BZ174" s="94">
        <v>0</v>
      </c>
      <c r="CA174" s="94">
        <v>0</v>
      </c>
      <c r="CB174" s="109">
        <v>0</v>
      </c>
      <c r="CC174" s="109">
        <v>0</v>
      </c>
      <c r="CD174" s="109">
        <v>0</v>
      </c>
      <c r="CE174" s="109">
        <v>0</v>
      </c>
      <c r="CF174" s="108">
        <f>SUM(BT174:CE174)</f>
        <v>150000000</v>
      </c>
      <c r="CG174" s="108">
        <f>$CF174-$AF174</f>
        <v>150000000</v>
      </c>
      <c r="CH174" s="37" t="s">
        <v>318</v>
      </c>
      <c r="CI174" s="37" t="s">
        <v>290</v>
      </c>
      <c r="CJ174" s="37" t="s">
        <v>277</v>
      </c>
      <c r="CK174" s="37" t="s">
        <v>290</v>
      </c>
      <c r="CL174" s="37" t="s">
        <v>277</v>
      </c>
      <c r="CM174" s="37" t="s">
        <v>277</v>
      </c>
      <c r="CN174" s="37" t="s">
        <v>290</v>
      </c>
      <c r="CO174" s="37" t="s">
        <v>277</v>
      </c>
      <c r="CP174" s="41">
        <v>46023</v>
      </c>
      <c r="CQ174" s="41">
        <v>46357</v>
      </c>
      <c r="CR174" s="37" t="s">
        <v>1534</v>
      </c>
      <c r="CS174" s="37" t="s">
        <v>1535</v>
      </c>
      <c r="CT174" s="37" t="s">
        <v>295</v>
      </c>
      <c r="CU174" s="37" t="s">
        <v>296</v>
      </c>
      <c r="CV174" s="37" t="s">
        <v>323</v>
      </c>
      <c r="CW174" s="37" t="s">
        <v>277</v>
      </c>
      <c r="CX174" s="37" t="s">
        <v>277</v>
      </c>
      <c r="CY174" s="37" t="s">
        <v>277</v>
      </c>
      <c r="CZ174" s="123" t="s">
        <v>277</v>
      </c>
      <c r="DA174" s="123" t="s">
        <v>277</v>
      </c>
      <c r="DB174" s="37" t="s">
        <v>277</v>
      </c>
      <c r="DC174" s="37" t="s">
        <v>1536</v>
      </c>
      <c r="DD174" s="68">
        <v>0</v>
      </c>
      <c r="DE174" s="68">
        <v>0</v>
      </c>
      <c r="DF174" s="68">
        <v>0</v>
      </c>
      <c r="DG174" s="68">
        <v>0</v>
      </c>
      <c r="DH174" s="68">
        <v>0</v>
      </c>
      <c r="DI174" s="68">
        <v>0</v>
      </c>
      <c r="DJ174" s="68">
        <v>0</v>
      </c>
      <c r="DK174" s="68">
        <v>0</v>
      </c>
      <c r="DL174" s="68">
        <v>0</v>
      </c>
      <c r="DM174" s="68">
        <v>0</v>
      </c>
      <c r="DN174" s="68">
        <v>0</v>
      </c>
      <c r="DO174" s="68">
        <v>0</v>
      </c>
      <c r="DP174" s="68">
        <f>SUM(DD174:DO174)</f>
        <v>0</v>
      </c>
      <c r="DQ174" s="68">
        <f>DP174-AB174</f>
        <v>0</v>
      </c>
      <c r="DR174" s="68">
        <f>$DD174</f>
        <v>0</v>
      </c>
      <c r="DS174" s="68">
        <f>DR174+DE174</f>
        <v>0</v>
      </c>
      <c r="DT174" s="68">
        <f>DS174+DF174</f>
        <v>0</v>
      </c>
      <c r="DU174" s="68">
        <f>DT174+DG174</f>
        <v>0</v>
      </c>
      <c r="DV174" s="68">
        <f>DU174+DH174</f>
        <v>0</v>
      </c>
      <c r="DW174" s="68">
        <f>DV174+DI174</f>
        <v>0</v>
      </c>
      <c r="DX174" s="68">
        <f>DW174+DJ174</f>
        <v>0</v>
      </c>
      <c r="DY174" s="68">
        <f>DX174+DK174</f>
        <v>0</v>
      </c>
      <c r="DZ174" s="68">
        <f>DY174+DL174</f>
        <v>0</v>
      </c>
      <c r="EA174" s="68">
        <f>DZ174+DM174</f>
        <v>0</v>
      </c>
      <c r="EB174" s="68">
        <f>EA174+DN174</f>
        <v>0</v>
      </c>
      <c r="EC174" s="68">
        <f>EB174+DO174</f>
        <v>0</v>
      </c>
      <c r="ED174" s="68">
        <f>$EC174-$AB174</f>
        <v>0</v>
      </c>
    </row>
    <row r="175" spans="1:134" ht="60">
      <c r="A175" s="74"/>
      <c r="B175" s="50">
        <v>14</v>
      </c>
      <c r="C175" s="50" t="s">
        <v>269</v>
      </c>
      <c r="D175" s="50" t="s">
        <v>297</v>
      </c>
      <c r="E175" s="50"/>
      <c r="F175" s="50" t="s">
        <v>272</v>
      </c>
      <c r="G175" s="50" t="s">
        <v>273</v>
      </c>
      <c r="H175" s="37" t="s">
        <v>151</v>
      </c>
      <c r="I175" s="37" t="s">
        <v>604</v>
      </c>
      <c r="J175" s="37" t="s">
        <v>605</v>
      </c>
      <c r="K175" s="50" t="s">
        <v>3</v>
      </c>
      <c r="L175" s="50" t="s">
        <v>14</v>
      </c>
      <c r="M175" s="50" t="s">
        <v>16</v>
      </c>
      <c r="N175" s="50" t="s">
        <v>276</v>
      </c>
      <c r="O175" s="37" t="s">
        <v>3</v>
      </c>
      <c r="P175" s="37" t="s">
        <v>14</v>
      </c>
      <c r="Q175" s="37" t="s">
        <v>16</v>
      </c>
      <c r="R175" s="37" t="s">
        <v>276</v>
      </c>
      <c r="S175" s="50" t="s">
        <v>1537</v>
      </c>
      <c r="T175" s="50" t="s">
        <v>1355</v>
      </c>
      <c r="U175" s="50" t="s">
        <v>1538</v>
      </c>
      <c r="V175" s="56" t="s">
        <v>1539</v>
      </c>
      <c r="W175" s="56" t="s">
        <v>1539</v>
      </c>
      <c r="X175" s="38" t="s">
        <v>1539</v>
      </c>
      <c r="Y175" s="60">
        <v>146397900000</v>
      </c>
      <c r="Z175" s="60">
        <v>0</v>
      </c>
      <c r="AA175" s="60"/>
      <c r="AB175" s="60">
        <f>Z175+AA175</f>
        <v>0</v>
      </c>
      <c r="AC175" s="61"/>
      <c r="AD175" s="61"/>
      <c r="AE175" s="40">
        <v>146397900000</v>
      </c>
      <c r="AF175" s="109">
        <v>0</v>
      </c>
      <c r="AG175" s="108">
        <f>$AR175+$AZ175+$BQ175+$BT175+$BU175+$BV175</f>
        <v>99900000</v>
      </c>
      <c r="AH175" s="121">
        <f>AF175-AG175</f>
        <v>-99900000</v>
      </c>
      <c r="AI175" s="45" t="s">
        <v>1540</v>
      </c>
      <c r="AJ175" s="205"/>
      <c r="AK175" s="205"/>
      <c r="AL175" s="46"/>
      <c r="AM175" s="68"/>
      <c r="AN175" s="68"/>
      <c r="AO175" s="68"/>
      <c r="AP175" s="68"/>
      <c r="AQ175" s="68">
        <v>0</v>
      </c>
      <c r="AR175" s="68">
        <v>0</v>
      </c>
      <c r="AS175" s="68" t="s">
        <v>307</v>
      </c>
      <c r="AT175" s="68"/>
      <c r="AU175" s="69" t="s">
        <v>277</v>
      </c>
      <c r="AV175" s="69" t="s">
        <v>277</v>
      </c>
      <c r="AW175" s="69" t="s">
        <v>277</v>
      </c>
      <c r="AX175" s="69"/>
      <c r="AY175" s="68">
        <v>0</v>
      </c>
      <c r="AZ175" s="68">
        <v>0</v>
      </c>
      <c r="BA175" s="68" t="s">
        <v>307</v>
      </c>
      <c r="BB175" s="68"/>
      <c r="BC175" s="69" t="s">
        <v>797</v>
      </c>
      <c r="BD175" s="69" t="s">
        <v>277</v>
      </c>
      <c r="BE175" s="56" t="s">
        <v>277</v>
      </c>
      <c r="BF175" s="56" t="s">
        <v>277</v>
      </c>
      <c r="BG175" s="56" t="s">
        <v>277</v>
      </c>
      <c r="BH175" s="56" t="s">
        <v>277</v>
      </c>
      <c r="BI175" s="69">
        <v>0</v>
      </c>
      <c r="BJ175" s="69">
        <v>0</v>
      </c>
      <c r="BK175" s="69">
        <v>0</v>
      </c>
      <c r="BL175" s="69">
        <v>0</v>
      </c>
      <c r="BM175" s="69">
        <v>0</v>
      </c>
      <c r="BN175" s="69">
        <v>0</v>
      </c>
      <c r="BO175" s="69">
        <v>0</v>
      </c>
      <c r="BP175" s="69">
        <v>0</v>
      </c>
      <c r="BQ175" s="69">
        <f>$BJ175</f>
        <v>0</v>
      </c>
      <c r="BR175" s="69" t="s">
        <v>1065</v>
      </c>
      <c r="BS175" s="69" t="s">
        <v>798</v>
      </c>
      <c r="BT175" s="68">
        <v>99900000</v>
      </c>
      <c r="BU175" s="68">
        <v>0</v>
      </c>
      <c r="BV175" s="68">
        <v>0</v>
      </c>
      <c r="BW175" s="94">
        <v>0</v>
      </c>
      <c r="BX175" s="94">
        <v>0</v>
      </c>
      <c r="BY175" s="94">
        <v>0</v>
      </c>
      <c r="BZ175" s="94">
        <v>0</v>
      </c>
      <c r="CA175" s="94">
        <v>0</v>
      </c>
      <c r="CB175" s="94">
        <v>0</v>
      </c>
      <c r="CC175" s="94">
        <v>0</v>
      </c>
      <c r="CD175" s="94">
        <v>0</v>
      </c>
      <c r="CE175" s="109">
        <v>0</v>
      </c>
      <c r="CF175" s="108">
        <f>SUM(BT175:CE175)</f>
        <v>99900000</v>
      </c>
      <c r="CG175" s="108">
        <f>$CF175-$AF175</f>
        <v>99900000</v>
      </c>
      <c r="CH175" s="37" t="s">
        <v>289</v>
      </c>
      <c r="CI175" s="37" t="s">
        <v>290</v>
      </c>
      <c r="CJ175" s="37" t="s">
        <v>277</v>
      </c>
      <c r="CK175" s="37" t="s">
        <v>290</v>
      </c>
      <c r="CL175" s="37" t="s">
        <v>277</v>
      </c>
      <c r="CM175" s="37" t="s">
        <v>277</v>
      </c>
      <c r="CN175" s="37" t="s">
        <v>291</v>
      </c>
      <c r="CO175" s="37" t="s">
        <v>275</v>
      </c>
      <c r="CP175" s="41">
        <v>46023</v>
      </c>
      <c r="CQ175" s="41">
        <v>46387</v>
      </c>
      <c r="CR175" s="37" t="s">
        <v>293</v>
      </c>
      <c r="CS175" s="37" t="s">
        <v>322</v>
      </c>
      <c r="CT175" s="37" t="s">
        <v>295</v>
      </c>
      <c r="CU175" s="37" t="s">
        <v>341</v>
      </c>
      <c r="CV175" s="37" t="s">
        <v>382</v>
      </c>
      <c r="CW175" s="37">
        <v>4200002595</v>
      </c>
      <c r="CX175" s="37" t="s">
        <v>1066</v>
      </c>
      <c r="CY175" s="124">
        <v>146397900000</v>
      </c>
      <c r="CZ175" s="123">
        <v>45017</v>
      </c>
      <c r="DA175" s="123">
        <v>46478</v>
      </c>
      <c r="DB175" s="37" t="s">
        <v>277</v>
      </c>
      <c r="DC175" s="37" t="s">
        <v>485</v>
      </c>
      <c r="DD175" s="68">
        <v>0</v>
      </c>
      <c r="DE175" s="68">
        <v>0</v>
      </c>
      <c r="DF175" s="68">
        <v>0</v>
      </c>
      <c r="DG175" s="68">
        <v>0</v>
      </c>
      <c r="DH175" s="68">
        <v>0</v>
      </c>
      <c r="DI175" s="68">
        <v>0</v>
      </c>
      <c r="DJ175" s="68">
        <v>0</v>
      </c>
      <c r="DK175" s="68">
        <v>0</v>
      </c>
      <c r="DL175" s="68">
        <v>0</v>
      </c>
      <c r="DM175" s="68">
        <v>0</v>
      </c>
      <c r="DN175" s="68">
        <v>0</v>
      </c>
      <c r="DO175" s="68">
        <v>0</v>
      </c>
      <c r="DP175" s="68">
        <f>SUM(DD175:DO175)</f>
        <v>0</v>
      </c>
      <c r="DQ175" s="68">
        <f>DP175-AB175</f>
        <v>0</v>
      </c>
      <c r="DR175" s="68">
        <f>$DD175</f>
        <v>0</v>
      </c>
      <c r="DS175" s="68">
        <f>DR175+DE175</f>
        <v>0</v>
      </c>
      <c r="DT175" s="68">
        <f>DS175+DF175</f>
        <v>0</v>
      </c>
      <c r="DU175" s="68">
        <f>DT175+DG175</f>
        <v>0</v>
      </c>
      <c r="DV175" s="68">
        <f>DU175+DH175</f>
        <v>0</v>
      </c>
      <c r="DW175" s="68">
        <f>DV175+DI175</f>
        <v>0</v>
      </c>
      <c r="DX175" s="68">
        <f>DW175+DJ175</f>
        <v>0</v>
      </c>
      <c r="DY175" s="68">
        <f>DX175+DK175</f>
        <v>0</v>
      </c>
      <c r="DZ175" s="68">
        <f>DY175+DL175</f>
        <v>0</v>
      </c>
      <c r="EA175" s="68">
        <f>DZ175+DM175</f>
        <v>0</v>
      </c>
      <c r="EB175" s="68">
        <f>EA175+DN175</f>
        <v>0</v>
      </c>
      <c r="EC175" s="68">
        <f>EB175+DO175</f>
        <v>0</v>
      </c>
      <c r="ED175" s="68">
        <f>$EC175-$AB175</f>
        <v>0</v>
      </c>
    </row>
    <row r="176" spans="1:134" ht="30">
      <c r="A176" s="74"/>
      <c r="B176" s="50">
        <v>159</v>
      </c>
      <c r="C176" s="50" t="s">
        <v>269</v>
      </c>
      <c r="D176" s="50" t="s">
        <v>270</v>
      </c>
      <c r="E176" s="50" t="s">
        <v>1541</v>
      </c>
      <c r="F176" s="50" t="s">
        <v>272</v>
      </c>
      <c r="G176" s="50" t="s">
        <v>273</v>
      </c>
      <c r="H176" s="37" t="s">
        <v>151</v>
      </c>
      <c r="I176" s="37" t="s">
        <v>277</v>
      </c>
      <c r="J176" s="92" t="s">
        <v>1529</v>
      </c>
      <c r="K176" s="50" t="s">
        <v>3</v>
      </c>
      <c r="L176" s="50" t="s">
        <v>14</v>
      </c>
      <c r="M176" s="50" t="s">
        <v>16</v>
      </c>
      <c r="N176" s="50" t="s">
        <v>276</v>
      </c>
      <c r="O176" s="37" t="s">
        <v>3</v>
      </c>
      <c r="P176" s="37" t="s">
        <v>14</v>
      </c>
      <c r="Q176" s="37" t="s">
        <v>16</v>
      </c>
      <c r="R176" s="37" t="s">
        <v>276</v>
      </c>
      <c r="S176" s="50" t="s">
        <v>277</v>
      </c>
      <c r="T176" s="50">
        <v>145</v>
      </c>
      <c r="U176" s="50" t="s">
        <v>1542</v>
      </c>
      <c r="V176" s="56" t="s">
        <v>277</v>
      </c>
      <c r="W176" s="84" t="s">
        <v>1543</v>
      </c>
      <c r="X176" s="82" t="s">
        <v>1543</v>
      </c>
      <c r="Y176" s="60"/>
      <c r="Z176" s="60"/>
      <c r="AA176" s="60"/>
      <c r="AB176" s="60"/>
      <c r="AC176" s="183"/>
      <c r="AD176" s="61"/>
      <c r="AE176" s="112">
        <v>0</v>
      </c>
      <c r="AF176" s="112">
        <v>0</v>
      </c>
      <c r="AG176" s="110">
        <f>$AR176+$AZ176+$BQ176+$BT176+$BU176+$BV176</f>
        <v>73924500</v>
      </c>
      <c r="AH176" s="121">
        <f>AF176-AG176</f>
        <v>-73924500</v>
      </c>
      <c r="AI176" s="39" t="s">
        <v>1529</v>
      </c>
      <c r="AJ176" s="198"/>
      <c r="AK176" s="198"/>
      <c r="AL176" s="42"/>
      <c r="AM176" s="68"/>
      <c r="AN176" s="68"/>
      <c r="AO176" s="68"/>
      <c r="AP176" s="68"/>
      <c r="AQ176" s="68">
        <v>0</v>
      </c>
      <c r="AR176" s="68">
        <v>0</v>
      </c>
      <c r="AS176" s="68" t="s">
        <v>307</v>
      </c>
      <c r="AT176" s="68"/>
      <c r="AU176" s="69"/>
      <c r="AV176" s="69"/>
      <c r="AW176" s="69"/>
      <c r="AX176" s="69"/>
      <c r="AY176" s="68">
        <v>0</v>
      </c>
      <c r="AZ176" s="68">
        <v>0</v>
      </c>
      <c r="BA176" s="68" t="s">
        <v>307</v>
      </c>
      <c r="BB176" s="68"/>
      <c r="BC176" s="69"/>
      <c r="BD176" s="69"/>
      <c r="BE176" s="56" t="s">
        <v>277</v>
      </c>
      <c r="BF176" s="56" t="s">
        <v>277</v>
      </c>
      <c r="BG176" s="56" t="s">
        <v>277</v>
      </c>
      <c r="BH176" s="56" t="s">
        <v>277</v>
      </c>
      <c r="BI176" s="69">
        <v>0</v>
      </c>
      <c r="BJ176" s="69">
        <v>0</v>
      </c>
      <c r="BK176" s="69">
        <v>0</v>
      </c>
      <c r="BL176" s="69">
        <v>0</v>
      </c>
      <c r="BM176" s="69">
        <v>0</v>
      </c>
      <c r="BN176" s="69">
        <v>0</v>
      </c>
      <c r="BO176" s="69">
        <v>0</v>
      </c>
      <c r="BP176" s="69">
        <v>0</v>
      </c>
      <c r="BQ176" s="69"/>
      <c r="BR176" s="69" t="s">
        <v>156</v>
      </c>
      <c r="BS176" s="69" t="s">
        <v>543</v>
      </c>
      <c r="BT176" s="68">
        <v>73924500</v>
      </c>
      <c r="BU176" s="68">
        <v>0</v>
      </c>
      <c r="BV176" s="68">
        <v>0</v>
      </c>
      <c r="BW176" s="94">
        <v>0</v>
      </c>
      <c r="BX176" s="94">
        <v>0</v>
      </c>
      <c r="BY176" s="94">
        <v>0</v>
      </c>
      <c r="BZ176" s="94">
        <v>0</v>
      </c>
      <c r="CA176" s="94">
        <v>0</v>
      </c>
      <c r="CB176" s="94">
        <v>0</v>
      </c>
      <c r="CC176" s="94">
        <v>0</v>
      </c>
      <c r="CD176" s="94">
        <v>0</v>
      </c>
      <c r="CE176" s="94">
        <v>0</v>
      </c>
      <c r="CF176" s="108">
        <f>SUM(BT176:CE176)</f>
        <v>73924500</v>
      </c>
      <c r="CG176" s="108">
        <f>$CF176-$AF176</f>
        <v>73924500</v>
      </c>
      <c r="CH176" s="37" t="s">
        <v>289</v>
      </c>
      <c r="CI176" s="37" t="s">
        <v>290</v>
      </c>
      <c r="CJ176" s="37" t="s">
        <v>277</v>
      </c>
      <c r="CK176" s="37" t="s">
        <v>290</v>
      </c>
      <c r="CL176" s="37" t="s">
        <v>277</v>
      </c>
      <c r="CM176" s="37" t="s">
        <v>277</v>
      </c>
      <c r="CN176" s="37" t="s">
        <v>290</v>
      </c>
      <c r="CO176" s="37" t="s">
        <v>277</v>
      </c>
      <c r="CP176" s="91" t="s">
        <v>277</v>
      </c>
      <c r="CQ176" s="91" t="s">
        <v>277</v>
      </c>
      <c r="CR176" s="87" t="s">
        <v>293</v>
      </c>
      <c r="CS176" s="37" t="s">
        <v>322</v>
      </c>
      <c r="CT176" s="37" t="s">
        <v>851</v>
      </c>
      <c r="CU176" s="89" t="s">
        <v>296</v>
      </c>
      <c r="CV176" s="37" t="s">
        <v>323</v>
      </c>
      <c r="CW176" s="37" t="s">
        <v>277</v>
      </c>
      <c r="CX176" s="37" t="s">
        <v>277</v>
      </c>
      <c r="CY176" s="37" t="s">
        <v>277</v>
      </c>
      <c r="CZ176" s="87" t="s">
        <v>277</v>
      </c>
      <c r="DA176" s="87" t="s">
        <v>277</v>
      </c>
      <c r="DB176" s="37" t="s">
        <v>277</v>
      </c>
      <c r="DC176" s="37" t="s">
        <v>277</v>
      </c>
      <c r="DD176" s="68"/>
      <c r="DE176" s="68"/>
      <c r="DF176" s="68"/>
      <c r="DG176" s="68"/>
      <c r="DH176" s="68"/>
      <c r="DI176" s="68"/>
      <c r="DJ176" s="68"/>
      <c r="DK176" s="68"/>
      <c r="DL176" s="68"/>
      <c r="DM176" s="68"/>
      <c r="DN176" s="68"/>
      <c r="DO176" s="68"/>
      <c r="DP176" s="68">
        <f>SUM(DD176:DO176)</f>
        <v>0</v>
      </c>
      <c r="DQ176" s="68">
        <f>DP176-AB176</f>
        <v>0</v>
      </c>
      <c r="DR176" s="68">
        <f>$DD176</f>
        <v>0</v>
      </c>
      <c r="DS176" s="68">
        <f>DR176+DE176</f>
        <v>0</v>
      </c>
      <c r="DT176" s="68">
        <f>DS176+DF176</f>
        <v>0</v>
      </c>
      <c r="DU176" s="68">
        <f>DT176+DG176</f>
        <v>0</v>
      </c>
      <c r="DV176" s="68">
        <f>DU176+DH176</f>
        <v>0</v>
      </c>
      <c r="DW176" s="68">
        <f>DV176+DI176</f>
        <v>0</v>
      </c>
      <c r="DX176" s="68">
        <f>DW176+DJ176</f>
        <v>0</v>
      </c>
      <c r="DY176" s="68">
        <f>DX176+DK176</f>
        <v>0</v>
      </c>
      <c r="DZ176" s="68">
        <f>DY176+DL176</f>
        <v>0</v>
      </c>
      <c r="EA176" s="68">
        <f>DZ176+DM176</f>
        <v>0</v>
      </c>
      <c r="EB176" s="68">
        <f>EA176+DN176</f>
        <v>0</v>
      </c>
      <c r="EC176" s="68">
        <f>EB176+DO176</f>
        <v>0</v>
      </c>
      <c r="ED176" s="68">
        <f>$EC176-$AB176</f>
        <v>0</v>
      </c>
    </row>
    <row r="177" spans="1:134" ht="60">
      <c r="A177" s="74"/>
      <c r="B177" s="50">
        <v>136</v>
      </c>
      <c r="C177" s="50" t="s">
        <v>269</v>
      </c>
      <c r="D177" s="50" t="s">
        <v>297</v>
      </c>
      <c r="E177" s="50"/>
      <c r="F177" s="50" t="s">
        <v>272</v>
      </c>
      <c r="G177" s="50" t="s">
        <v>273</v>
      </c>
      <c r="H177" s="37" t="s">
        <v>151</v>
      </c>
      <c r="I177" s="37" t="s">
        <v>274</v>
      </c>
      <c r="J177" s="37" t="s">
        <v>1170</v>
      </c>
      <c r="K177" s="50" t="s">
        <v>3</v>
      </c>
      <c r="L177" s="50" t="s">
        <v>25</v>
      </c>
      <c r="M177" s="50" t="s">
        <v>52</v>
      </c>
      <c r="N177" s="50" t="s">
        <v>276</v>
      </c>
      <c r="O177" s="37" t="s">
        <v>3</v>
      </c>
      <c r="P177" s="37" t="s">
        <v>25</v>
      </c>
      <c r="Q177" s="37" t="s">
        <v>52</v>
      </c>
      <c r="R177" s="37" t="s">
        <v>512</v>
      </c>
      <c r="S177" s="50" t="s">
        <v>277</v>
      </c>
      <c r="T177" s="50" t="s">
        <v>1544</v>
      </c>
      <c r="U177" s="50" t="s">
        <v>1545</v>
      </c>
      <c r="V177" s="56" t="s">
        <v>1546</v>
      </c>
      <c r="W177" s="56" t="s">
        <v>1546</v>
      </c>
      <c r="X177" s="38" t="s">
        <v>1546</v>
      </c>
      <c r="Y177" s="60">
        <v>549340520</v>
      </c>
      <c r="Z177" s="60">
        <v>412005390</v>
      </c>
      <c r="AA177" s="60"/>
      <c r="AB177" s="60">
        <f>Z177+AA177</f>
        <v>412005390</v>
      </c>
      <c r="AC177" s="61"/>
      <c r="AD177" s="61"/>
      <c r="AE177" s="109">
        <v>0</v>
      </c>
      <c r="AF177" s="109">
        <v>0</v>
      </c>
      <c r="AG177" s="108">
        <f>$AR177+$AZ177+$BQ177+$BT177+$BU177+$BV177</f>
        <v>27467026</v>
      </c>
      <c r="AH177" s="121">
        <f>AF177-AG177</f>
        <v>-27467026</v>
      </c>
      <c r="AI177" s="39" t="s">
        <v>277</v>
      </c>
      <c r="AJ177" s="200"/>
      <c r="AK177" s="200"/>
      <c r="AL177" s="39"/>
      <c r="AM177" s="68"/>
      <c r="AN177" s="68"/>
      <c r="AO177" s="68"/>
      <c r="AP177" s="68"/>
      <c r="AQ177" s="68">
        <v>0</v>
      </c>
      <c r="AR177" s="68">
        <v>0</v>
      </c>
      <c r="AS177" s="68" t="s">
        <v>307</v>
      </c>
      <c r="AT177" s="68"/>
      <c r="AU177" s="69" t="s">
        <v>1547</v>
      </c>
      <c r="AV177" s="69" t="s">
        <v>1548</v>
      </c>
      <c r="AW177" s="69" t="s">
        <v>1549</v>
      </c>
      <c r="AX177" s="69"/>
      <c r="AY177" s="68">
        <v>27467026</v>
      </c>
      <c r="AZ177" s="68">
        <v>27467026</v>
      </c>
      <c r="BA177" s="68" t="s">
        <v>307</v>
      </c>
      <c r="BB177" s="68"/>
      <c r="BC177" s="69" t="s">
        <v>1550</v>
      </c>
      <c r="BD177" s="69" t="s">
        <v>277</v>
      </c>
      <c r="BE177" s="56" t="s">
        <v>277</v>
      </c>
      <c r="BF177" s="56" t="s">
        <v>277</v>
      </c>
      <c r="BG177" s="56" t="s">
        <v>277</v>
      </c>
      <c r="BH177" s="56" t="s">
        <v>277</v>
      </c>
      <c r="BI177" s="69">
        <v>0</v>
      </c>
      <c r="BJ177" s="69">
        <v>0</v>
      </c>
      <c r="BK177" s="69">
        <v>0</v>
      </c>
      <c r="BL177" s="69">
        <v>0</v>
      </c>
      <c r="BM177" s="69">
        <v>0</v>
      </c>
      <c r="BN177" s="69">
        <v>0</v>
      </c>
      <c r="BO177" s="69">
        <v>0</v>
      </c>
      <c r="BP177" s="69">
        <v>0</v>
      </c>
      <c r="BQ177" s="69"/>
      <c r="BR177" s="69" t="s">
        <v>382</v>
      </c>
      <c r="BS177" s="69" t="s">
        <v>798</v>
      </c>
      <c r="BT177" s="68">
        <v>0</v>
      </c>
      <c r="BU177" s="68">
        <v>0</v>
      </c>
      <c r="BV177" s="68">
        <v>0</v>
      </c>
      <c r="BW177" s="94">
        <v>0</v>
      </c>
      <c r="BX177" s="94">
        <v>0</v>
      </c>
      <c r="BY177" s="94">
        <v>0</v>
      </c>
      <c r="BZ177" s="94">
        <v>0</v>
      </c>
      <c r="CA177" s="94">
        <v>0</v>
      </c>
      <c r="CB177" s="168">
        <v>0</v>
      </c>
      <c r="CC177" s="168">
        <v>0</v>
      </c>
      <c r="CD177" s="168">
        <v>0</v>
      </c>
      <c r="CE177" s="168">
        <v>0</v>
      </c>
      <c r="CF177" s="170">
        <f>SUM(BT177:CE177)</f>
        <v>0</v>
      </c>
      <c r="CG177" s="108">
        <f>$CF177-$AF177</f>
        <v>0</v>
      </c>
      <c r="CH177" s="37" t="s">
        <v>289</v>
      </c>
      <c r="CI177" s="37" t="s">
        <v>290</v>
      </c>
      <c r="CJ177" s="37" t="s">
        <v>277</v>
      </c>
      <c r="CK177" s="37" t="s">
        <v>290</v>
      </c>
      <c r="CL177" s="37" t="s">
        <v>277</v>
      </c>
      <c r="CM177" s="37" t="s">
        <v>277</v>
      </c>
      <c r="CN177" s="37" t="s">
        <v>290</v>
      </c>
      <c r="CO177" s="37" t="s">
        <v>1175</v>
      </c>
      <c r="CP177" s="41">
        <v>46023</v>
      </c>
      <c r="CQ177" s="41">
        <v>46387</v>
      </c>
      <c r="CR177" s="37" t="s">
        <v>293</v>
      </c>
      <c r="CS177" s="37" t="s">
        <v>294</v>
      </c>
      <c r="CT177" s="37" t="s">
        <v>295</v>
      </c>
      <c r="CU177" s="37" t="s">
        <v>341</v>
      </c>
      <c r="CV177" s="37" t="s">
        <v>157</v>
      </c>
      <c r="CW177" s="37" t="s">
        <v>277</v>
      </c>
      <c r="CX177" s="37" t="s">
        <v>277</v>
      </c>
      <c r="CY177" s="37" t="s">
        <v>277</v>
      </c>
      <c r="CZ177" s="123" t="s">
        <v>277</v>
      </c>
      <c r="DA177" s="123" t="s">
        <v>277</v>
      </c>
      <c r="DB177" s="37" t="s">
        <v>277</v>
      </c>
      <c r="DC177" s="37" t="s">
        <v>455</v>
      </c>
      <c r="DD177" s="68">
        <v>0</v>
      </c>
      <c r="DE177" s="68">
        <v>0</v>
      </c>
      <c r="DF177" s="68">
        <v>0</v>
      </c>
      <c r="DG177" s="68">
        <v>0</v>
      </c>
      <c r="DH177" s="68">
        <v>0</v>
      </c>
      <c r="DI177" s="68">
        <v>0</v>
      </c>
      <c r="DJ177" s="68">
        <v>0</v>
      </c>
      <c r="DK177" s="68">
        <v>412005390</v>
      </c>
      <c r="DL177" s="68">
        <v>0</v>
      </c>
      <c r="DM177" s="68">
        <v>0</v>
      </c>
      <c r="DN177" s="68">
        <v>0</v>
      </c>
      <c r="DO177" s="68">
        <v>0</v>
      </c>
      <c r="DP177" s="68">
        <f>SUM(DD177:DO177)</f>
        <v>412005390</v>
      </c>
      <c r="DQ177" s="68">
        <f>DP177-AB177</f>
        <v>0</v>
      </c>
      <c r="DR177" s="68">
        <f>$DD177</f>
        <v>0</v>
      </c>
      <c r="DS177" s="68">
        <f>DR177+DE177</f>
        <v>0</v>
      </c>
      <c r="DT177" s="68">
        <f>DS177+DF177</f>
        <v>0</v>
      </c>
      <c r="DU177" s="68">
        <f>DT177+DG177</f>
        <v>0</v>
      </c>
      <c r="DV177" s="68">
        <f>DU177+DH177</f>
        <v>0</v>
      </c>
      <c r="DW177" s="68">
        <f>DV177+DI177</f>
        <v>0</v>
      </c>
      <c r="DX177" s="68">
        <f>DW177+DJ177</f>
        <v>0</v>
      </c>
      <c r="DY177" s="68">
        <f>DX177+DK177</f>
        <v>412005390</v>
      </c>
      <c r="DZ177" s="68">
        <f>DY177+DL177</f>
        <v>412005390</v>
      </c>
      <c r="EA177" s="68">
        <f>DZ177+DM177</f>
        <v>412005390</v>
      </c>
      <c r="EB177" s="68">
        <f>EA177+DN177</f>
        <v>412005390</v>
      </c>
      <c r="EC177" s="68">
        <f>EB177+DO177</f>
        <v>412005390</v>
      </c>
      <c r="ED177" s="68">
        <f>$EC177-$AB177</f>
        <v>0</v>
      </c>
    </row>
    <row r="178" spans="1:134" ht="47.25">
      <c r="A178" s="74"/>
      <c r="B178" s="50">
        <v>93</v>
      </c>
      <c r="C178" s="50" t="s">
        <v>269</v>
      </c>
      <c r="D178" s="50" t="s">
        <v>297</v>
      </c>
      <c r="E178" s="50"/>
      <c r="F178" s="50" t="s">
        <v>272</v>
      </c>
      <c r="G178" s="50" t="s">
        <v>273</v>
      </c>
      <c r="H178" s="37" t="s">
        <v>151</v>
      </c>
      <c r="I178" s="37" t="s">
        <v>1158</v>
      </c>
      <c r="J178" s="92" t="s">
        <v>1159</v>
      </c>
      <c r="K178" s="50" t="s">
        <v>3</v>
      </c>
      <c r="L178" s="50" t="s">
        <v>14</v>
      </c>
      <c r="M178" s="50" t="s">
        <v>16</v>
      </c>
      <c r="N178" s="50" t="s">
        <v>276</v>
      </c>
      <c r="O178" s="37" t="s">
        <v>3</v>
      </c>
      <c r="P178" s="37" t="s">
        <v>14</v>
      </c>
      <c r="Q178" s="37" t="s">
        <v>16</v>
      </c>
      <c r="R178" s="37" t="s">
        <v>276</v>
      </c>
      <c r="S178" s="50" t="s">
        <v>1551</v>
      </c>
      <c r="T178" s="50" t="s">
        <v>1552</v>
      </c>
      <c r="U178" s="50" t="s">
        <v>1553</v>
      </c>
      <c r="V178" s="101" t="s">
        <v>533</v>
      </c>
      <c r="W178" s="101" t="s">
        <v>533</v>
      </c>
      <c r="X178" s="102" t="s">
        <v>533</v>
      </c>
      <c r="Y178" s="60">
        <v>405530000</v>
      </c>
      <c r="Z178" s="60">
        <v>319000000</v>
      </c>
      <c r="AA178" s="60"/>
      <c r="AB178" s="60">
        <f>Z178+AA178</f>
        <v>319000000</v>
      </c>
      <c r="AC178" s="61"/>
      <c r="AD178" s="61"/>
      <c r="AE178" s="109">
        <v>0</v>
      </c>
      <c r="AF178" s="109">
        <v>0</v>
      </c>
      <c r="AG178" s="108">
        <f>$AR178+$AZ178+$BQ178+$BT178+$BU178+$BV178</f>
        <v>18899837</v>
      </c>
      <c r="AH178" s="121">
        <f>AF178-AG178</f>
        <v>-18899837</v>
      </c>
      <c r="AI178" s="39" t="s">
        <v>1529</v>
      </c>
      <c r="AJ178" s="200"/>
      <c r="AK178" s="200"/>
      <c r="AL178" s="39"/>
      <c r="AM178" s="68"/>
      <c r="AN178" s="68"/>
      <c r="AO178" s="68"/>
      <c r="AP178" s="68"/>
      <c r="AQ178" s="68">
        <v>0</v>
      </c>
      <c r="AR178" s="68">
        <v>0</v>
      </c>
      <c r="AS178" s="68" t="s">
        <v>307</v>
      </c>
      <c r="AT178" s="68"/>
      <c r="AU178" s="69" t="s">
        <v>277</v>
      </c>
      <c r="AV178" s="69" t="s">
        <v>277</v>
      </c>
      <c r="AW178" s="69" t="s">
        <v>277</v>
      </c>
      <c r="AX178" s="69"/>
      <c r="AY178" s="68">
        <v>0</v>
      </c>
      <c r="AZ178" s="68">
        <v>0</v>
      </c>
      <c r="BA178" s="68" t="s">
        <v>307</v>
      </c>
      <c r="BB178" s="68"/>
      <c r="BC178" s="69" t="s">
        <v>1554</v>
      </c>
      <c r="BD178" s="69" t="s">
        <v>277</v>
      </c>
      <c r="BE178" s="56" t="s">
        <v>277</v>
      </c>
      <c r="BF178" s="56" t="s">
        <v>277</v>
      </c>
      <c r="BG178" s="56" t="s">
        <v>277</v>
      </c>
      <c r="BH178" s="56" t="s">
        <v>277</v>
      </c>
      <c r="BI178" s="69">
        <v>0</v>
      </c>
      <c r="BJ178" s="69">
        <v>0</v>
      </c>
      <c r="BK178" s="69">
        <v>0</v>
      </c>
      <c r="BL178" s="69">
        <v>0</v>
      </c>
      <c r="BM178" s="69">
        <v>0</v>
      </c>
      <c r="BN178" s="69">
        <v>0</v>
      </c>
      <c r="BO178" s="69">
        <v>0</v>
      </c>
      <c r="BP178" s="69">
        <v>0</v>
      </c>
      <c r="BQ178" s="69"/>
      <c r="BR178" s="69" t="s">
        <v>382</v>
      </c>
      <c r="BS178" s="69" t="s">
        <v>798</v>
      </c>
      <c r="BT178" s="68">
        <v>18899837</v>
      </c>
      <c r="BU178" s="68">
        <v>0</v>
      </c>
      <c r="BV178" s="68">
        <v>0</v>
      </c>
      <c r="BW178" s="94">
        <v>0</v>
      </c>
      <c r="BX178" s="94">
        <v>0</v>
      </c>
      <c r="BY178" s="94">
        <v>0</v>
      </c>
      <c r="BZ178" s="94">
        <v>0</v>
      </c>
      <c r="CA178" s="94">
        <v>0</v>
      </c>
      <c r="CB178" s="94">
        <v>0</v>
      </c>
      <c r="CC178" s="94">
        <v>0</v>
      </c>
      <c r="CD178" s="94">
        <v>0</v>
      </c>
      <c r="CE178" s="94">
        <v>0</v>
      </c>
      <c r="CF178" s="108">
        <f>SUM(BT178:CE178)</f>
        <v>18899837</v>
      </c>
      <c r="CG178" s="108">
        <f>$CF178-$AF178</f>
        <v>18899837</v>
      </c>
      <c r="CH178" s="37" t="s">
        <v>289</v>
      </c>
      <c r="CI178" s="37" t="s">
        <v>290</v>
      </c>
      <c r="CJ178" s="37" t="s">
        <v>277</v>
      </c>
      <c r="CK178" s="37" t="s">
        <v>290</v>
      </c>
      <c r="CL178" s="37" t="s">
        <v>277</v>
      </c>
      <c r="CM178" s="37" t="s">
        <v>277</v>
      </c>
      <c r="CN178" s="37" t="s">
        <v>290</v>
      </c>
      <c r="CO178" s="37" t="s">
        <v>1505</v>
      </c>
      <c r="CP178" s="41">
        <v>46023</v>
      </c>
      <c r="CQ178" s="41">
        <v>46387</v>
      </c>
      <c r="CR178" s="37" t="s">
        <v>293</v>
      </c>
      <c r="CS178" s="37" t="s">
        <v>322</v>
      </c>
      <c r="CT178" s="37" t="s">
        <v>524</v>
      </c>
      <c r="CU178" s="37" t="s">
        <v>341</v>
      </c>
      <c r="CV178" s="37" t="s">
        <v>382</v>
      </c>
      <c r="CW178" s="37">
        <v>4200005278</v>
      </c>
      <c r="CX178" s="37" t="s">
        <v>533</v>
      </c>
      <c r="CY178" s="37">
        <v>319000000</v>
      </c>
      <c r="CZ178" s="123">
        <v>45870</v>
      </c>
      <c r="DA178" s="123">
        <v>46966</v>
      </c>
      <c r="DB178" s="37" t="s">
        <v>277</v>
      </c>
      <c r="DC178" s="37" t="s">
        <v>1017</v>
      </c>
      <c r="DD178" s="68">
        <v>0</v>
      </c>
      <c r="DE178" s="68">
        <v>319000000</v>
      </c>
      <c r="DF178" s="68">
        <v>0</v>
      </c>
      <c r="DG178" s="68">
        <v>0</v>
      </c>
      <c r="DH178" s="68">
        <v>0</v>
      </c>
      <c r="DI178" s="68">
        <v>0</v>
      </c>
      <c r="DJ178" s="68">
        <v>0</v>
      </c>
      <c r="DK178" s="68">
        <v>0</v>
      </c>
      <c r="DL178" s="68">
        <v>0</v>
      </c>
      <c r="DM178" s="68">
        <v>0</v>
      </c>
      <c r="DN178" s="68">
        <v>0</v>
      </c>
      <c r="DO178" s="68">
        <v>0</v>
      </c>
      <c r="DP178" s="68">
        <f>SUM(DD178:DO178)</f>
        <v>319000000</v>
      </c>
      <c r="DQ178" s="68">
        <f>DP178-AB178</f>
        <v>0</v>
      </c>
      <c r="DR178" s="68">
        <f>$DD178</f>
        <v>0</v>
      </c>
      <c r="DS178" s="68">
        <f>DR178+DE178</f>
        <v>319000000</v>
      </c>
      <c r="DT178" s="68">
        <f>DS178+DF178</f>
        <v>319000000</v>
      </c>
      <c r="DU178" s="68">
        <f>DT178+DG178</f>
        <v>319000000</v>
      </c>
      <c r="DV178" s="68">
        <f>DU178+DH178</f>
        <v>319000000</v>
      </c>
      <c r="DW178" s="68">
        <f>DV178+DI178</f>
        <v>319000000</v>
      </c>
      <c r="DX178" s="68">
        <f>DW178+DJ178</f>
        <v>319000000</v>
      </c>
      <c r="DY178" s="68">
        <f>DX178+DK178</f>
        <v>319000000</v>
      </c>
      <c r="DZ178" s="68">
        <f>DY178+DL178</f>
        <v>319000000</v>
      </c>
      <c r="EA178" s="68">
        <f>DZ178+DM178</f>
        <v>319000000</v>
      </c>
      <c r="EB178" s="68">
        <f>EA178+DN178</f>
        <v>319000000</v>
      </c>
      <c r="EC178" s="68">
        <f>EB178+DO178</f>
        <v>319000000</v>
      </c>
      <c r="ED178" s="68">
        <f>$EC178-$AB178</f>
        <v>0</v>
      </c>
    </row>
    <row r="179" spans="1:134" ht="90">
      <c r="A179" s="74"/>
      <c r="B179" s="50">
        <v>175</v>
      </c>
      <c r="C179" s="50" t="s">
        <v>269</v>
      </c>
      <c r="D179" s="50" t="s">
        <v>270</v>
      </c>
      <c r="E179" s="51" t="s">
        <v>1555</v>
      </c>
      <c r="F179" s="50"/>
      <c r="G179" s="50"/>
      <c r="H179" s="37" t="s">
        <v>151</v>
      </c>
      <c r="I179" s="37" t="s">
        <v>1556</v>
      </c>
      <c r="J179" s="37" t="s">
        <v>1288</v>
      </c>
      <c r="K179" s="50"/>
      <c r="L179" s="50"/>
      <c r="M179" s="50"/>
      <c r="N179" s="50"/>
      <c r="O179" s="37" t="s">
        <v>3</v>
      </c>
      <c r="P179" s="37" t="s">
        <v>14</v>
      </c>
      <c r="Q179" s="37" t="s">
        <v>16</v>
      </c>
      <c r="R179" s="37" t="s">
        <v>276</v>
      </c>
      <c r="S179" s="50"/>
      <c r="T179" s="50"/>
      <c r="U179" s="50" t="s">
        <v>1557</v>
      </c>
      <c r="V179" s="56" t="s">
        <v>277</v>
      </c>
      <c r="W179" s="56" t="s">
        <v>1558</v>
      </c>
      <c r="X179" s="38" t="s">
        <v>1558</v>
      </c>
      <c r="Y179" s="60"/>
      <c r="Z179" s="60"/>
      <c r="AA179" s="60"/>
      <c r="AB179" s="60"/>
      <c r="AC179" s="61"/>
      <c r="AD179" s="61"/>
      <c r="AE179" s="109">
        <v>0</v>
      </c>
      <c r="AF179" s="109">
        <v>0</v>
      </c>
      <c r="AG179" s="108">
        <f>$AR179+$AZ179+$BQ179+$BT179+$BU179+$BV179</f>
        <v>2700000</v>
      </c>
      <c r="AH179" s="121">
        <f>AF179-AG179</f>
        <v>-2700000</v>
      </c>
      <c r="AI179" s="39" t="s">
        <v>1559</v>
      </c>
      <c r="AJ179" s="200"/>
      <c r="AK179" s="200"/>
      <c r="AL179" s="39"/>
      <c r="AM179" s="68"/>
      <c r="AN179" s="68"/>
      <c r="AO179" s="68"/>
      <c r="AP179" s="68"/>
      <c r="AQ179" s="68"/>
      <c r="AR179" s="68"/>
      <c r="AS179" s="68"/>
      <c r="AT179" s="68"/>
      <c r="AU179" s="69"/>
      <c r="AV179" s="69"/>
      <c r="AW179" s="69"/>
      <c r="AX179" s="69"/>
      <c r="AY179" s="68"/>
      <c r="AZ179" s="68"/>
      <c r="BA179" s="68"/>
      <c r="BB179" s="68"/>
      <c r="BC179" s="69"/>
      <c r="BD179" s="69"/>
      <c r="BE179" s="56" t="s">
        <v>277</v>
      </c>
      <c r="BF179" s="56" t="s">
        <v>277</v>
      </c>
      <c r="BG179" s="56" t="s">
        <v>277</v>
      </c>
      <c r="BH179" s="56" t="s">
        <v>277</v>
      </c>
      <c r="BI179" s="69">
        <v>0</v>
      </c>
      <c r="BJ179" s="69">
        <v>0</v>
      </c>
      <c r="BK179" s="69">
        <v>0</v>
      </c>
      <c r="BL179" s="69">
        <v>0</v>
      </c>
      <c r="BM179" s="69">
        <v>0</v>
      </c>
      <c r="BN179" s="69">
        <v>0</v>
      </c>
      <c r="BO179" s="69">
        <v>0</v>
      </c>
      <c r="BP179" s="69">
        <v>0</v>
      </c>
      <c r="BQ179" s="69"/>
      <c r="BR179" s="69" t="s">
        <v>382</v>
      </c>
      <c r="BS179" s="69" t="s">
        <v>798</v>
      </c>
      <c r="BT179" s="68">
        <v>2700000</v>
      </c>
      <c r="BU179" s="68">
        <v>0</v>
      </c>
      <c r="BV179" s="68"/>
      <c r="BW179" s="94">
        <v>0</v>
      </c>
      <c r="BX179" s="94">
        <v>0</v>
      </c>
      <c r="BY179" s="94">
        <v>0</v>
      </c>
      <c r="BZ179" s="94">
        <v>0</v>
      </c>
      <c r="CA179" s="94">
        <v>0</v>
      </c>
      <c r="CB179" s="94">
        <v>0</v>
      </c>
      <c r="CC179" s="94">
        <v>0</v>
      </c>
      <c r="CD179" s="94">
        <v>0</v>
      </c>
      <c r="CE179" s="94">
        <v>0</v>
      </c>
      <c r="CF179" s="108">
        <f>SUM(BT179:CE179)</f>
        <v>2700000</v>
      </c>
      <c r="CG179" s="108">
        <f>$CF179-$AF179</f>
        <v>2700000</v>
      </c>
      <c r="CH179" s="37" t="s">
        <v>289</v>
      </c>
      <c r="CI179" s="37" t="s">
        <v>290</v>
      </c>
      <c r="CJ179" s="37" t="s">
        <v>277</v>
      </c>
      <c r="CK179" s="37" t="s">
        <v>290</v>
      </c>
      <c r="CL179" s="37" t="s">
        <v>277</v>
      </c>
      <c r="CM179" s="37" t="s">
        <v>277</v>
      </c>
      <c r="CN179" s="37" t="s">
        <v>600</v>
      </c>
      <c r="CO179" s="37" t="s">
        <v>277</v>
      </c>
      <c r="CP179" s="91" t="s">
        <v>277</v>
      </c>
      <c r="CQ179" s="91" t="s">
        <v>277</v>
      </c>
      <c r="CR179" s="87" t="s">
        <v>293</v>
      </c>
      <c r="CS179" s="37" t="s">
        <v>322</v>
      </c>
      <c r="CT179" s="37" t="s">
        <v>851</v>
      </c>
      <c r="CU179" s="89" t="s">
        <v>296</v>
      </c>
      <c r="CV179" s="37" t="s">
        <v>1559</v>
      </c>
      <c r="CW179" s="37" t="s">
        <v>277</v>
      </c>
      <c r="CX179" s="37" t="s">
        <v>277</v>
      </c>
      <c r="CY179" s="37" t="s">
        <v>277</v>
      </c>
      <c r="CZ179" s="87" t="s">
        <v>277</v>
      </c>
      <c r="DA179" s="87" t="s">
        <v>277</v>
      </c>
      <c r="DB179" s="37" t="s">
        <v>277</v>
      </c>
      <c r="DC179" s="37" t="s">
        <v>277</v>
      </c>
      <c r="DD179" s="68"/>
      <c r="DE179" s="68"/>
      <c r="DF179" s="68"/>
      <c r="DG179" s="68"/>
      <c r="DH179" s="68"/>
      <c r="DI179" s="68"/>
      <c r="DJ179" s="68"/>
      <c r="DK179" s="68"/>
      <c r="DL179" s="68"/>
      <c r="DM179" s="68"/>
      <c r="DN179" s="68"/>
      <c r="DO179" s="68"/>
      <c r="DP179" s="68">
        <f>SUM(DD179:DO179)</f>
        <v>0</v>
      </c>
      <c r="DQ179" s="68">
        <f>DP179-AB179</f>
        <v>0</v>
      </c>
      <c r="DR179" s="68">
        <f>$DD179</f>
        <v>0</v>
      </c>
      <c r="DS179" s="68">
        <f>DR179+DE179</f>
        <v>0</v>
      </c>
      <c r="DT179" s="68">
        <f>DS179+DF179</f>
        <v>0</v>
      </c>
      <c r="DU179" s="68">
        <f>DT179+DG179</f>
        <v>0</v>
      </c>
      <c r="DV179" s="68">
        <f>DU179+DH179</f>
        <v>0</v>
      </c>
      <c r="DW179" s="68">
        <f>DV179+DI179</f>
        <v>0</v>
      </c>
      <c r="DX179" s="68">
        <f>DW179+DJ179</f>
        <v>0</v>
      </c>
      <c r="DY179" s="68">
        <f>DX179+DK179</f>
        <v>0</v>
      </c>
      <c r="DZ179" s="68">
        <f>DY179+DL179</f>
        <v>0</v>
      </c>
      <c r="EA179" s="68">
        <f>DZ179+DM179</f>
        <v>0</v>
      </c>
      <c r="EB179" s="68">
        <f>EA179+DN179</f>
        <v>0</v>
      </c>
      <c r="EC179" s="68">
        <f>EB179+DO179</f>
        <v>0</v>
      </c>
      <c r="ED179" s="68">
        <f>$EC179-$AB179</f>
        <v>0</v>
      </c>
    </row>
    <row r="180" spans="1:134" ht="60">
      <c r="A180" s="74"/>
      <c r="B180" s="50">
        <v>176</v>
      </c>
      <c r="C180" s="50" t="s">
        <v>269</v>
      </c>
      <c r="D180" s="50" t="s">
        <v>270</v>
      </c>
      <c r="E180" s="50" t="s">
        <v>1560</v>
      </c>
      <c r="F180" s="50"/>
      <c r="G180" s="50"/>
      <c r="H180" s="37" t="s">
        <v>151</v>
      </c>
      <c r="I180" s="37" t="s">
        <v>1556</v>
      </c>
      <c r="J180" s="37" t="s">
        <v>1288</v>
      </c>
      <c r="K180" s="50"/>
      <c r="L180" s="50"/>
      <c r="M180" s="50"/>
      <c r="N180" s="50"/>
      <c r="O180" s="37" t="s">
        <v>3</v>
      </c>
      <c r="P180" s="87" t="s">
        <v>14</v>
      </c>
      <c r="Q180" s="87" t="s">
        <v>16</v>
      </c>
      <c r="R180" s="37" t="s">
        <v>276</v>
      </c>
      <c r="S180" s="50"/>
      <c r="T180" s="50"/>
      <c r="U180" s="50" t="s">
        <v>1561</v>
      </c>
      <c r="V180" s="56" t="s">
        <v>277</v>
      </c>
      <c r="W180" s="56" t="s">
        <v>1562</v>
      </c>
      <c r="X180" s="38" t="s">
        <v>1562</v>
      </c>
      <c r="Y180" s="60"/>
      <c r="Z180" s="60"/>
      <c r="AA180" s="60"/>
      <c r="AB180" s="60"/>
      <c r="AC180" s="61"/>
      <c r="AD180" s="61"/>
      <c r="AE180" s="109">
        <v>0</v>
      </c>
      <c r="AF180" s="109">
        <v>0</v>
      </c>
      <c r="AG180" s="108">
        <f>$AR180+$AZ180+$BQ180+$BT180+$BU180+$BV180</f>
        <v>2600000</v>
      </c>
      <c r="AH180" s="121">
        <f>AF180-AG180</f>
        <v>-2600000</v>
      </c>
      <c r="AI180" s="39" t="s">
        <v>1559</v>
      </c>
      <c r="AJ180" s="200"/>
      <c r="AK180" s="200"/>
      <c r="AL180" s="39"/>
      <c r="AM180" s="68"/>
      <c r="AN180" s="68"/>
      <c r="AO180" s="68"/>
      <c r="AP180" s="68"/>
      <c r="AQ180" s="68"/>
      <c r="AR180" s="68"/>
      <c r="AS180" s="68"/>
      <c r="AT180" s="68"/>
      <c r="AU180" s="69"/>
      <c r="AV180" s="69"/>
      <c r="AW180" s="69"/>
      <c r="AX180" s="69"/>
      <c r="AY180" s="68"/>
      <c r="AZ180" s="68"/>
      <c r="BA180" s="68"/>
      <c r="BB180" s="68"/>
      <c r="BC180" s="69"/>
      <c r="BD180" s="69"/>
      <c r="BE180" s="56" t="s">
        <v>277</v>
      </c>
      <c r="BF180" s="56" t="s">
        <v>277</v>
      </c>
      <c r="BG180" s="56" t="s">
        <v>277</v>
      </c>
      <c r="BH180" s="56" t="s">
        <v>277</v>
      </c>
      <c r="BI180" s="69">
        <v>0</v>
      </c>
      <c r="BJ180" s="69">
        <v>0</v>
      </c>
      <c r="BK180" s="69">
        <v>0</v>
      </c>
      <c r="BL180" s="69">
        <v>0</v>
      </c>
      <c r="BM180" s="69">
        <v>0</v>
      </c>
      <c r="BN180" s="69">
        <v>0</v>
      </c>
      <c r="BO180" s="69">
        <v>0</v>
      </c>
      <c r="BP180" s="69">
        <v>0</v>
      </c>
      <c r="BQ180" s="69"/>
      <c r="BR180" s="69" t="s">
        <v>382</v>
      </c>
      <c r="BS180" s="69" t="s">
        <v>798</v>
      </c>
      <c r="BT180" s="68">
        <v>2600000</v>
      </c>
      <c r="BU180" s="68">
        <v>0</v>
      </c>
      <c r="BV180" s="68"/>
      <c r="BW180" s="94">
        <v>0</v>
      </c>
      <c r="BX180" s="94">
        <v>0</v>
      </c>
      <c r="BY180" s="94">
        <v>0</v>
      </c>
      <c r="BZ180" s="94">
        <v>0</v>
      </c>
      <c r="CA180" s="94">
        <v>0</v>
      </c>
      <c r="CB180" s="94">
        <v>0</v>
      </c>
      <c r="CC180" s="94">
        <v>0</v>
      </c>
      <c r="CD180" s="94">
        <v>0</v>
      </c>
      <c r="CE180" s="94">
        <v>0</v>
      </c>
      <c r="CF180" s="108">
        <f>SUM(BT180:CE180)</f>
        <v>2600000</v>
      </c>
      <c r="CG180" s="108">
        <f>$CF180-$AF180</f>
        <v>2600000</v>
      </c>
      <c r="CH180" s="37" t="s">
        <v>289</v>
      </c>
      <c r="CI180" s="37" t="s">
        <v>290</v>
      </c>
      <c r="CJ180" s="87" t="s">
        <v>277</v>
      </c>
      <c r="CK180" s="37" t="s">
        <v>474</v>
      </c>
      <c r="CL180" s="87" t="s">
        <v>277</v>
      </c>
      <c r="CM180" s="87" t="s">
        <v>277</v>
      </c>
      <c r="CN180" s="37" t="s">
        <v>600</v>
      </c>
      <c r="CO180" s="87" t="s">
        <v>277</v>
      </c>
      <c r="CP180" s="41" t="s">
        <v>1563</v>
      </c>
      <c r="CQ180" s="41" t="s">
        <v>1563</v>
      </c>
      <c r="CR180" s="87" t="s">
        <v>293</v>
      </c>
      <c r="CS180" s="37" t="s">
        <v>322</v>
      </c>
      <c r="CT180" s="37" t="s">
        <v>851</v>
      </c>
      <c r="CU180" s="37" t="s">
        <v>935</v>
      </c>
      <c r="CV180" s="37" t="s">
        <v>1564</v>
      </c>
      <c r="CW180" s="37" t="s">
        <v>1565</v>
      </c>
      <c r="CX180" s="37" t="s">
        <v>277</v>
      </c>
      <c r="CY180" s="37" t="s">
        <v>277</v>
      </c>
      <c r="CZ180" s="123">
        <v>45992</v>
      </c>
      <c r="DA180" s="123">
        <v>45992</v>
      </c>
      <c r="DB180" s="37" t="s">
        <v>277</v>
      </c>
      <c r="DC180" s="37" t="s">
        <v>277</v>
      </c>
      <c r="DD180" s="68"/>
      <c r="DE180" s="68"/>
      <c r="DF180" s="68"/>
      <c r="DG180" s="68"/>
      <c r="DH180" s="68"/>
      <c r="DI180" s="68"/>
      <c r="DJ180" s="68"/>
      <c r="DK180" s="68"/>
      <c r="DL180" s="68"/>
      <c r="DM180" s="68"/>
      <c r="DN180" s="68"/>
      <c r="DO180" s="68"/>
      <c r="DP180" s="68">
        <f>SUM(DD180:DO180)</f>
        <v>0</v>
      </c>
      <c r="DQ180" s="68">
        <f>DP180-AB180</f>
        <v>0</v>
      </c>
      <c r="DR180" s="68">
        <f>$DD180</f>
        <v>0</v>
      </c>
      <c r="DS180" s="68">
        <f>DR180+DE180</f>
        <v>0</v>
      </c>
      <c r="DT180" s="68">
        <f>DS180+DF180</f>
        <v>0</v>
      </c>
      <c r="DU180" s="68">
        <f>DT180+DG180</f>
        <v>0</v>
      </c>
      <c r="DV180" s="68">
        <f>DU180+DH180</f>
        <v>0</v>
      </c>
      <c r="DW180" s="68">
        <f>DV180+DI180</f>
        <v>0</v>
      </c>
      <c r="DX180" s="68">
        <f>DW180+DJ180</f>
        <v>0</v>
      </c>
      <c r="DY180" s="68">
        <f>DX180+DK180</f>
        <v>0</v>
      </c>
      <c r="DZ180" s="68">
        <f>DY180+DL180</f>
        <v>0</v>
      </c>
      <c r="EA180" s="68">
        <f>DZ180+DM180</f>
        <v>0</v>
      </c>
      <c r="EB180" s="68">
        <f>EA180+DN180</f>
        <v>0</v>
      </c>
      <c r="EC180" s="68">
        <f>EB180+DO180</f>
        <v>0</v>
      </c>
      <c r="ED180" s="68">
        <f>$EC180-$AB180</f>
        <v>0</v>
      </c>
    </row>
    <row r="181" spans="1:134" ht="30">
      <c r="A181" s="74"/>
      <c r="B181" s="50">
        <v>4</v>
      </c>
      <c r="C181" s="50" t="s">
        <v>269</v>
      </c>
      <c r="D181" s="50" t="s">
        <v>297</v>
      </c>
      <c r="E181" s="50"/>
      <c r="F181" s="50" t="s">
        <v>272</v>
      </c>
      <c r="G181" s="50" t="s">
        <v>273</v>
      </c>
      <c r="H181" s="87" t="s">
        <v>151</v>
      </c>
      <c r="I181" s="87" t="s">
        <v>326</v>
      </c>
      <c r="J181" s="87" t="s">
        <v>327</v>
      </c>
      <c r="K181" s="50" t="s">
        <v>3</v>
      </c>
      <c r="L181" s="50" t="s">
        <v>14</v>
      </c>
      <c r="M181" s="50" t="s">
        <v>16</v>
      </c>
      <c r="N181" s="50" t="s">
        <v>276</v>
      </c>
      <c r="O181" s="37" t="s">
        <v>3</v>
      </c>
      <c r="P181" s="37" t="s">
        <v>14</v>
      </c>
      <c r="Q181" s="37" t="s">
        <v>16</v>
      </c>
      <c r="R181" s="37" t="s">
        <v>276</v>
      </c>
      <c r="S181" s="50" t="s">
        <v>277</v>
      </c>
      <c r="T181" s="50" t="s">
        <v>1439</v>
      </c>
      <c r="U181" s="50" t="s">
        <v>1566</v>
      </c>
      <c r="V181" s="56" t="s">
        <v>1567</v>
      </c>
      <c r="W181" s="56" t="s">
        <v>1567</v>
      </c>
      <c r="X181" s="38" t="s">
        <v>1567</v>
      </c>
      <c r="Y181" s="60">
        <v>15618104600</v>
      </c>
      <c r="Z181" s="60">
        <v>15618104600</v>
      </c>
      <c r="AA181" s="60">
        <v>-6351521010</v>
      </c>
      <c r="AB181" s="60">
        <f>Z181+AA181</f>
        <v>9266583590</v>
      </c>
      <c r="AC181" s="61" t="s">
        <v>626</v>
      </c>
      <c r="AD181" s="61" t="s">
        <v>1568</v>
      </c>
      <c r="AE181" s="111">
        <v>15618104600</v>
      </c>
      <c r="AF181" s="111">
        <v>0</v>
      </c>
      <c r="AG181" s="110">
        <f>$AR181+$AZ181+$BQ181+$BT181+$BU181+$BV181</f>
        <v>0</v>
      </c>
      <c r="AH181" s="121">
        <f>AF181-AG181</f>
        <v>0</v>
      </c>
      <c r="AI181" s="39" t="s">
        <v>1569</v>
      </c>
      <c r="AJ181" s="198"/>
      <c r="AK181" s="198"/>
      <c r="AL181" s="42"/>
      <c r="AM181" s="68"/>
      <c r="AN181" s="68"/>
      <c r="AO181" s="68"/>
      <c r="AP181" s="68"/>
      <c r="AQ181" s="68">
        <v>0</v>
      </c>
      <c r="AR181" s="68">
        <v>0</v>
      </c>
      <c r="AS181" s="68" t="s">
        <v>307</v>
      </c>
      <c r="AT181" s="68"/>
      <c r="AU181" s="69" t="s">
        <v>277</v>
      </c>
      <c r="AV181" s="69" t="s">
        <v>277</v>
      </c>
      <c r="AW181" s="69" t="s">
        <v>277</v>
      </c>
      <c r="AX181" s="69"/>
      <c r="AY181" s="68">
        <v>0</v>
      </c>
      <c r="AZ181" s="68">
        <v>0</v>
      </c>
      <c r="BA181" s="68" t="s">
        <v>307</v>
      </c>
      <c r="BB181" s="68"/>
      <c r="BC181" s="69" t="s">
        <v>1570</v>
      </c>
      <c r="BD181" s="69" t="s">
        <v>277</v>
      </c>
      <c r="BE181" s="56" t="s">
        <v>277</v>
      </c>
      <c r="BF181" s="56" t="s">
        <v>277</v>
      </c>
      <c r="BG181" s="56" t="s">
        <v>277</v>
      </c>
      <c r="BH181" s="56" t="s">
        <v>277</v>
      </c>
      <c r="BI181" s="69">
        <v>0</v>
      </c>
      <c r="BJ181" s="69">
        <v>0</v>
      </c>
      <c r="BK181" s="69">
        <v>0</v>
      </c>
      <c r="BL181" s="69">
        <v>0</v>
      </c>
      <c r="BM181" s="69">
        <v>0</v>
      </c>
      <c r="BN181" s="69">
        <v>0</v>
      </c>
      <c r="BO181" s="69">
        <v>0</v>
      </c>
      <c r="BP181" s="69">
        <v>0</v>
      </c>
      <c r="BQ181" s="69">
        <f>$BJ181</f>
        <v>0</v>
      </c>
      <c r="BR181" s="69" t="s">
        <v>643</v>
      </c>
      <c r="BS181" s="69" t="s">
        <v>1571</v>
      </c>
      <c r="BT181" s="68">
        <v>0</v>
      </c>
      <c r="BU181" s="68">
        <v>0</v>
      </c>
      <c r="BV181" s="68">
        <v>0</v>
      </c>
      <c r="BW181" s="96">
        <v>0</v>
      </c>
      <c r="BX181" s="96">
        <v>0</v>
      </c>
      <c r="BY181" s="96">
        <v>0</v>
      </c>
      <c r="BZ181" s="96">
        <v>0</v>
      </c>
      <c r="CA181" s="96">
        <v>0</v>
      </c>
      <c r="CB181" s="96">
        <v>0</v>
      </c>
      <c r="CC181" s="96">
        <v>0</v>
      </c>
      <c r="CD181" s="96">
        <v>0</v>
      </c>
      <c r="CE181" s="111">
        <v>9266583590</v>
      </c>
      <c r="CF181" s="108">
        <f>SUM(BT181:CE181)</f>
        <v>9266583590</v>
      </c>
      <c r="CG181" s="108">
        <f>$CF181-$AF181</f>
        <v>9266583590</v>
      </c>
      <c r="CH181" s="37" t="s">
        <v>318</v>
      </c>
      <c r="CI181" s="37" t="s">
        <v>290</v>
      </c>
      <c r="CJ181" s="37" t="s">
        <v>277</v>
      </c>
      <c r="CK181" s="37" t="s">
        <v>290</v>
      </c>
      <c r="CL181" s="37" t="s">
        <v>1572</v>
      </c>
      <c r="CM181" s="37" t="s">
        <v>1573</v>
      </c>
      <c r="CN181" s="37" t="s">
        <v>290</v>
      </c>
      <c r="CO181" s="37" t="s">
        <v>277</v>
      </c>
      <c r="CP181" s="41">
        <v>46023</v>
      </c>
      <c r="CQ181" s="41">
        <v>46357</v>
      </c>
      <c r="CR181" s="37" t="s">
        <v>293</v>
      </c>
      <c r="CS181" s="37" t="s">
        <v>322</v>
      </c>
      <c r="CT181" s="37" t="s">
        <v>295</v>
      </c>
      <c r="CU181" s="37" t="s">
        <v>296</v>
      </c>
      <c r="CV181" s="37" t="s">
        <v>323</v>
      </c>
      <c r="CW181" s="37" t="s">
        <v>277</v>
      </c>
      <c r="CX181" s="37" t="s">
        <v>277</v>
      </c>
      <c r="CY181" s="37">
        <v>0</v>
      </c>
      <c r="CZ181" s="123" t="s">
        <v>277</v>
      </c>
      <c r="DA181" s="123" t="s">
        <v>277</v>
      </c>
      <c r="DB181" s="37" t="s">
        <v>509</v>
      </c>
      <c r="DC181" s="37" t="s">
        <v>1574</v>
      </c>
      <c r="DD181" s="68">
        <v>0</v>
      </c>
      <c r="DE181" s="68">
        <v>0</v>
      </c>
      <c r="DF181" s="68">
        <v>0</v>
      </c>
      <c r="DG181" s="68">
        <v>0</v>
      </c>
      <c r="DH181" s="68">
        <v>0</v>
      </c>
      <c r="DI181" s="68">
        <v>0</v>
      </c>
      <c r="DJ181" s="68">
        <v>0</v>
      </c>
      <c r="DK181" s="68">
        <v>0</v>
      </c>
      <c r="DL181" s="68">
        <v>0</v>
      </c>
      <c r="DM181" s="68">
        <v>0</v>
      </c>
      <c r="DN181" s="68">
        <v>0</v>
      </c>
      <c r="DO181" s="68">
        <f>15618104600-6351521010</f>
        <v>9266583590</v>
      </c>
      <c r="DP181" s="68">
        <f>SUM(DD181:DO181)</f>
        <v>9266583590</v>
      </c>
      <c r="DQ181" s="68">
        <f>DP181-AB181</f>
        <v>0</v>
      </c>
      <c r="DR181" s="68">
        <f>$DD181</f>
        <v>0</v>
      </c>
      <c r="DS181" s="68">
        <f>DR181+DE181</f>
        <v>0</v>
      </c>
      <c r="DT181" s="68">
        <f>DS181+DF181</f>
        <v>0</v>
      </c>
      <c r="DU181" s="68">
        <f>DT181+DG181</f>
        <v>0</v>
      </c>
      <c r="DV181" s="68">
        <f>DU181+DH181</f>
        <v>0</v>
      </c>
      <c r="DW181" s="68">
        <f>DV181+DI181</f>
        <v>0</v>
      </c>
      <c r="DX181" s="68">
        <f>DW181+DJ181</f>
        <v>0</v>
      </c>
      <c r="DY181" s="68">
        <f>DX181+DK181</f>
        <v>0</v>
      </c>
      <c r="DZ181" s="68">
        <f>DY181+DL181</f>
        <v>0</v>
      </c>
      <c r="EA181" s="68">
        <f>DZ181+DM181</f>
        <v>0</v>
      </c>
      <c r="EB181" s="68">
        <f>EA181+DN181</f>
        <v>0</v>
      </c>
      <c r="EC181" s="68">
        <f>EB181+DO181</f>
        <v>9266583590</v>
      </c>
      <c r="ED181" s="68">
        <f>$EC181-$AB181</f>
        <v>0</v>
      </c>
    </row>
    <row r="182" spans="1:134" ht="30">
      <c r="A182" s="74"/>
      <c r="B182" s="50">
        <v>5</v>
      </c>
      <c r="C182" s="50" t="s">
        <v>269</v>
      </c>
      <c r="D182" s="50" t="s">
        <v>297</v>
      </c>
      <c r="E182" s="50"/>
      <c r="F182" s="50" t="s">
        <v>272</v>
      </c>
      <c r="G182" s="50" t="s">
        <v>273</v>
      </c>
      <c r="H182" s="37" t="s">
        <v>151</v>
      </c>
      <c r="I182" s="37" t="s">
        <v>326</v>
      </c>
      <c r="J182" s="37" t="s">
        <v>327</v>
      </c>
      <c r="K182" s="50" t="s">
        <v>3</v>
      </c>
      <c r="L182" s="50" t="s">
        <v>14</v>
      </c>
      <c r="M182" s="50" t="s">
        <v>16</v>
      </c>
      <c r="N182" s="50" t="s">
        <v>276</v>
      </c>
      <c r="O182" s="37" t="s">
        <v>3</v>
      </c>
      <c r="P182" s="37" t="s">
        <v>14</v>
      </c>
      <c r="Q182" s="37" t="s">
        <v>16</v>
      </c>
      <c r="R182" s="37" t="s">
        <v>276</v>
      </c>
      <c r="S182" s="50" t="s">
        <v>277</v>
      </c>
      <c r="T182" s="50" t="s">
        <v>1575</v>
      </c>
      <c r="U182" s="50" t="s">
        <v>1576</v>
      </c>
      <c r="V182" s="56" t="s">
        <v>1577</v>
      </c>
      <c r="W182" s="56" t="s">
        <v>1577</v>
      </c>
      <c r="X182" s="38" t="s">
        <v>1577</v>
      </c>
      <c r="Y182" s="60">
        <v>15618104600</v>
      </c>
      <c r="Z182" s="60">
        <v>15618104600</v>
      </c>
      <c r="AA182" s="60"/>
      <c r="AB182" s="60">
        <f>Z182+AA182</f>
        <v>15618104600</v>
      </c>
      <c r="AC182" s="61"/>
      <c r="AD182" s="61"/>
      <c r="AE182" s="111">
        <v>15618104600</v>
      </c>
      <c r="AF182" s="111">
        <v>0</v>
      </c>
      <c r="AG182" s="108">
        <f>$AR182+$AZ182+$BQ182+$BT182+$BU182+$BV182</f>
        <v>0</v>
      </c>
      <c r="AH182" s="121">
        <f>AF182-AG182</f>
        <v>0</v>
      </c>
      <c r="AI182" s="85" t="s">
        <v>1569</v>
      </c>
      <c r="AJ182" s="199"/>
      <c r="AK182" s="199"/>
      <c r="AL182" s="86"/>
      <c r="AM182" s="68"/>
      <c r="AN182" s="68"/>
      <c r="AO182" s="68"/>
      <c r="AP182" s="68"/>
      <c r="AQ182" s="68">
        <v>0</v>
      </c>
      <c r="AR182" s="68">
        <v>0</v>
      </c>
      <c r="AS182" s="68" t="s">
        <v>307</v>
      </c>
      <c r="AT182" s="68"/>
      <c r="AU182" s="69" t="s">
        <v>277</v>
      </c>
      <c r="AV182" s="69" t="s">
        <v>277</v>
      </c>
      <c r="AW182" s="69" t="s">
        <v>277</v>
      </c>
      <c r="AX182" s="69"/>
      <c r="AY182" s="68">
        <v>0</v>
      </c>
      <c r="AZ182" s="68">
        <v>0</v>
      </c>
      <c r="BA182" s="68" t="s">
        <v>307</v>
      </c>
      <c r="BB182" s="68"/>
      <c r="BC182" s="69" t="s">
        <v>1578</v>
      </c>
      <c r="BD182" s="69" t="s">
        <v>277</v>
      </c>
      <c r="BE182" s="56" t="s">
        <v>277</v>
      </c>
      <c r="BF182" s="56" t="s">
        <v>277</v>
      </c>
      <c r="BG182" s="56" t="s">
        <v>277</v>
      </c>
      <c r="BH182" s="56" t="s">
        <v>277</v>
      </c>
      <c r="BI182" s="69">
        <v>0</v>
      </c>
      <c r="BJ182" s="69">
        <v>0</v>
      </c>
      <c r="BK182" s="69">
        <v>0</v>
      </c>
      <c r="BL182" s="69">
        <v>0</v>
      </c>
      <c r="BM182" s="69">
        <v>0</v>
      </c>
      <c r="BN182" s="69">
        <v>0</v>
      </c>
      <c r="BO182" s="69">
        <v>0</v>
      </c>
      <c r="BP182" s="69">
        <v>0</v>
      </c>
      <c r="BQ182" s="69">
        <f>$BJ182</f>
        <v>0</v>
      </c>
      <c r="BR182" s="69" t="s">
        <v>643</v>
      </c>
      <c r="BS182" s="69" t="s">
        <v>1571</v>
      </c>
      <c r="BT182" s="68">
        <v>0</v>
      </c>
      <c r="BU182" s="68">
        <v>0</v>
      </c>
      <c r="BV182" s="68">
        <v>0</v>
      </c>
      <c r="BW182" s="96">
        <v>0</v>
      </c>
      <c r="BX182" s="96">
        <v>0</v>
      </c>
      <c r="BY182" s="96">
        <v>0</v>
      </c>
      <c r="BZ182" s="96">
        <v>0</v>
      </c>
      <c r="CA182" s="96">
        <v>0</v>
      </c>
      <c r="CB182" s="96">
        <v>0</v>
      </c>
      <c r="CC182" s="96">
        <v>0</v>
      </c>
      <c r="CD182" s="96">
        <v>0</v>
      </c>
      <c r="CE182" s="111">
        <v>15618104600</v>
      </c>
      <c r="CF182" s="108">
        <f>SUM(BT182:CE182)</f>
        <v>15618104600</v>
      </c>
      <c r="CG182" s="108">
        <f>$CF182-$AF182</f>
        <v>15618104600</v>
      </c>
      <c r="CH182" s="37" t="s">
        <v>318</v>
      </c>
      <c r="CI182" s="37" t="s">
        <v>290</v>
      </c>
      <c r="CJ182" s="37" t="s">
        <v>277</v>
      </c>
      <c r="CK182" s="37" t="s">
        <v>290</v>
      </c>
      <c r="CL182" s="37" t="s">
        <v>1579</v>
      </c>
      <c r="CM182" s="37" t="s">
        <v>1573</v>
      </c>
      <c r="CN182" s="37" t="s">
        <v>290</v>
      </c>
      <c r="CO182" s="37" t="s">
        <v>277</v>
      </c>
      <c r="CP182" s="41">
        <v>46023</v>
      </c>
      <c r="CQ182" s="41">
        <v>46357</v>
      </c>
      <c r="CR182" s="37" t="s">
        <v>293</v>
      </c>
      <c r="CS182" s="37" t="s">
        <v>322</v>
      </c>
      <c r="CT182" s="37" t="s">
        <v>295</v>
      </c>
      <c r="CU182" s="37" t="s">
        <v>296</v>
      </c>
      <c r="CV182" s="37" t="s">
        <v>323</v>
      </c>
      <c r="CW182" s="37" t="s">
        <v>277</v>
      </c>
      <c r="CX182" s="37" t="s">
        <v>277</v>
      </c>
      <c r="CY182" s="37">
        <v>0</v>
      </c>
      <c r="CZ182" s="123" t="s">
        <v>277</v>
      </c>
      <c r="DA182" s="123" t="s">
        <v>277</v>
      </c>
      <c r="DB182" s="37" t="s">
        <v>509</v>
      </c>
      <c r="DC182" s="37" t="s">
        <v>1574</v>
      </c>
      <c r="DD182" s="68">
        <v>0</v>
      </c>
      <c r="DE182" s="68">
        <v>0</v>
      </c>
      <c r="DF182" s="68">
        <v>0</v>
      </c>
      <c r="DG182" s="68">
        <v>0</v>
      </c>
      <c r="DH182" s="68">
        <v>0</v>
      </c>
      <c r="DI182" s="68">
        <v>0</v>
      </c>
      <c r="DJ182" s="68">
        <v>0</v>
      </c>
      <c r="DK182" s="68">
        <v>0</v>
      </c>
      <c r="DL182" s="68">
        <v>0</v>
      </c>
      <c r="DM182" s="68">
        <v>0</v>
      </c>
      <c r="DN182" s="68">
        <v>0</v>
      </c>
      <c r="DO182" s="68">
        <v>15618104600</v>
      </c>
      <c r="DP182" s="68">
        <f>SUM(DD182:DO182)</f>
        <v>15618104600</v>
      </c>
      <c r="DQ182" s="68">
        <f>DP182-AB182</f>
        <v>0</v>
      </c>
      <c r="DR182" s="68">
        <f>$DD182</f>
        <v>0</v>
      </c>
      <c r="DS182" s="68">
        <f>DR182+DE182</f>
        <v>0</v>
      </c>
      <c r="DT182" s="68">
        <f>DS182+DF182</f>
        <v>0</v>
      </c>
      <c r="DU182" s="68">
        <f>DT182+DG182</f>
        <v>0</v>
      </c>
      <c r="DV182" s="68">
        <f>DU182+DH182</f>
        <v>0</v>
      </c>
      <c r="DW182" s="68">
        <f>DV182+DI182</f>
        <v>0</v>
      </c>
      <c r="DX182" s="68">
        <f>DW182+DJ182</f>
        <v>0</v>
      </c>
      <c r="DY182" s="68">
        <f>DX182+DK182</f>
        <v>0</v>
      </c>
      <c r="DZ182" s="68">
        <f>DY182+DL182</f>
        <v>0</v>
      </c>
      <c r="EA182" s="68">
        <f>DZ182+DM182</f>
        <v>0</v>
      </c>
      <c r="EB182" s="68">
        <f>EA182+DN182</f>
        <v>0</v>
      </c>
      <c r="EC182" s="68">
        <f>EB182+DO182</f>
        <v>15618104600</v>
      </c>
      <c r="ED182" s="68">
        <f>$EC182-$AB182</f>
        <v>0</v>
      </c>
    </row>
    <row r="183" spans="1:134" ht="30">
      <c r="A183" s="74"/>
      <c r="B183" s="50">
        <v>6</v>
      </c>
      <c r="C183" s="50" t="s">
        <v>269</v>
      </c>
      <c r="D183" s="50" t="s">
        <v>297</v>
      </c>
      <c r="E183" s="50"/>
      <c r="F183" s="50" t="s">
        <v>272</v>
      </c>
      <c r="G183" s="50" t="s">
        <v>273</v>
      </c>
      <c r="H183" s="37" t="s">
        <v>151</v>
      </c>
      <c r="I183" s="37" t="s">
        <v>326</v>
      </c>
      <c r="J183" s="37" t="s">
        <v>327</v>
      </c>
      <c r="K183" s="50" t="s">
        <v>3</v>
      </c>
      <c r="L183" s="50" t="s">
        <v>14</v>
      </c>
      <c r="M183" s="50" t="s">
        <v>16</v>
      </c>
      <c r="N183" s="50" t="s">
        <v>276</v>
      </c>
      <c r="O183" s="37" t="s">
        <v>3</v>
      </c>
      <c r="P183" s="37" t="s">
        <v>14</v>
      </c>
      <c r="Q183" s="37" t="s">
        <v>16</v>
      </c>
      <c r="R183" s="37" t="s">
        <v>276</v>
      </c>
      <c r="S183" s="50" t="s">
        <v>277</v>
      </c>
      <c r="T183" s="50" t="s">
        <v>1330</v>
      </c>
      <c r="U183" s="50" t="s">
        <v>1580</v>
      </c>
      <c r="V183" s="56" t="s">
        <v>1581</v>
      </c>
      <c r="W183" s="56" t="s">
        <v>1581</v>
      </c>
      <c r="X183" s="38" t="s">
        <v>1581</v>
      </c>
      <c r="Y183" s="60">
        <v>15618104600</v>
      </c>
      <c r="Z183" s="60">
        <v>15618104600</v>
      </c>
      <c r="AA183" s="60"/>
      <c r="AB183" s="60">
        <f>Z183+AA183</f>
        <v>15618104600</v>
      </c>
      <c r="AC183" s="61"/>
      <c r="AD183" s="61"/>
      <c r="AE183" s="111">
        <v>15618104600</v>
      </c>
      <c r="AF183" s="111">
        <v>0</v>
      </c>
      <c r="AG183" s="108">
        <f>$AR183+$AZ183+$BQ183+$BT183+$BU183+$BV183</f>
        <v>0</v>
      </c>
      <c r="AH183" s="121">
        <f>AF183-AG183</f>
        <v>0</v>
      </c>
      <c r="AI183" s="85" t="s">
        <v>1569</v>
      </c>
      <c r="AJ183" s="199"/>
      <c r="AK183" s="199"/>
      <c r="AL183" s="86"/>
      <c r="AM183" s="68"/>
      <c r="AN183" s="68"/>
      <c r="AO183" s="68"/>
      <c r="AP183" s="68"/>
      <c r="AQ183" s="68">
        <v>0</v>
      </c>
      <c r="AR183" s="68">
        <v>0</v>
      </c>
      <c r="AS183" s="68" t="s">
        <v>307</v>
      </c>
      <c r="AT183" s="68"/>
      <c r="AU183" s="69" t="s">
        <v>277</v>
      </c>
      <c r="AV183" s="69" t="s">
        <v>277</v>
      </c>
      <c r="AW183" s="69" t="s">
        <v>277</v>
      </c>
      <c r="AX183" s="69"/>
      <c r="AY183" s="68">
        <v>0</v>
      </c>
      <c r="AZ183" s="68">
        <v>0</v>
      </c>
      <c r="BA183" s="68" t="s">
        <v>307</v>
      </c>
      <c r="BB183" s="68"/>
      <c r="BC183" s="69" t="s">
        <v>1582</v>
      </c>
      <c r="BD183" s="69" t="s">
        <v>277</v>
      </c>
      <c r="BE183" s="56" t="s">
        <v>277</v>
      </c>
      <c r="BF183" s="56" t="s">
        <v>277</v>
      </c>
      <c r="BG183" s="56" t="s">
        <v>277</v>
      </c>
      <c r="BH183" s="56" t="s">
        <v>277</v>
      </c>
      <c r="BI183" s="69">
        <v>0</v>
      </c>
      <c r="BJ183" s="69">
        <v>0</v>
      </c>
      <c r="BK183" s="69">
        <v>0</v>
      </c>
      <c r="BL183" s="69">
        <v>0</v>
      </c>
      <c r="BM183" s="69">
        <v>0</v>
      </c>
      <c r="BN183" s="69">
        <v>0</v>
      </c>
      <c r="BO183" s="69">
        <v>0</v>
      </c>
      <c r="BP183" s="69">
        <v>0</v>
      </c>
      <c r="BQ183" s="69">
        <f>$BJ183</f>
        <v>0</v>
      </c>
      <c r="BR183" s="69" t="s">
        <v>643</v>
      </c>
      <c r="BS183" s="69" t="s">
        <v>1571</v>
      </c>
      <c r="BT183" s="68">
        <v>0</v>
      </c>
      <c r="BU183" s="68">
        <v>0</v>
      </c>
      <c r="BV183" s="68">
        <v>0</v>
      </c>
      <c r="BW183" s="96">
        <v>0</v>
      </c>
      <c r="BX183" s="96">
        <v>0</v>
      </c>
      <c r="BY183" s="96">
        <v>0</v>
      </c>
      <c r="BZ183" s="96">
        <v>0</v>
      </c>
      <c r="CA183" s="96">
        <v>0</v>
      </c>
      <c r="CB183" s="96">
        <v>0</v>
      </c>
      <c r="CC183" s="96">
        <v>0</v>
      </c>
      <c r="CD183" s="96">
        <v>0</v>
      </c>
      <c r="CE183" s="111">
        <v>15618104600</v>
      </c>
      <c r="CF183" s="108">
        <f>SUM(BT183:CE183)</f>
        <v>15618104600</v>
      </c>
      <c r="CG183" s="108">
        <f>$CF183-$AF183</f>
        <v>15618104600</v>
      </c>
      <c r="CH183" s="37" t="s">
        <v>318</v>
      </c>
      <c r="CI183" s="37" t="s">
        <v>290</v>
      </c>
      <c r="CJ183" s="37" t="s">
        <v>277</v>
      </c>
      <c r="CK183" s="37" t="s">
        <v>290</v>
      </c>
      <c r="CL183" s="37" t="s">
        <v>1579</v>
      </c>
      <c r="CM183" s="37" t="s">
        <v>1573</v>
      </c>
      <c r="CN183" s="37" t="s">
        <v>290</v>
      </c>
      <c r="CO183" s="37" t="s">
        <v>277</v>
      </c>
      <c r="CP183" s="41">
        <v>46023</v>
      </c>
      <c r="CQ183" s="41">
        <v>46357</v>
      </c>
      <c r="CR183" s="37" t="s">
        <v>293</v>
      </c>
      <c r="CS183" s="37" t="s">
        <v>322</v>
      </c>
      <c r="CT183" s="37" t="s">
        <v>295</v>
      </c>
      <c r="CU183" s="37" t="s">
        <v>296</v>
      </c>
      <c r="CV183" s="37" t="s">
        <v>323</v>
      </c>
      <c r="CW183" s="37" t="s">
        <v>277</v>
      </c>
      <c r="CX183" s="37" t="s">
        <v>277</v>
      </c>
      <c r="CY183" s="37">
        <v>0</v>
      </c>
      <c r="CZ183" s="123" t="s">
        <v>277</v>
      </c>
      <c r="DA183" s="123" t="s">
        <v>277</v>
      </c>
      <c r="DB183" s="37" t="s">
        <v>509</v>
      </c>
      <c r="DC183" s="37" t="s">
        <v>1574</v>
      </c>
      <c r="DD183" s="68">
        <v>0</v>
      </c>
      <c r="DE183" s="68">
        <v>0</v>
      </c>
      <c r="DF183" s="68">
        <v>0</v>
      </c>
      <c r="DG183" s="68">
        <v>0</v>
      </c>
      <c r="DH183" s="68">
        <v>0</v>
      </c>
      <c r="DI183" s="68">
        <v>0</v>
      </c>
      <c r="DJ183" s="68">
        <v>0</v>
      </c>
      <c r="DK183" s="68">
        <v>0</v>
      </c>
      <c r="DL183" s="68">
        <v>0</v>
      </c>
      <c r="DM183" s="68">
        <v>0</v>
      </c>
      <c r="DN183" s="68">
        <v>0</v>
      </c>
      <c r="DO183" s="68">
        <v>15618104600</v>
      </c>
      <c r="DP183" s="68">
        <f>SUM(DD183:DO183)</f>
        <v>15618104600</v>
      </c>
      <c r="DQ183" s="68">
        <f>DP183-AB183</f>
        <v>0</v>
      </c>
      <c r="DR183" s="68">
        <f>$DD183</f>
        <v>0</v>
      </c>
      <c r="DS183" s="68">
        <f>DR183+DE183</f>
        <v>0</v>
      </c>
      <c r="DT183" s="68">
        <f>DS183+DF183</f>
        <v>0</v>
      </c>
      <c r="DU183" s="68">
        <f>DT183+DG183</f>
        <v>0</v>
      </c>
      <c r="DV183" s="68">
        <f>DU183+DH183</f>
        <v>0</v>
      </c>
      <c r="DW183" s="68">
        <f>DV183+DI183</f>
        <v>0</v>
      </c>
      <c r="DX183" s="68">
        <f>DW183+DJ183</f>
        <v>0</v>
      </c>
      <c r="DY183" s="68">
        <f>DX183+DK183</f>
        <v>0</v>
      </c>
      <c r="DZ183" s="68">
        <f>DY183+DL183</f>
        <v>0</v>
      </c>
      <c r="EA183" s="68">
        <f>DZ183+DM183</f>
        <v>0</v>
      </c>
      <c r="EB183" s="68">
        <f>EA183+DN183</f>
        <v>0</v>
      </c>
      <c r="EC183" s="68">
        <f>EB183+DO183</f>
        <v>15618104600</v>
      </c>
      <c r="ED183" s="68">
        <f>$EC183-$AB183</f>
        <v>0</v>
      </c>
    </row>
    <row r="184" spans="1:134" ht="30">
      <c r="A184" s="74"/>
      <c r="B184" s="50">
        <v>7</v>
      </c>
      <c r="C184" s="50" t="s">
        <v>269</v>
      </c>
      <c r="D184" s="50" t="s">
        <v>297</v>
      </c>
      <c r="E184" s="50"/>
      <c r="F184" s="50" t="s">
        <v>272</v>
      </c>
      <c r="G184" s="50" t="s">
        <v>273</v>
      </c>
      <c r="H184" s="37" t="s">
        <v>151</v>
      </c>
      <c r="I184" s="37" t="s">
        <v>326</v>
      </c>
      <c r="J184" s="37" t="s">
        <v>327</v>
      </c>
      <c r="K184" s="50" t="s">
        <v>3</v>
      </c>
      <c r="L184" s="50" t="s">
        <v>14</v>
      </c>
      <c r="M184" s="50" t="s">
        <v>16</v>
      </c>
      <c r="N184" s="50" t="s">
        <v>276</v>
      </c>
      <c r="O184" s="37" t="s">
        <v>3</v>
      </c>
      <c r="P184" s="37" t="s">
        <v>14</v>
      </c>
      <c r="Q184" s="37" t="s">
        <v>16</v>
      </c>
      <c r="R184" s="37" t="s">
        <v>276</v>
      </c>
      <c r="S184" s="50" t="s">
        <v>277</v>
      </c>
      <c r="T184" s="50" t="s">
        <v>1425</v>
      </c>
      <c r="U184" s="50" t="s">
        <v>1583</v>
      </c>
      <c r="V184" s="56" t="s">
        <v>1584</v>
      </c>
      <c r="W184" s="56" t="s">
        <v>1584</v>
      </c>
      <c r="X184" s="38" t="s">
        <v>1584</v>
      </c>
      <c r="Y184" s="60">
        <v>15618104600</v>
      </c>
      <c r="Z184" s="60">
        <v>15618104600</v>
      </c>
      <c r="AA184" s="60"/>
      <c r="AB184" s="60">
        <f>Z184+AA184</f>
        <v>15618104600</v>
      </c>
      <c r="AC184" s="61"/>
      <c r="AD184" s="61"/>
      <c r="AE184" s="111">
        <v>15618104600</v>
      </c>
      <c r="AF184" s="111">
        <v>0</v>
      </c>
      <c r="AG184" s="108">
        <f>$AR184+$AZ184+$BQ184+$BT184+$BU184+$BV184</f>
        <v>0</v>
      </c>
      <c r="AH184" s="121">
        <f>AF184-AG184</f>
        <v>0</v>
      </c>
      <c r="AI184" s="85" t="s">
        <v>1569</v>
      </c>
      <c r="AJ184" s="199"/>
      <c r="AK184" s="199"/>
      <c r="AL184" s="86"/>
      <c r="AM184" s="68"/>
      <c r="AN184" s="68"/>
      <c r="AO184" s="68"/>
      <c r="AP184" s="68"/>
      <c r="AQ184" s="68">
        <v>0</v>
      </c>
      <c r="AR184" s="68">
        <v>0</v>
      </c>
      <c r="AS184" s="68" t="s">
        <v>307</v>
      </c>
      <c r="AT184" s="68"/>
      <c r="AU184" s="69" t="s">
        <v>277</v>
      </c>
      <c r="AV184" s="69" t="s">
        <v>277</v>
      </c>
      <c r="AW184" s="69" t="s">
        <v>277</v>
      </c>
      <c r="AX184" s="69"/>
      <c r="AY184" s="68">
        <v>0</v>
      </c>
      <c r="AZ184" s="68">
        <v>0</v>
      </c>
      <c r="BA184" s="68" t="s">
        <v>307</v>
      </c>
      <c r="BB184" s="68"/>
      <c r="BC184" s="69" t="s">
        <v>1585</v>
      </c>
      <c r="BD184" s="69" t="s">
        <v>277</v>
      </c>
      <c r="BE184" s="56" t="s">
        <v>277</v>
      </c>
      <c r="BF184" s="56" t="s">
        <v>277</v>
      </c>
      <c r="BG184" s="56" t="s">
        <v>277</v>
      </c>
      <c r="BH184" s="56" t="s">
        <v>277</v>
      </c>
      <c r="BI184" s="69">
        <v>0</v>
      </c>
      <c r="BJ184" s="69">
        <v>0</v>
      </c>
      <c r="BK184" s="69">
        <v>0</v>
      </c>
      <c r="BL184" s="69">
        <v>0</v>
      </c>
      <c r="BM184" s="69">
        <v>0</v>
      </c>
      <c r="BN184" s="69">
        <v>0</v>
      </c>
      <c r="BO184" s="69">
        <v>0</v>
      </c>
      <c r="BP184" s="69">
        <v>0</v>
      </c>
      <c r="BQ184" s="69">
        <f>$BJ184</f>
        <v>0</v>
      </c>
      <c r="BR184" s="69" t="s">
        <v>643</v>
      </c>
      <c r="BS184" s="69" t="s">
        <v>1571</v>
      </c>
      <c r="BT184" s="68">
        <v>0</v>
      </c>
      <c r="BU184" s="68">
        <v>0</v>
      </c>
      <c r="BV184" s="68">
        <v>0</v>
      </c>
      <c r="BW184" s="96">
        <v>0</v>
      </c>
      <c r="BX184" s="96">
        <v>0</v>
      </c>
      <c r="BY184" s="96">
        <v>0</v>
      </c>
      <c r="BZ184" s="96">
        <v>0</v>
      </c>
      <c r="CA184" s="96">
        <v>0</v>
      </c>
      <c r="CB184" s="96">
        <v>0</v>
      </c>
      <c r="CC184" s="96">
        <v>0</v>
      </c>
      <c r="CD184" s="96">
        <v>0</v>
      </c>
      <c r="CE184" s="111">
        <v>15618104600</v>
      </c>
      <c r="CF184" s="108">
        <f>SUM(BT184:CE184)</f>
        <v>15618104600</v>
      </c>
      <c r="CG184" s="108">
        <f>$CF184-$AF184</f>
        <v>15618104600</v>
      </c>
      <c r="CH184" s="37" t="s">
        <v>318</v>
      </c>
      <c r="CI184" s="37" t="s">
        <v>290</v>
      </c>
      <c r="CJ184" s="37" t="s">
        <v>277</v>
      </c>
      <c r="CK184" s="37" t="s">
        <v>290</v>
      </c>
      <c r="CL184" s="37" t="s">
        <v>1572</v>
      </c>
      <c r="CM184" s="37" t="s">
        <v>1573</v>
      </c>
      <c r="CN184" s="37" t="s">
        <v>290</v>
      </c>
      <c r="CO184" s="37" t="s">
        <v>277</v>
      </c>
      <c r="CP184" s="41">
        <v>46023</v>
      </c>
      <c r="CQ184" s="41">
        <v>46357</v>
      </c>
      <c r="CR184" s="37" t="s">
        <v>293</v>
      </c>
      <c r="CS184" s="37" t="s">
        <v>322</v>
      </c>
      <c r="CT184" s="37" t="s">
        <v>295</v>
      </c>
      <c r="CU184" s="37" t="s">
        <v>296</v>
      </c>
      <c r="CV184" s="37" t="s">
        <v>323</v>
      </c>
      <c r="CW184" s="37" t="s">
        <v>277</v>
      </c>
      <c r="CX184" s="37" t="s">
        <v>277</v>
      </c>
      <c r="CY184" s="37">
        <v>0</v>
      </c>
      <c r="CZ184" s="123" t="s">
        <v>277</v>
      </c>
      <c r="DA184" s="123" t="s">
        <v>277</v>
      </c>
      <c r="DB184" s="37" t="s">
        <v>509</v>
      </c>
      <c r="DC184" s="87" t="s">
        <v>277</v>
      </c>
      <c r="DD184" s="68">
        <v>0</v>
      </c>
      <c r="DE184" s="68">
        <v>0</v>
      </c>
      <c r="DF184" s="68">
        <v>0</v>
      </c>
      <c r="DG184" s="68">
        <v>0</v>
      </c>
      <c r="DH184" s="68">
        <v>0</v>
      </c>
      <c r="DI184" s="68">
        <v>0</v>
      </c>
      <c r="DJ184" s="68">
        <v>0</v>
      </c>
      <c r="DK184" s="68">
        <v>0</v>
      </c>
      <c r="DL184" s="68">
        <v>0</v>
      </c>
      <c r="DM184" s="68">
        <v>0</v>
      </c>
      <c r="DN184" s="68">
        <v>0</v>
      </c>
      <c r="DO184" s="68">
        <v>15618104600</v>
      </c>
      <c r="DP184" s="68">
        <f>SUM(DD184:DO184)</f>
        <v>15618104600</v>
      </c>
      <c r="DQ184" s="68">
        <f>DP184-AB184</f>
        <v>0</v>
      </c>
      <c r="DR184" s="68">
        <f>$DD184</f>
        <v>0</v>
      </c>
      <c r="DS184" s="68">
        <f>DR184+DE184</f>
        <v>0</v>
      </c>
      <c r="DT184" s="68">
        <f>DS184+DF184</f>
        <v>0</v>
      </c>
      <c r="DU184" s="68">
        <f>DT184+DG184</f>
        <v>0</v>
      </c>
      <c r="DV184" s="68">
        <f>DU184+DH184</f>
        <v>0</v>
      </c>
      <c r="DW184" s="68">
        <f>DV184+DI184</f>
        <v>0</v>
      </c>
      <c r="DX184" s="68">
        <f>DW184+DJ184</f>
        <v>0</v>
      </c>
      <c r="DY184" s="68">
        <f>DX184+DK184</f>
        <v>0</v>
      </c>
      <c r="DZ184" s="68">
        <f>DY184+DL184</f>
        <v>0</v>
      </c>
      <c r="EA184" s="68">
        <f>DZ184+DM184</f>
        <v>0</v>
      </c>
      <c r="EB184" s="68">
        <f>EA184+DN184</f>
        <v>0</v>
      </c>
      <c r="EC184" s="68">
        <f>EB184+DO184</f>
        <v>15618104600</v>
      </c>
      <c r="ED184" s="68">
        <f>$EC184-$AB184</f>
        <v>0</v>
      </c>
    </row>
    <row r="185" spans="1:134" ht="45">
      <c r="A185" s="74"/>
      <c r="B185" s="50">
        <v>8</v>
      </c>
      <c r="C185" s="50" t="s">
        <v>269</v>
      </c>
      <c r="D185" s="50" t="s">
        <v>297</v>
      </c>
      <c r="E185" s="50"/>
      <c r="F185" s="50" t="s">
        <v>272</v>
      </c>
      <c r="G185" s="50" t="s">
        <v>273</v>
      </c>
      <c r="H185" s="37" t="s">
        <v>151</v>
      </c>
      <c r="I185" s="87" t="s">
        <v>326</v>
      </c>
      <c r="J185" s="87" t="s">
        <v>447</v>
      </c>
      <c r="K185" s="50" t="s">
        <v>3</v>
      </c>
      <c r="L185" s="50" t="s">
        <v>14</v>
      </c>
      <c r="M185" s="50" t="s">
        <v>16</v>
      </c>
      <c r="N185" s="50" t="s">
        <v>276</v>
      </c>
      <c r="O185" s="37" t="s">
        <v>3</v>
      </c>
      <c r="P185" s="37" t="s">
        <v>14</v>
      </c>
      <c r="Q185" s="37" t="s">
        <v>16</v>
      </c>
      <c r="R185" s="37" t="s">
        <v>276</v>
      </c>
      <c r="S185" s="50" t="s">
        <v>277</v>
      </c>
      <c r="T185" s="50" t="s">
        <v>1586</v>
      </c>
      <c r="U185" s="50" t="s">
        <v>1587</v>
      </c>
      <c r="V185" s="56" t="s">
        <v>1588</v>
      </c>
      <c r="W185" s="56" t="s">
        <v>1588</v>
      </c>
      <c r="X185" s="38" t="s">
        <v>1588</v>
      </c>
      <c r="Y185" s="60">
        <v>68605000000</v>
      </c>
      <c r="Z185" s="60">
        <v>13721000000</v>
      </c>
      <c r="AA185" s="60">
        <v>-13721000000</v>
      </c>
      <c r="AB185" s="60">
        <f>Z185+AA185</f>
        <v>0</v>
      </c>
      <c r="AC185" s="61" t="s">
        <v>414</v>
      </c>
      <c r="AD185" s="61" t="s">
        <v>1589</v>
      </c>
      <c r="AE185" s="107">
        <v>68605000000</v>
      </c>
      <c r="AF185" s="112">
        <v>0</v>
      </c>
      <c r="AG185" s="110">
        <f>$AR185+$AZ185+$BQ185+$BT185+$BU185+$BV185</f>
        <v>0</v>
      </c>
      <c r="AH185" s="121">
        <f>AF185-AG185</f>
        <v>0</v>
      </c>
      <c r="AI185" s="144" t="s">
        <v>1590</v>
      </c>
      <c r="AJ185" s="201"/>
      <c r="AK185" s="201"/>
      <c r="AL185" s="90"/>
      <c r="AM185" s="68"/>
      <c r="AN185" s="68"/>
      <c r="AO185" s="68"/>
      <c r="AP185" s="68"/>
      <c r="AQ185" s="68">
        <v>0</v>
      </c>
      <c r="AR185" s="68">
        <v>0</v>
      </c>
      <c r="AS185" s="68" t="s">
        <v>307</v>
      </c>
      <c r="AT185" s="68"/>
      <c r="AU185" s="69" t="s">
        <v>277</v>
      </c>
      <c r="AV185" s="69" t="s">
        <v>277</v>
      </c>
      <c r="AW185" s="69" t="s">
        <v>277</v>
      </c>
      <c r="AX185" s="69"/>
      <c r="AY185" s="68">
        <v>0</v>
      </c>
      <c r="AZ185" s="68">
        <v>0</v>
      </c>
      <c r="BA185" s="68" t="s">
        <v>307</v>
      </c>
      <c r="BB185" s="68"/>
      <c r="BC185" s="69" t="s">
        <v>1591</v>
      </c>
      <c r="BD185" s="69" t="s">
        <v>277</v>
      </c>
      <c r="BE185" s="56" t="s">
        <v>277</v>
      </c>
      <c r="BF185" s="56" t="s">
        <v>277</v>
      </c>
      <c r="BG185" s="56" t="s">
        <v>277</v>
      </c>
      <c r="BH185" s="56" t="s">
        <v>277</v>
      </c>
      <c r="BI185" s="69">
        <v>0</v>
      </c>
      <c r="BJ185" s="69">
        <v>0</v>
      </c>
      <c r="BK185" s="69">
        <v>0</v>
      </c>
      <c r="BL185" s="69">
        <v>0</v>
      </c>
      <c r="BM185" s="69">
        <v>0</v>
      </c>
      <c r="BN185" s="69">
        <v>0</v>
      </c>
      <c r="BO185" s="69">
        <v>0</v>
      </c>
      <c r="BP185" s="69">
        <v>0</v>
      </c>
      <c r="BQ185" s="69">
        <f>$BJ185</f>
        <v>0</v>
      </c>
      <c r="BR185" s="69" t="s">
        <v>156</v>
      </c>
      <c r="BS185" s="69" t="s">
        <v>1592</v>
      </c>
      <c r="BT185" s="68">
        <v>0</v>
      </c>
      <c r="BU185" s="68">
        <v>0</v>
      </c>
      <c r="BV185" s="68">
        <v>0</v>
      </c>
      <c r="BW185" s="96">
        <v>0</v>
      </c>
      <c r="BX185" s="96">
        <v>0</v>
      </c>
      <c r="BY185" s="96">
        <v>0</v>
      </c>
      <c r="BZ185" s="96">
        <v>0</v>
      </c>
      <c r="CA185" s="96">
        <v>0</v>
      </c>
      <c r="CB185" s="96">
        <v>0</v>
      </c>
      <c r="CC185" s="96">
        <v>0</v>
      </c>
      <c r="CD185" s="96">
        <v>0</v>
      </c>
      <c r="CE185" s="96">
        <v>0</v>
      </c>
      <c r="CF185" s="108">
        <f>SUM(BT185:CE185)</f>
        <v>0</v>
      </c>
      <c r="CG185" s="108">
        <f>$CF185-$AF185</f>
        <v>0</v>
      </c>
      <c r="CH185" s="37" t="s">
        <v>289</v>
      </c>
      <c r="CI185" s="37" t="s">
        <v>290</v>
      </c>
      <c r="CJ185" s="37" t="s">
        <v>277</v>
      </c>
      <c r="CK185" s="37" t="s">
        <v>290</v>
      </c>
      <c r="CL185" s="37" t="s">
        <v>277</v>
      </c>
      <c r="CM185" s="37" t="s">
        <v>277</v>
      </c>
      <c r="CN185" s="37" t="s">
        <v>290</v>
      </c>
      <c r="CO185" s="37" t="s">
        <v>340</v>
      </c>
      <c r="CP185" s="41">
        <v>45901</v>
      </c>
      <c r="CQ185" s="41">
        <v>46174</v>
      </c>
      <c r="CR185" s="37" t="s">
        <v>293</v>
      </c>
      <c r="CS185" s="37" t="s">
        <v>322</v>
      </c>
      <c r="CT185" s="37" t="s">
        <v>295</v>
      </c>
      <c r="CU185" s="37" t="s">
        <v>296</v>
      </c>
      <c r="CV185" s="37" t="s">
        <v>323</v>
      </c>
      <c r="CW185" s="37" t="s">
        <v>277</v>
      </c>
      <c r="CX185" s="37" t="s">
        <v>277</v>
      </c>
      <c r="CY185" s="37">
        <v>0</v>
      </c>
      <c r="CZ185" s="123" t="s">
        <v>277</v>
      </c>
      <c r="DA185" s="123" t="s">
        <v>277</v>
      </c>
      <c r="DB185" s="37" t="s">
        <v>277</v>
      </c>
      <c r="DC185" s="37" t="s">
        <v>455</v>
      </c>
      <c r="DD185" s="68">
        <v>0</v>
      </c>
      <c r="DE185" s="68">
        <v>0</v>
      </c>
      <c r="DF185" s="68">
        <v>0</v>
      </c>
      <c r="DG185" s="68">
        <v>0</v>
      </c>
      <c r="DH185" s="68">
        <v>0</v>
      </c>
      <c r="DI185" s="68">
        <v>0</v>
      </c>
      <c r="DJ185" s="68">
        <v>0</v>
      </c>
      <c r="DK185" s="68">
        <v>0</v>
      </c>
      <c r="DL185" s="68">
        <v>0</v>
      </c>
      <c r="DM185" s="68">
        <f>13721000000-13721000000</f>
        <v>0</v>
      </c>
      <c r="DN185" s="68">
        <v>0</v>
      </c>
      <c r="DO185" s="68">
        <v>0</v>
      </c>
      <c r="DP185" s="68">
        <f>SUM(DD185:DO185)</f>
        <v>0</v>
      </c>
      <c r="DQ185" s="68">
        <f>DP185-AB185</f>
        <v>0</v>
      </c>
      <c r="DR185" s="68">
        <f>$DD185</f>
        <v>0</v>
      </c>
      <c r="DS185" s="68">
        <f>DR185+DE185</f>
        <v>0</v>
      </c>
      <c r="DT185" s="68">
        <f>DS185+DF185</f>
        <v>0</v>
      </c>
      <c r="DU185" s="68">
        <f>DT185+DG185</f>
        <v>0</v>
      </c>
      <c r="DV185" s="68">
        <f>DU185+DH185</f>
        <v>0</v>
      </c>
      <c r="DW185" s="68">
        <f>DV185+DI185</f>
        <v>0</v>
      </c>
      <c r="DX185" s="68">
        <f>DW185+DJ185</f>
        <v>0</v>
      </c>
      <c r="DY185" s="68">
        <f>DX185+DK185</f>
        <v>0</v>
      </c>
      <c r="DZ185" s="68">
        <f>DY185+DL185</f>
        <v>0</v>
      </c>
      <c r="EA185" s="68">
        <f>DZ185+DM185</f>
        <v>0</v>
      </c>
      <c r="EB185" s="68">
        <f>EA185+DN185</f>
        <v>0</v>
      </c>
      <c r="EC185" s="68">
        <f>EB185+DO185</f>
        <v>0</v>
      </c>
      <c r="ED185" s="68">
        <f>$EC185-$AB185</f>
        <v>0</v>
      </c>
    </row>
    <row r="186" spans="1:134" ht="30">
      <c r="A186" s="74"/>
      <c r="B186" s="50">
        <v>11</v>
      </c>
      <c r="C186" s="50" t="s">
        <v>269</v>
      </c>
      <c r="D186" s="50" t="s">
        <v>297</v>
      </c>
      <c r="E186" s="50"/>
      <c r="F186" s="50" t="s">
        <v>272</v>
      </c>
      <c r="G186" s="50" t="s">
        <v>273</v>
      </c>
      <c r="H186" s="37" t="s">
        <v>151</v>
      </c>
      <c r="I186" s="37" t="s">
        <v>326</v>
      </c>
      <c r="J186" s="37" t="s">
        <v>447</v>
      </c>
      <c r="K186" s="50" t="s">
        <v>3</v>
      </c>
      <c r="L186" s="50" t="s">
        <v>14</v>
      </c>
      <c r="M186" s="50" t="s">
        <v>16</v>
      </c>
      <c r="N186" s="50" t="s">
        <v>276</v>
      </c>
      <c r="O186" s="37" t="s">
        <v>3</v>
      </c>
      <c r="P186" s="37" t="s">
        <v>14</v>
      </c>
      <c r="Q186" s="37" t="s">
        <v>16</v>
      </c>
      <c r="R186" s="37" t="s">
        <v>276</v>
      </c>
      <c r="S186" s="50" t="s">
        <v>277</v>
      </c>
      <c r="T186" s="50" t="s">
        <v>1068</v>
      </c>
      <c r="U186" s="50" t="s">
        <v>1593</v>
      </c>
      <c r="V186" s="56" t="s">
        <v>1594</v>
      </c>
      <c r="W186" s="56" t="s">
        <v>1594</v>
      </c>
      <c r="X186" s="38" t="s">
        <v>1594</v>
      </c>
      <c r="Y186" s="60">
        <v>64463186045</v>
      </c>
      <c r="Z186" s="60">
        <v>10314109768</v>
      </c>
      <c r="AA186" s="60">
        <f>-5602752788-809173496</f>
        <v>-6411926284</v>
      </c>
      <c r="AB186" s="60">
        <f>Z186+AA186</f>
        <v>3902183484</v>
      </c>
      <c r="AC186" s="61" t="s">
        <v>1595</v>
      </c>
      <c r="AD186" s="61" t="s">
        <v>1596</v>
      </c>
      <c r="AE186" s="107">
        <v>64463186045</v>
      </c>
      <c r="AF186" s="112">
        <v>0</v>
      </c>
      <c r="AG186" s="110">
        <f>$AR186+$AZ186+$BQ186+$BT186+$BU186+$BV186</f>
        <v>0</v>
      </c>
      <c r="AH186" s="121">
        <f>AF186-AG186</f>
        <v>0</v>
      </c>
      <c r="AI186" s="144" t="s">
        <v>1597</v>
      </c>
      <c r="AJ186" s="201"/>
      <c r="AK186" s="201"/>
      <c r="AL186" s="90"/>
      <c r="AM186" s="68"/>
      <c r="AN186" s="68"/>
      <c r="AO186" s="68"/>
      <c r="AP186" s="68"/>
      <c r="AQ186" s="68">
        <v>0</v>
      </c>
      <c r="AR186" s="68">
        <v>0</v>
      </c>
      <c r="AS186" s="68" t="s">
        <v>307</v>
      </c>
      <c r="AT186" s="68"/>
      <c r="AU186" s="69" t="s">
        <v>277</v>
      </c>
      <c r="AV186" s="69" t="s">
        <v>277</v>
      </c>
      <c r="AW186" s="69" t="s">
        <v>277</v>
      </c>
      <c r="AX186" s="69"/>
      <c r="AY186" s="68">
        <v>0</v>
      </c>
      <c r="AZ186" s="68">
        <v>0</v>
      </c>
      <c r="BA186" s="68" t="s">
        <v>307</v>
      </c>
      <c r="BB186" s="68"/>
      <c r="BC186" s="69" t="s">
        <v>1598</v>
      </c>
      <c r="BD186" s="69" t="s">
        <v>277</v>
      </c>
      <c r="BE186" s="56" t="s">
        <v>277</v>
      </c>
      <c r="BF186" s="56" t="s">
        <v>277</v>
      </c>
      <c r="BG186" s="56" t="s">
        <v>277</v>
      </c>
      <c r="BH186" s="56" t="s">
        <v>277</v>
      </c>
      <c r="BI186" s="69">
        <v>0</v>
      </c>
      <c r="BJ186" s="69">
        <v>0</v>
      </c>
      <c r="BK186" s="69">
        <v>0</v>
      </c>
      <c r="BL186" s="69">
        <v>0</v>
      </c>
      <c r="BM186" s="69">
        <v>0</v>
      </c>
      <c r="BN186" s="69">
        <v>0</v>
      </c>
      <c r="BO186" s="69">
        <v>0</v>
      </c>
      <c r="BP186" s="69">
        <v>0</v>
      </c>
      <c r="BQ186" s="69">
        <f>$BJ186</f>
        <v>0</v>
      </c>
      <c r="BR186" s="69" t="s">
        <v>1599</v>
      </c>
      <c r="BS186" s="69" t="s">
        <v>1600</v>
      </c>
      <c r="BT186" s="68">
        <v>0</v>
      </c>
      <c r="BU186" s="68">
        <v>0</v>
      </c>
      <c r="BV186" s="68">
        <v>0</v>
      </c>
      <c r="BW186" s="96">
        <v>0</v>
      </c>
      <c r="BX186" s="96">
        <v>0</v>
      </c>
      <c r="BY186" s="96">
        <v>0</v>
      </c>
      <c r="BZ186" s="96">
        <v>0</v>
      </c>
      <c r="CA186" s="96">
        <v>0</v>
      </c>
      <c r="CB186" s="96">
        <v>0</v>
      </c>
      <c r="CC186" s="96">
        <v>0</v>
      </c>
      <c r="CD186" s="96">
        <v>0</v>
      </c>
      <c r="CE186" s="96">
        <v>0</v>
      </c>
      <c r="CF186" s="108">
        <f>SUM(BT186:CE186)</f>
        <v>0</v>
      </c>
      <c r="CG186" s="108">
        <f>$CF186-$AF186</f>
        <v>0</v>
      </c>
      <c r="CH186" s="37" t="s">
        <v>289</v>
      </c>
      <c r="CI186" s="37" t="s">
        <v>290</v>
      </c>
      <c r="CJ186" s="37" t="s">
        <v>277</v>
      </c>
      <c r="CK186" s="37" t="s">
        <v>290</v>
      </c>
      <c r="CL186" s="37" t="s">
        <v>277</v>
      </c>
      <c r="CM186" s="37" t="s">
        <v>277</v>
      </c>
      <c r="CN186" s="37" t="s">
        <v>290</v>
      </c>
      <c r="CO186" s="37" t="s">
        <v>340</v>
      </c>
      <c r="CP186" s="41">
        <v>45901</v>
      </c>
      <c r="CQ186" s="41">
        <v>46113</v>
      </c>
      <c r="CR186" s="37" t="s">
        <v>293</v>
      </c>
      <c r="CS186" s="37" t="s">
        <v>322</v>
      </c>
      <c r="CT186" s="37" t="s">
        <v>295</v>
      </c>
      <c r="CU186" s="37" t="s">
        <v>296</v>
      </c>
      <c r="CV186" s="37" t="s">
        <v>323</v>
      </c>
      <c r="CW186" s="37" t="s">
        <v>277</v>
      </c>
      <c r="CX186" s="37" t="s">
        <v>277</v>
      </c>
      <c r="CY186" s="37">
        <v>0</v>
      </c>
      <c r="CZ186" s="123" t="s">
        <v>277</v>
      </c>
      <c r="DA186" s="123" t="s">
        <v>277</v>
      </c>
      <c r="DB186" s="37" t="s">
        <v>277</v>
      </c>
      <c r="DC186" s="37" t="s">
        <v>455</v>
      </c>
      <c r="DD186" s="68">
        <v>0</v>
      </c>
      <c r="DE186" s="68">
        <v>0</v>
      </c>
      <c r="DF186" s="68">
        <v>0</v>
      </c>
      <c r="DG186" s="68">
        <v>0</v>
      </c>
      <c r="DH186" s="68">
        <v>0</v>
      </c>
      <c r="DI186" s="68">
        <v>0</v>
      </c>
      <c r="DJ186" s="68">
        <v>0</v>
      </c>
      <c r="DK186" s="68">
        <v>0</v>
      </c>
      <c r="DL186" s="68">
        <v>0</v>
      </c>
      <c r="DM186" s="68">
        <f>5602752788-5602752788</f>
        <v>0</v>
      </c>
      <c r="DN186" s="68">
        <f>4711356980-809173496</f>
        <v>3902183484</v>
      </c>
      <c r="DO186" s="68">
        <v>0</v>
      </c>
      <c r="DP186" s="68">
        <f>SUM(DD186:DO186)</f>
        <v>3902183484</v>
      </c>
      <c r="DQ186" s="68">
        <f>DP186-AB186</f>
        <v>0</v>
      </c>
      <c r="DR186" s="68">
        <f>$DD186</f>
        <v>0</v>
      </c>
      <c r="DS186" s="68">
        <f>DR186+DE186</f>
        <v>0</v>
      </c>
      <c r="DT186" s="68">
        <f>DS186+DF186</f>
        <v>0</v>
      </c>
      <c r="DU186" s="68">
        <f>DT186+DG186</f>
        <v>0</v>
      </c>
      <c r="DV186" s="68">
        <f>DU186+DH186</f>
        <v>0</v>
      </c>
      <c r="DW186" s="68">
        <f>DV186+DI186</f>
        <v>0</v>
      </c>
      <c r="DX186" s="68">
        <f>DW186+DJ186</f>
        <v>0</v>
      </c>
      <c r="DY186" s="68">
        <f>DX186+DK186</f>
        <v>0</v>
      </c>
      <c r="DZ186" s="68">
        <f>DY186+DL186</f>
        <v>0</v>
      </c>
      <c r="EA186" s="68">
        <f>DZ186+DM186</f>
        <v>0</v>
      </c>
      <c r="EB186" s="68">
        <f>EA186+DN186</f>
        <v>3902183484</v>
      </c>
      <c r="EC186" s="68">
        <f>EB186+DO186</f>
        <v>3902183484</v>
      </c>
      <c r="ED186" s="68">
        <f>$EC186-$AB186</f>
        <v>0</v>
      </c>
    </row>
    <row r="187" spans="1:134" ht="45">
      <c r="A187" s="74"/>
      <c r="B187" s="50">
        <v>28</v>
      </c>
      <c r="C187" s="50" t="s">
        <v>269</v>
      </c>
      <c r="D187" s="50" t="s">
        <v>297</v>
      </c>
      <c r="E187" s="50"/>
      <c r="F187" s="50" t="s">
        <v>272</v>
      </c>
      <c r="G187" s="50" t="s">
        <v>273</v>
      </c>
      <c r="H187" s="37" t="s">
        <v>151</v>
      </c>
      <c r="I187" s="37" t="s">
        <v>424</v>
      </c>
      <c r="J187" s="37" t="s">
        <v>788</v>
      </c>
      <c r="K187" s="50" t="s">
        <v>3</v>
      </c>
      <c r="L187" s="50" t="s">
        <v>14</v>
      </c>
      <c r="M187" s="50" t="s">
        <v>16</v>
      </c>
      <c r="N187" s="50" t="s">
        <v>276</v>
      </c>
      <c r="O187" s="37" t="s">
        <v>3</v>
      </c>
      <c r="P187" s="37" t="s">
        <v>14</v>
      </c>
      <c r="Q187" s="37" t="s">
        <v>16</v>
      </c>
      <c r="R187" s="37" t="s">
        <v>276</v>
      </c>
      <c r="S187" s="50" t="s">
        <v>277</v>
      </c>
      <c r="T187" s="50" t="s">
        <v>1601</v>
      </c>
      <c r="U187" s="50" t="s">
        <v>1602</v>
      </c>
      <c r="V187" s="56" t="s">
        <v>1603</v>
      </c>
      <c r="W187" s="56" t="s">
        <v>1603</v>
      </c>
      <c r="X187" s="38" t="s">
        <v>1603</v>
      </c>
      <c r="Y187" s="60">
        <v>4000000000</v>
      </c>
      <c r="Z187" s="60">
        <v>2000000000</v>
      </c>
      <c r="AA187" s="60">
        <v>-2000000000</v>
      </c>
      <c r="AB187" s="60">
        <f>Z187+AA187</f>
        <v>0</v>
      </c>
      <c r="AC187" s="61" t="s">
        <v>414</v>
      </c>
      <c r="AD187" s="61" t="s">
        <v>1604</v>
      </c>
      <c r="AE187" s="112">
        <v>4800000000</v>
      </c>
      <c r="AF187" s="112">
        <v>0</v>
      </c>
      <c r="AG187" s="110">
        <f>$AR187+$AZ187+$BQ187+$BT187+$BU187+$BV187</f>
        <v>0</v>
      </c>
      <c r="AH187" s="121">
        <f>AF187-AG187</f>
        <v>0</v>
      </c>
      <c r="AI187" s="39" t="s">
        <v>1605</v>
      </c>
      <c r="AJ187" s="198"/>
      <c r="AK187" s="198"/>
      <c r="AL187" s="42"/>
      <c r="AM187" s="68"/>
      <c r="AN187" s="68"/>
      <c r="AO187" s="68"/>
      <c r="AP187" s="68"/>
      <c r="AQ187" s="68">
        <v>0</v>
      </c>
      <c r="AR187" s="68">
        <v>0</v>
      </c>
      <c r="AS187" s="68" t="s">
        <v>307</v>
      </c>
      <c r="AT187" s="68"/>
      <c r="AU187" s="69" t="s">
        <v>277</v>
      </c>
      <c r="AV187" s="69" t="s">
        <v>277</v>
      </c>
      <c r="AW187" s="69" t="s">
        <v>277</v>
      </c>
      <c r="AX187" s="69"/>
      <c r="AY187" s="68">
        <v>0</v>
      </c>
      <c r="AZ187" s="68">
        <v>0</v>
      </c>
      <c r="BA187" s="68" t="s">
        <v>307</v>
      </c>
      <c r="BB187" s="68"/>
      <c r="BC187" s="69" t="s">
        <v>1606</v>
      </c>
      <c r="BD187" s="69" t="s">
        <v>277</v>
      </c>
      <c r="BE187" s="56" t="s">
        <v>277</v>
      </c>
      <c r="BF187" s="56" t="s">
        <v>277</v>
      </c>
      <c r="BG187" s="56" t="s">
        <v>277</v>
      </c>
      <c r="BH187" s="56" t="s">
        <v>277</v>
      </c>
      <c r="BI187" s="69">
        <v>0</v>
      </c>
      <c r="BJ187" s="69">
        <v>0</v>
      </c>
      <c r="BK187" s="69">
        <v>0</v>
      </c>
      <c r="BL187" s="69">
        <v>0</v>
      </c>
      <c r="BM187" s="69">
        <v>0</v>
      </c>
      <c r="BN187" s="69">
        <v>0</v>
      </c>
      <c r="BO187" s="69">
        <v>0</v>
      </c>
      <c r="BP187" s="69">
        <v>0</v>
      </c>
      <c r="BQ187" s="69"/>
      <c r="BR187" s="69" t="s">
        <v>643</v>
      </c>
      <c r="BS187" s="69" t="s">
        <v>1607</v>
      </c>
      <c r="BT187" s="68">
        <v>0</v>
      </c>
      <c r="BU187" s="68">
        <v>0</v>
      </c>
      <c r="BV187" s="68">
        <v>0</v>
      </c>
      <c r="BW187" s="94">
        <v>0</v>
      </c>
      <c r="BX187" s="94">
        <v>0</v>
      </c>
      <c r="BY187" s="94">
        <v>0</v>
      </c>
      <c r="BZ187" s="94">
        <v>0</v>
      </c>
      <c r="CA187" s="94">
        <v>0</v>
      </c>
      <c r="CB187" s="109">
        <v>0</v>
      </c>
      <c r="CC187" s="109">
        <v>0</v>
      </c>
      <c r="CD187" s="109">
        <v>0</v>
      </c>
      <c r="CE187" s="109">
        <v>0</v>
      </c>
      <c r="CF187" s="108">
        <f>SUM(BT187:CE187)</f>
        <v>0</v>
      </c>
      <c r="CG187" s="108">
        <f>$CF187-$AF187</f>
        <v>0</v>
      </c>
      <c r="CH187" s="37" t="s">
        <v>289</v>
      </c>
      <c r="CI187" s="37" t="s">
        <v>290</v>
      </c>
      <c r="CJ187" s="37" t="s">
        <v>277</v>
      </c>
      <c r="CK187" s="37" t="s">
        <v>290</v>
      </c>
      <c r="CL187" s="37" t="s">
        <v>277</v>
      </c>
      <c r="CM187" s="37" t="s">
        <v>277</v>
      </c>
      <c r="CN187" s="37" t="s">
        <v>290</v>
      </c>
      <c r="CO187" s="37" t="s">
        <v>739</v>
      </c>
      <c r="CP187" s="41">
        <v>46023</v>
      </c>
      <c r="CQ187" s="41">
        <v>46357</v>
      </c>
      <c r="CR187" s="37" t="s">
        <v>293</v>
      </c>
      <c r="CS187" s="37" t="s">
        <v>454</v>
      </c>
      <c r="CT187" s="37" t="s">
        <v>295</v>
      </c>
      <c r="CU187" s="37" t="s">
        <v>296</v>
      </c>
      <c r="CV187" s="37" t="s">
        <v>323</v>
      </c>
      <c r="CW187" s="37" t="s">
        <v>277</v>
      </c>
      <c r="CX187" s="37" t="s">
        <v>277</v>
      </c>
      <c r="CY187" s="37">
        <v>0</v>
      </c>
      <c r="CZ187" s="123" t="s">
        <v>277</v>
      </c>
      <c r="DA187" s="123" t="s">
        <v>277</v>
      </c>
      <c r="DB187" s="37" t="s">
        <v>277</v>
      </c>
      <c r="DC187" s="37" t="s">
        <v>455</v>
      </c>
      <c r="DD187" s="68">
        <v>0</v>
      </c>
      <c r="DE187" s="68">
        <v>0</v>
      </c>
      <c r="DF187" s="68">
        <v>0</v>
      </c>
      <c r="DG187" s="68">
        <v>0</v>
      </c>
      <c r="DH187" s="68">
        <v>0</v>
      </c>
      <c r="DI187" s="68">
        <v>0</v>
      </c>
      <c r="DJ187" s="68">
        <v>0</v>
      </c>
      <c r="DK187" s="68">
        <v>0</v>
      </c>
      <c r="DL187" s="68">
        <v>0</v>
      </c>
      <c r="DM187" s="68">
        <v>0</v>
      </c>
      <c r="DN187" s="68">
        <v>0</v>
      </c>
      <c r="DO187" s="68">
        <f>2000000000-2000000000</f>
        <v>0</v>
      </c>
      <c r="DP187" s="68">
        <f>SUM(DD187:DO187)</f>
        <v>0</v>
      </c>
      <c r="DQ187" s="68">
        <f>DP187-AB187</f>
        <v>0</v>
      </c>
      <c r="DR187" s="68">
        <f>$DD187</f>
        <v>0</v>
      </c>
      <c r="DS187" s="68">
        <f>DR187+DE187</f>
        <v>0</v>
      </c>
      <c r="DT187" s="68">
        <f>DS187+DF187</f>
        <v>0</v>
      </c>
      <c r="DU187" s="68">
        <f>DT187+DG187</f>
        <v>0</v>
      </c>
      <c r="DV187" s="68">
        <f>DU187+DH187</f>
        <v>0</v>
      </c>
      <c r="DW187" s="68">
        <f>DV187+DI187</f>
        <v>0</v>
      </c>
      <c r="DX187" s="68">
        <f>DW187+DJ187</f>
        <v>0</v>
      </c>
      <c r="DY187" s="68">
        <f>DX187+DK187</f>
        <v>0</v>
      </c>
      <c r="DZ187" s="68">
        <f>DY187+DL187</f>
        <v>0</v>
      </c>
      <c r="EA187" s="68">
        <f>DZ187+DM187</f>
        <v>0</v>
      </c>
      <c r="EB187" s="68">
        <f>EA187+DN187</f>
        <v>0</v>
      </c>
      <c r="EC187" s="68">
        <f>EB187+DO187</f>
        <v>0</v>
      </c>
      <c r="ED187" s="68">
        <f>$EC187-$AB187</f>
        <v>0</v>
      </c>
    </row>
    <row r="188" spans="1:134" ht="45">
      <c r="A188" s="74"/>
      <c r="B188" s="50">
        <v>35</v>
      </c>
      <c r="C188" s="50" t="s">
        <v>269</v>
      </c>
      <c r="D188" s="50" t="s">
        <v>297</v>
      </c>
      <c r="E188" s="50"/>
      <c r="F188" s="50" t="s">
        <v>272</v>
      </c>
      <c r="G188" s="50" t="s">
        <v>273</v>
      </c>
      <c r="H188" s="37" t="s">
        <v>151</v>
      </c>
      <c r="I188" s="37" t="s">
        <v>424</v>
      </c>
      <c r="J188" s="37" t="s">
        <v>694</v>
      </c>
      <c r="K188" s="50" t="s">
        <v>3</v>
      </c>
      <c r="L188" s="50" t="s">
        <v>14</v>
      </c>
      <c r="M188" s="50" t="s">
        <v>16</v>
      </c>
      <c r="N188" s="50" t="s">
        <v>276</v>
      </c>
      <c r="O188" s="37" t="s">
        <v>3</v>
      </c>
      <c r="P188" s="37" t="s">
        <v>14</v>
      </c>
      <c r="Q188" s="37" t="s">
        <v>16</v>
      </c>
      <c r="R188" s="37" t="s">
        <v>276</v>
      </c>
      <c r="S188" s="50" t="s">
        <v>1608</v>
      </c>
      <c r="T188" s="50" t="s">
        <v>1609</v>
      </c>
      <c r="U188" s="50" t="s">
        <v>1610</v>
      </c>
      <c r="V188" s="56" t="s">
        <v>1611</v>
      </c>
      <c r="W188" s="56" t="s">
        <v>1611</v>
      </c>
      <c r="X188" s="38" t="s">
        <v>1611</v>
      </c>
      <c r="Y188" s="60">
        <v>4325706000</v>
      </c>
      <c r="Z188" s="60">
        <v>0</v>
      </c>
      <c r="AA188" s="60"/>
      <c r="AB188" s="60">
        <f>Z188+AA188</f>
        <v>0</v>
      </c>
      <c r="AC188" s="61"/>
      <c r="AD188" s="61"/>
      <c r="AE188" s="107">
        <v>4325706000</v>
      </c>
      <c r="AF188" s="96">
        <v>0</v>
      </c>
      <c r="AG188" s="108">
        <f>$AR188+$AZ188+$BQ188+$BT188+$BU188+$BV188</f>
        <v>0</v>
      </c>
      <c r="AH188" s="121">
        <f>AF188-AG188</f>
        <v>0</v>
      </c>
      <c r="AI188" s="39" t="s">
        <v>1612</v>
      </c>
      <c r="AJ188" s="198"/>
      <c r="AK188" s="198"/>
      <c r="AL188" s="42"/>
      <c r="AM188" s="68"/>
      <c r="AN188" s="68"/>
      <c r="AO188" s="68"/>
      <c r="AP188" s="68"/>
      <c r="AQ188" s="68">
        <v>0</v>
      </c>
      <c r="AR188" s="68">
        <v>0</v>
      </c>
      <c r="AS188" s="68" t="s">
        <v>307</v>
      </c>
      <c r="AT188" s="68"/>
      <c r="AU188" s="69" t="s">
        <v>277</v>
      </c>
      <c r="AV188" s="69" t="s">
        <v>277</v>
      </c>
      <c r="AW188" s="69" t="s">
        <v>277</v>
      </c>
      <c r="AX188" s="69"/>
      <c r="AY188" s="68">
        <v>0</v>
      </c>
      <c r="AZ188" s="68">
        <v>0</v>
      </c>
      <c r="BA188" s="68" t="s">
        <v>307</v>
      </c>
      <c r="BB188" s="68"/>
      <c r="BC188" s="69" t="s">
        <v>797</v>
      </c>
      <c r="BD188" s="69" t="s">
        <v>277</v>
      </c>
      <c r="BE188" s="56" t="s">
        <v>277</v>
      </c>
      <c r="BF188" s="56" t="s">
        <v>277</v>
      </c>
      <c r="BG188" s="56" t="s">
        <v>277</v>
      </c>
      <c r="BH188" s="56" t="s">
        <v>277</v>
      </c>
      <c r="BI188" s="69">
        <v>0</v>
      </c>
      <c r="BJ188" s="69">
        <v>0</v>
      </c>
      <c r="BK188" s="69">
        <v>0</v>
      </c>
      <c r="BL188" s="69">
        <v>0</v>
      </c>
      <c r="BM188" s="69">
        <v>0</v>
      </c>
      <c r="BN188" s="69">
        <v>0</v>
      </c>
      <c r="BO188" s="69">
        <v>0</v>
      </c>
      <c r="BP188" s="69">
        <v>0</v>
      </c>
      <c r="BQ188" s="69"/>
      <c r="BR188" s="69" t="s">
        <v>382</v>
      </c>
      <c r="BS188" s="69" t="s">
        <v>1613</v>
      </c>
      <c r="BT188" s="68">
        <v>0</v>
      </c>
      <c r="BU188" s="68">
        <v>0</v>
      </c>
      <c r="BV188" s="68">
        <v>0</v>
      </c>
      <c r="BW188" s="94">
        <v>0</v>
      </c>
      <c r="BX188" s="94">
        <v>0</v>
      </c>
      <c r="BY188" s="94">
        <v>0</v>
      </c>
      <c r="BZ188" s="94">
        <v>0</v>
      </c>
      <c r="CA188" s="94">
        <v>0</v>
      </c>
      <c r="CB188" s="94">
        <v>0</v>
      </c>
      <c r="CC188" s="94">
        <v>0</v>
      </c>
      <c r="CD188" s="94">
        <v>0</v>
      </c>
      <c r="CE188" s="94">
        <v>0</v>
      </c>
      <c r="CF188" s="108">
        <f>SUM(BT188:CE188)</f>
        <v>0</v>
      </c>
      <c r="CG188" s="108">
        <f>$CF188-$AF188</f>
        <v>0</v>
      </c>
      <c r="CH188" s="37" t="s">
        <v>289</v>
      </c>
      <c r="CI188" s="37" t="s">
        <v>290</v>
      </c>
      <c r="CJ188" s="37" t="s">
        <v>277</v>
      </c>
      <c r="CK188" s="37" t="s">
        <v>290</v>
      </c>
      <c r="CL188" s="37" t="s">
        <v>277</v>
      </c>
      <c r="CM188" s="37" t="s">
        <v>277</v>
      </c>
      <c r="CN188" s="37" t="s">
        <v>290</v>
      </c>
      <c r="CO188" s="37" t="s">
        <v>433</v>
      </c>
      <c r="CP188" s="41">
        <v>46023</v>
      </c>
      <c r="CQ188" s="41">
        <v>46387</v>
      </c>
      <c r="CR188" s="37" t="s">
        <v>293</v>
      </c>
      <c r="CS188" s="37" t="s">
        <v>322</v>
      </c>
      <c r="CT188" s="37" t="s">
        <v>295</v>
      </c>
      <c r="CU188" s="37" t="s">
        <v>341</v>
      </c>
      <c r="CV188" s="37" t="s">
        <v>382</v>
      </c>
      <c r="CW188" s="37">
        <v>4200000845</v>
      </c>
      <c r="CX188" s="37" t="s">
        <v>1500</v>
      </c>
      <c r="CY188" s="37">
        <v>4325706000</v>
      </c>
      <c r="CZ188" s="123">
        <v>44562</v>
      </c>
      <c r="DA188" s="123">
        <v>45658</v>
      </c>
      <c r="DB188" s="37" t="s">
        <v>277</v>
      </c>
      <c r="DC188" s="37" t="s">
        <v>1614</v>
      </c>
      <c r="DD188" s="68">
        <v>0</v>
      </c>
      <c r="DE188" s="68">
        <v>0</v>
      </c>
      <c r="DF188" s="68">
        <v>0</v>
      </c>
      <c r="DG188" s="68">
        <v>0</v>
      </c>
      <c r="DH188" s="68">
        <v>0</v>
      </c>
      <c r="DI188" s="68">
        <v>0</v>
      </c>
      <c r="DJ188" s="68">
        <v>0</v>
      </c>
      <c r="DK188" s="68">
        <v>0</v>
      </c>
      <c r="DL188" s="68">
        <v>0</v>
      </c>
      <c r="DM188" s="68">
        <v>0</v>
      </c>
      <c r="DN188" s="68">
        <v>0</v>
      </c>
      <c r="DO188" s="68">
        <v>0</v>
      </c>
      <c r="DP188" s="68">
        <f>SUM(DD188:DO188)</f>
        <v>0</v>
      </c>
      <c r="DQ188" s="68">
        <f>DP188-AB188</f>
        <v>0</v>
      </c>
      <c r="DR188" s="68">
        <f>$DD188</f>
        <v>0</v>
      </c>
      <c r="DS188" s="68">
        <f>DR188+DE188</f>
        <v>0</v>
      </c>
      <c r="DT188" s="68">
        <f>DS188+DF188</f>
        <v>0</v>
      </c>
      <c r="DU188" s="68">
        <f>DT188+DG188</f>
        <v>0</v>
      </c>
      <c r="DV188" s="68">
        <f>DU188+DH188</f>
        <v>0</v>
      </c>
      <c r="DW188" s="68">
        <f>DV188+DI188</f>
        <v>0</v>
      </c>
      <c r="DX188" s="68">
        <f>DW188+DJ188</f>
        <v>0</v>
      </c>
      <c r="DY188" s="68">
        <f>DX188+DK188</f>
        <v>0</v>
      </c>
      <c r="DZ188" s="68">
        <f>DY188+DL188</f>
        <v>0</v>
      </c>
      <c r="EA188" s="68">
        <f>DZ188+DM188</f>
        <v>0</v>
      </c>
      <c r="EB188" s="68">
        <f>EA188+DN188</f>
        <v>0</v>
      </c>
      <c r="EC188" s="68">
        <f>EB188+DO188</f>
        <v>0</v>
      </c>
      <c r="ED188" s="68">
        <f>$EC188-$AB188</f>
        <v>0</v>
      </c>
    </row>
    <row r="189" spans="1:134" ht="60">
      <c r="A189" s="74"/>
      <c r="B189" s="50">
        <v>110</v>
      </c>
      <c r="C189" s="50" t="s">
        <v>269</v>
      </c>
      <c r="D189" s="50" t="s">
        <v>297</v>
      </c>
      <c r="E189" s="50"/>
      <c r="F189" s="50" t="s">
        <v>272</v>
      </c>
      <c r="G189" s="50" t="s">
        <v>273</v>
      </c>
      <c r="H189" s="37" t="s">
        <v>151</v>
      </c>
      <c r="I189" s="37" t="s">
        <v>496</v>
      </c>
      <c r="J189" s="37" t="s">
        <v>497</v>
      </c>
      <c r="K189" s="50" t="s">
        <v>3</v>
      </c>
      <c r="L189" s="50" t="s">
        <v>14</v>
      </c>
      <c r="M189" s="50" t="s">
        <v>16</v>
      </c>
      <c r="N189" s="50" t="s">
        <v>276</v>
      </c>
      <c r="O189" s="37" t="s">
        <v>3</v>
      </c>
      <c r="P189" s="37" t="s">
        <v>14</v>
      </c>
      <c r="Q189" s="37" t="s">
        <v>16</v>
      </c>
      <c r="R189" s="37" t="s">
        <v>276</v>
      </c>
      <c r="S189" s="50" t="s">
        <v>1615</v>
      </c>
      <c r="T189" s="50" t="s">
        <v>1616</v>
      </c>
      <c r="U189" s="50" t="s">
        <v>1617</v>
      </c>
      <c r="V189" s="56" t="s">
        <v>1618</v>
      </c>
      <c r="W189" s="56" t="s">
        <v>1618</v>
      </c>
      <c r="X189" s="38" t="s">
        <v>1618</v>
      </c>
      <c r="Y189" s="60">
        <v>3520000000</v>
      </c>
      <c r="Z189" s="60">
        <v>0</v>
      </c>
      <c r="AA189" s="60"/>
      <c r="AB189" s="60">
        <f>Z189+AA189</f>
        <v>0</v>
      </c>
      <c r="AC189" s="61"/>
      <c r="AD189" s="61"/>
      <c r="AE189" s="109">
        <v>3520000000</v>
      </c>
      <c r="AF189" s="109">
        <v>0</v>
      </c>
      <c r="AG189" s="108">
        <f>$AR189+$AZ189+$BQ189+$BT189+$BU189+$BV189</f>
        <v>0</v>
      </c>
      <c r="AH189" s="121">
        <f>AF189-AG189</f>
        <v>0</v>
      </c>
      <c r="AI189" s="39" t="s">
        <v>277</v>
      </c>
      <c r="AJ189" s="200"/>
      <c r="AK189" s="200"/>
      <c r="AL189" s="39"/>
      <c r="AM189" s="68"/>
      <c r="AN189" s="68"/>
      <c r="AO189" s="68"/>
      <c r="AP189" s="68"/>
      <c r="AQ189" s="68">
        <v>0</v>
      </c>
      <c r="AR189" s="68">
        <v>0</v>
      </c>
      <c r="AS189" s="68" t="s">
        <v>307</v>
      </c>
      <c r="AT189" s="68"/>
      <c r="AU189" s="69" t="s">
        <v>277</v>
      </c>
      <c r="AV189" s="69" t="s">
        <v>277</v>
      </c>
      <c r="AW189" s="69" t="s">
        <v>277</v>
      </c>
      <c r="AX189" s="69"/>
      <c r="AY189" s="68">
        <v>0</v>
      </c>
      <c r="AZ189" s="68">
        <v>0</v>
      </c>
      <c r="BA189" s="68" t="s">
        <v>307</v>
      </c>
      <c r="BB189" s="68"/>
      <c r="BC189" s="69" t="s">
        <v>1619</v>
      </c>
      <c r="BD189" s="69" t="s">
        <v>277</v>
      </c>
      <c r="BE189" s="56" t="s">
        <v>277</v>
      </c>
      <c r="BF189" s="56" t="s">
        <v>277</v>
      </c>
      <c r="BG189" s="56" t="s">
        <v>277</v>
      </c>
      <c r="BH189" s="56" t="s">
        <v>277</v>
      </c>
      <c r="BI189" s="69">
        <v>0</v>
      </c>
      <c r="BJ189" s="69">
        <v>0</v>
      </c>
      <c r="BK189" s="69">
        <v>0</v>
      </c>
      <c r="BL189" s="69">
        <v>0</v>
      </c>
      <c r="BM189" s="69">
        <v>0</v>
      </c>
      <c r="BN189" s="69">
        <v>0</v>
      </c>
      <c r="BO189" s="69">
        <v>0</v>
      </c>
      <c r="BP189" s="69">
        <v>0</v>
      </c>
      <c r="BQ189" s="69"/>
      <c r="BR189" s="69" t="s">
        <v>156</v>
      </c>
      <c r="BS189" s="69" t="s">
        <v>798</v>
      </c>
      <c r="BT189" s="68">
        <v>0</v>
      </c>
      <c r="BU189" s="68">
        <v>0</v>
      </c>
      <c r="BV189" s="68"/>
      <c r="BW189" s="94">
        <v>0</v>
      </c>
      <c r="BX189" s="94">
        <v>0</v>
      </c>
      <c r="BY189" s="94">
        <v>0</v>
      </c>
      <c r="BZ189" s="94">
        <v>0</v>
      </c>
      <c r="CA189" s="94">
        <v>0</v>
      </c>
      <c r="CB189" s="94">
        <v>0</v>
      </c>
      <c r="CC189" s="94">
        <v>0</v>
      </c>
      <c r="CD189" s="94">
        <v>0</v>
      </c>
      <c r="CE189" s="94">
        <v>0</v>
      </c>
      <c r="CF189" s="108">
        <f>SUM(BT189:CE189)</f>
        <v>0</v>
      </c>
      <c r="CG189" s="108">
        <f>$CF189-$AF189</f>
        <v>0</v>
      </c>
      <c r="CH189" s="37" t="s">
        <v>289</v>
      </c>
      <c r="CI189" s="37" t="s">
        <v>290</v>
      </c>
      <c r="CJ189" s="37" t="s">
        <v>277</v>
      </c>
      <c r="CK189" s="37" t="s">
        <v>290</v>
      </c>
      <c r="CL189" s="37" t="s">
        <v>277</v>
      </c>
      <c r="CM189" s="37" t="s">
        <v>277</v>
      </c>
      <c r="CN189" s="37" t="s">
        <v>290</v>
      </c>
      <c r="CO189" s="37" t="s">
        <v>497</v>
      </c>
      <c r="CP189" s="41">
        <v>46023</v>
      </c>
      <c r="CQ189" s="41">
        <v>46387</v>
      </c>
      <c r="CR189" s="37" t="s">
        <v>293</v>
      </c>
      <c r="CS189" s="37" t="s">
        <v>322</v>
      </c>
      <c r="CT189" s="37" t="s">
        <v>295</v>
      </c>
      <c r="CU189" s="37" t="s">
        <v>341</v>
      </c>
      <c r="CV189" s="37" t="s">
        <v>382</v>
      </c>
      <c r="CW189" s="37" t="s">
        <v>277</v>
      </c>
      <c r="CX189" s="37" t="s">
        <v>277</v>
      </c>
      <c r="CY189" s="37">
        <v>0</v>
      </c>
      <c r="CZ189" s="123" t="s">
        <v>277</v>
      </c>
      <c r="DA189" s="123" t="s">
        <v>277</v>
      </c>
      <c r="DB189" s="37" t="s">
        <v>277</v>
      </c>
      <c r="DC189" s="37" t="s">
        <v>987</v>
      </c>
      <c r="DD189" s="68">
        <v>0</v>
      </c>
      <c r="DE189" s="68">
        <v>0</v>
      </c>
      <c r="DF189" s="68">
        <v>0</v>
      </c>
      <c r="DG189" s="68">
        <v>0</v>
      </c>
      <c r="DH189" s="68">
        <v>0</v>
      </c>
      <c r="DI189" s="68">
        <v>0</v>
      </c>
      <c r="DJ189" s="68">
        <v>0</v>
      </c>
      <c r="DK189" s="68">
        <v>0</v>
      </c>
      <c r="DL189" s="68">
        <v>0</v>
      </c>
      <c r="DM189" s="68">
        <v>0</v>
      </c>
      <c r="DN189" s="68">
        <v>0</v>
      </c>
      <c r="DO189" s="68">
        <v>0</v>
      </c>
      <c r="DP189" s="68">
        <f>SUM(DD189:DO189)</f>
        <v>0</v>
      </c>
      <c r="DQ189" s="68">
        <f>DP189-AB189</f>
        <v>0</v>
      </c>
      <c r="DR189" s="68">
        <f>$DD189</f>
        <v>0</v>
      </c>
      <c r="DS189" s="68">
        <f>DR189+DE189</f>
        <v>0</v>
      </c>
      <c r="DT189" s="68">
        <f>DS189+DF189</f>
        <v>0</v>
      </c>
      <c r="DU189" s="68">
        <f>DT189+DG189</f>
        <v>0</v>
      </c>
      <c r="DV189" s="68">
        <f>DU189+DH189</f>
        <v>0</v>
      </c>
      <c r="DW189" s="68">
        <f>DV189+DI189</f>
        <v>0</v>
      </c>
      <c r="DX189" s="68">
        <f>DW189+DJ189</f>
        <v>0</v>
      </c>
      <c r="DY189" s="68">
        <f>DX189+DK189</f>
        <v>0</v>
      </c>
      <c r="DZ189" s="68">
        <f>DY189+DL189</f>
        <v>0</v>
      </c>
      <c r="EA189" s="68">
        <f>DZ189+DM189</f>
        <v>0</v>
      </c>
      <c r="EB189" s="68">
        <f>EA189+DN189</f>
        <v>0</v>
      </c>
      <c r="EC189" s="68">
        <f>EB189+DO189</f>
        <v>0</v>
      </c>
      <c r="ED189" s="68">
        <f>$EC189-$AB189</f>
        <v>0</v>
      </c>
    </row>
    <row r="190" spans="1:134" ht="45">
      <c r="A190" s="74"/>
      <c r="B190" s="50">
        <v>117</v>
      </c>
      <c r="C190" s="50" t="s">
        <v>269</v>
      </c>
      <c r="D190" s="50" t="s">
        <v>297</v>
      </c>
      <c r="E190" s="50"/>
      <c r="F190" s="50" t="s">
        <v>272</v>
      </c>
      <c r="G190" s="50" t="s">
        <v>273</v>
      </c>
      <c r="H190" s="37" t="s">
        <v>151</v>
      </c>
      <c r="I190" s="37" t="s">
        <v>732</v>
      </c>
      <c r="J190" s="37" t="s">
        <v>560</v>
      </c>
      <c r="K190" s="50" t="s">
        <v>3</v>
      </c>
      <c r="L190" s="50" t="s">
        <v>14</v>
      </c>
      <c r="M190" s="50" t="s">
        <v>16</v>
      </c>
      <c r="N190" s="50" t="s">
        <v>276</v>
      </c>
      <c r="O190" s="37" t="s">
        <v>3</v>
      </c>
      <c r="P190" s="37" t="s">
        <v>14</v>
      </c>
      <c r="Q190" s="37" t="s">
        <v>16</v>
      </c>
      <c r="R190" s="37" t="s">
        <v>276</v>
      </c>
      <c r="S190" s="50" t="s">
        <v>1620</v>
      </c>
      <c r="T190" s="50" t="s">
        <v>1621</v>
      </c>
      <c r="U190" s="50" t="s">
        <v>1622</v>
      </c>
      <c r="V190" s="56" t="s">
        <v>1623</v>
      </c>
      <c r="W190" s="56" t="s">
        <v>1623</v>
      </c>
      <c r="X190" s="38" t="s">
        <v>1623</v>
      </c>
      <c r="Y190" s="60">
        <v>20000000</v>
      </c>
      <c r="Z190" s="60">
        <v>0</v>
      </c>
      <c r="AA190" s="60"/>
      <c r="AB190" s="60">
        <f>Z190+AA190</f>
        <v>0</v>
      </c>
      <c r="AC190" s="61"/>
      <c r="AD190" s="61"/>
      <c r="AE190" s="109">
        <v>0</v>
      </c>
      <c r="AF190" s="109">
        <v>0</v>
      </c>
      <c r="AG190" s="108">
        <f>$AR190+$AZ190+$BQ190+$BT190+$BU190+$BV190</f>
        <v>0</v>
      </c>
      <c r="AH190" s="121">
        <f>AF190-AG190</f>
        <v>0</v>
      </c>
      <c r="AI190" s="39" t="s">
        <v>1559</v>
      </c>
      <c r="AJ190" s="200"/>
      <c r="AK190" s="200"/>
      <c r="AL190" s="39"/>
      <c r="AM190" s="68"/>
      <c r="AN190" s="68"/>
      <c r="AO190" s="68"/>
      <c r="AP190" s="68"/>
      <c r="AQ190" s="68">
        <v>0</v>
      </c>
      <c r="AR190" s="68">
        <v>0</v>
      </c>
      <c r="AS190" s="68" t="s">
        <v>307</v>
      </c>
      <c r="AT190" s="68"/>
      <c r="AU190" s="69" t="s">
        <v>277</v>
      </c>
      <c r="AV190" s="69" t="s">
        <v>277</v>
      </c>
      <c r="AW190" s="69" t="s">
        <v>277</v>
      </c>
      <c r="AX190" s="69"/>
      <c r="AY190" s="68">
        <v>0</v>
      </c>
      <c r="AZ190" s="68">
        <v>0</v>
      </c>
      <c r="BA190" s="68" t="s">
        <v>307</v>
      </c>
      <c r="BB190" s="68"/>
      <c r="BC190" s="69" t="s">
        <v>797</v>
      </c>
      <c r="BD190" s="69" t="s">
        <v>277</v>
      </c>
      <c r="BE190" s="56" t="s">
        <v>277</v>
      </c>
      <c r="BF190" s="56" t="s">
        <v>277</v>
      </c>
      <c r="BG190" s="56" t="s">
        <v>277</v>
      </c>
      <c r="BH190" s="56" t="s">
        <v>277</v>
      </c>
      <c r="BI190" s="69">
        <v>0</v>
      </c>
      <c r="BJ190" s="69">
        <v>0</v>
      </c>
      <c r="BK190" s="69">
        <v>0</v>
      </c>
      <c r="BL190" s="69">
        <v>0</v>
      </c>
      <c r="BM190" s="69">
        <v>0</v>
      </c>
      <c r="BN190" s="69">
        <v>0</v>
      </c>
      <c r="BO190" s="69">
        <v>0</v>
      </c>
      <c r="BP190" s="69">
        <v>0</v>
      </c>
      <c r="BQ190" s="69"/>
      <c r="BR190" s="69" t="s">
        <v>382</v>
      </c>
      <c r="BS190" s="69" t="s">
        <v>798</v>
      </c>
      <c r="BT190" s="68">
        <v>0</v>
      </c>
      <c r="BU190" s="68">
        <v>0</v>
      </c>
      <c r="BV190" s="68">
        <v>0</v>
      </c>
      <c r="BW190" s="94">
        <v>0</v>
      </c>
      <c r="BX190" s="94">
        <v>0</v>
      </c>
      <c r="BY190" s="94">
        <v>0</v>
      </c>
      <c r="BZ190" s="94">
        <v>0</v>
      </c>
      <c r="CA190" s="94">
        <v>0</v>
      </c>
      <c r="CB190" s="109">
        <v>0</v>
      </c>
      <c r="CC190" s="109">
        <v>0</v>
      </c>
      <c r="CD190" s="109">
        <v>0</v>
      </c>
      <c r="CE190" s="109">
        <v>0</v>
      </c>
      <c r="CF190" s="108">
        <f>SUM(BT190:CE190)</f>
        <v>0</v>
      </c>
      <c r="CG190" s="108">
        <f>$CF190-$AF190</f>
        <v>0</v>
      </c>
      <c r="CH190" s="37" t="s">
        <v>289</v>
      </c>
      <c r="CI190" s="37" t="s">
        <v>290</v>
      </c>
      <c r="CJ190" s="37" t="s">
        <v>277</v>
      </c>
      <c r="CK190" s="37" t="s">
        <v>290</v>
      </c>
      <c r="CL190" s="37" t="s">
        <v>277</v>
      </c>
      <c r="CM190" s="37" t="s">
        <v>277</v>
      </c>
      <c r="CN190" s="37" t="s">
        <v>290</v>
      </c>
      <c r="CO190" s="37" t="s">
        <v>739</v>
      </c>
      <c r="CP190" s="41">
        <v>46023</v>
      </c>
      <c r="CQ190" s="41">
        <v>46387</v>
      </c>
      <c r="CR190" s="37" t="s">
        <v>293</v>
      </c>
      <c r="CS190" s="37" t="s">
        <v>322</v>
      </c>
      <c r="CT190" s="37" t="s">
        <v>295</v>
      </c>
      <c r="CU190" s="37" t="s">
        <v>341</v>
      </c>
      <c r="CV190" s="37" t="s">
        <v>382</v>
      </c>
      <c r="CW190" s="37">
        <v>4200000624</v>
      </c>
      <c r="CX190" s="37" t="s">
        <v>1624</v>
      </c>
      <c r="CY190" s="37">
        <v>16650000</v>
      </c>
      <c r="CZ190" s="123">
        <v>44409</v>
      </c>
      <c r="DA190" s="123">
        <v>45870</v>
      </c>
      <c r="DB190" s="37" t="s">
        <v>277</v>
      </c>
      <c r="DC190" s="37" t="s">
        <v>1423</v>
      </c>
      <c r="DD190" s="68">
        <v>0</v>
      </c>
      <c r="DE190" s="68">
        <v>0</v>
      </c>
      <c r="DF190" s="68">
        <v>0</v>
      </c>
      <c r="DG190" s="68">
        <v>0</v>
      </c>
      <c r="DH190" s="68">
        <v>0</v>
      </c>
      <c r="DI190" s="68">
        <v>0</v>
      </c>
      <c r="DJ190" s="68">
        <v>0</v>
      </c>
      <c r="DK190" s="68">
        <v>0</v>
      </c>
      <c r="DL190" s="68">
        <v>0</v>
      </c>
      <c r="DM190" s="68">
        <v>0</v>
      </c>
      <c r="DN190" s="68">
        <v>0</v>
      </c>
      <c r="DO190" s="68">
        <v>0</v>
      </c>
      <c r="DP190" s="68">
        <f>SUM(DD190:DO190)</f>
        <v>0</v>
      </c>
      <c r="DQ190" s="68">
        <f>DP190-AB190</f>
        <v>0</v>
      </c>
      <c r="DR190" s="68">
        <f>$DD190</f>
        <v>0</v>
      </c>
      <c r="DS190" s="68">
        <f>DR190+DE190</f>
        <v>0</v>
      </c>
      <c r="DT190" s="68">
        <f>DS190+DF190</f>
        <v>0</v>
      </c>
      <c r="DU190" s="68">
        <f>DT190+DG190</f>
        <v>0</v>
      </c>
      <c r="DV190" s="68">
        <f>DU190+DH190</f>
        <v>0</v>
      </c>
      <c r="DW190" s="68">
        <f>DV190+DI190</f>
        <v>0</v>
      </c>
      <c r="DX190" s="68">
        <f>DW190+DJ190</f>
        <v>0</v>
      </c>
      <c r="DY190" s="68">
        <f>DX190+DK190</f>
        <v>0</v>
      </c>
      <c r="DZ190" s="68">
        <f>DY190+DL190</f>
        <v>0</v>
      </c>
      <c r="EA190" s="68">
        <f>DZ190+DM190</f>
        <v>0</v>
      </c>
      <c r="EB190" s="68">
        <f>EA190+DN190</f>
        <v>0</v>
      </c>
      <c r="EC190" s="68">
        <f>EB190+DO190</f>
        <v>0</v>
      </c>
      <c r="ED190" s="68">
        <f>$EC190-$AB190</f>
        <v>0</v>
      </c>
    </row>
    <row r="191" spans="1:134" ht="45">
      <c r="A191" s="74"/>
      <c r="B191" s="50">
        <v>124</v>
      </c>
      <c r="C191" s="50" t="s">
        <v>269</v>
      </c>
      <c r="D191" s="50" t="s">
        <v>297</v>
      </c>
      <c r="E191" s="50"/>
      <c r="F191" s="50" t="s">
        <v>272</v>
      </c>
      <c r="G191" s="50" t="s">
        <v>273</v>
      </c>
      <c r="H191" s="37" t="s">
        <v>151</v>
      </c>
      <c r="I191" s="37" t="s">
        <v>424</v>
      </c>
      <c r="J191" s="37" t="s">
        <v>788</v>
      </c>
      <c r="K191" s="50" t="s">
        <v>3</v>
      </c>
      <c r="L191" s="50" t="s">
        <v>14</v>
      </c>
      <c r="M191" s="50" t="s">
        <v>16</v>
      </c>
      <c r="N191" s="50" t="s">
        <v>276</v>
      </c>
      <c r="O191" s="37" t="s">
        <v>3</v>
      </c>
      <c r="P191" s="37" t="s">
        <v>14</v>
      </c>
      <c r="Q191" s="37" t="s">
        <v>16</v>
      </c>
      <c r="R191" s="37" t="s">
        <v>276</v>
      </c>
      <c r="S191" s="50" t="s">
        <v>1625</v>
      </c>
      <c r="T191" s="50" t="s">
        <v>1626</v>
      </c>
      <c r="U191" s="50" t="s">
        <v>1627</v>
      </c>
      <c r="V191" s="56" t="s">
        <v>1628</v>
      </c>
      <c r="W191" s="56" t="s">
        <v>1628</v>
      </c>
      <c r="X191" s="38" t="s">
        <v>1628</v>
      </c>
      <c r="Y191" s="60">
        <v>4500000000</v>
      </c>
      <c r="Z191" s="60">
        <v>3712500000</v>
      </c>
      <c r="AA191" s="60"/>
      <c r="AB191" s="60">
        <f>Z191+AA191</f>
        <v>3712500000</v>
      </c>
      <c r="AC191" s="61"/>
      <c r="AD191" s="61"/>
      <c r="AE191" s="109">
        <v>4500000000</v>
      </c>
      <c r="AF191" s="109">
        <v>0</v>
      </c>
      <c r="AG191" s="108">
        <f>$AR191+$AZ191+$BQ191+$BT191+$BU191+$BV191</f>
        <v>0</v>
      </c>
      <c r="AH191" s="121">
        <f>AF191-AG191</f>
        <v>0</v>
      </c>
      <c r="AI191" s="39" t="s">
        <v>1629</v>
      </c>
      <c r="AJ191" s="200"/>
      <c r="AK191" s="200"/>
      <c r="AL191" s="39"/>
      <c r="AM191" s="68"/>
      <c r="AN191" s="68"/>
      <c r="AO191" s="68"/>
      <c r="AP191" s="68"/>
      <c r="AQ191" s="68">
        <v>0</v>
      </c>
      <c r="AR191" s="68">
        <v>0</v>
      </c>
      <c r="AS191" s="68" t="s">
        <v>307</v>
      </c>
      <c r="AT191" s="68"/>
      <c r="AU191" s="69" t="s">
        <v>277</v>
      </c>
      <c r="AV191" s="69" t="s">
        <v>277</v>
      </c>
      <c r="AW191" s="69" t="s">
        <v>277</v>
      </c>
      <c r="AX191" s="69"/>
      <c r="AY191" s="68">
        <v>0</v>
      </c>
      <c r="AZ191" s="68">
        <v>0</v>
      </c>
      <c r="BA191" s="68" t="s">
        <v>307</v>
      </c>
      <c r="BB191" s="68"/>
      <c r="BC191" s="69" t="s">
        <v>1630</v>
      </c>
      <c r="BD191" s="69" t="s">
        <v>277</v>
      </c>
      <c r="BE191" s="56" t="s">
        <v>277</v>
      </c>
      <c r="BF191" s="56" t="s">
        <v>277</v>
      </c>
      <c r="BG191" s="56" t="s">
        <v>277</v>
      </c>
      <c r="BH191" s="56" t="s">
        <v>277</v>
      </c>
      <c r="BI191" s="69">
        <v>0</v>
      </c>
      <c r="BJ191" s="69">
        <v>0</v>
      </c>
      <c r="BK191" s="69">
        <v>0</v>
      </c>
      <c r="BL191" s="69">
        <v>0</v>
      </c>
      <c r="BM191" s="69">
        <v>0</v>
      </c>
      <c r="BN191" s="69">
        <v>0</v>
      </c>
      <c r="BO191" s="69">
        <v>0</v>
      </c>
      <c r="BP191" s="69">
        <v>0</v>
      </c>
      <c r="BQ191" s="69"/>
      <c r="BR191" s="69" t="s">
        <v>156</v>
      </c>
      <c r="BS191" s="69" t="s">
        <v>1631</v>
      </c>
      <c r="BT191" s="68">
        <v>0</v>
      </c>
      <c r="BU191" s="68">
        <v>0</v>
      </c>
      <c r="BV191" s="68"/>
      <c r="BW191" s="94">
        <v>0</v>
      </c>
      <c r="BX191" s="94">
        <v>0</v>
      </c>
      <c r="BY191" s="94">
        <v>0</v>
      </c>
      <c r="BZ191" s="94">
        <v>0</v>
      </c>
      <c r="CA191" s="94">
        <v>0</v>
      </c>
      <c r="CB191" s="94">
        <v>0</v>
      </c>
      <c r="CC191" s="94">
        <v>0</v>
      </c>
      <c r="CD191" s="94">
        <v>0</v>
      </c>
      <c r="CE191" s="94">
        <v>0</v>
      </c>
      <c r="CF191" s="108">
        <f>SUM(BT191:CE191)</f>
        <v>0</v>
      </c>
      <c r="CG191" s="108">
        <f>$CF191-$AF191</f>
        <v>0</v>
      </c>
      <c r="CH191" s="37" t="s">
        <v>289</v>
      </c>
      <c r="CI191" s="37" t="s">
        <v>290</v>
      </c>
      <c r="CJ191" s="37" t="s">
        <v>277</v>
      </c>
      <c r="CK191" s="37" t="s">
        <v>290</v>
      </c>
      <c r="CL191" s="37" t="s">
        <v>277</v>
      </c>
      <c r="CM191" s="37" t="s">
        <v>277</v>
      </c>
      <c r="CN191" s="37" t="s">
        <v>290</v>
      </c>
      <c r="CO191" s="37" t="s">
        <v>739</v>
      </c>
      <c r="CP191" s="41">
        <v>46023</v>
      </c>
      <c r="CQ191" s="41">
        <v>47300</v>
      </c>
      <c r="CR191" s="37" t="s">
        <v>293</v>
      </c>
      <c r="CS191" s="37" t="s">
        <v>454</v>
      </c>
      <c r="CT191" s="37" t="s">
        <v>295</v>
      </c>
      <c r="CU191" s="37" t="s">
        <v>296</v>
      </c>
      <c r="CV191" s="37" t="s">
        <v>323</v>
      </c>
      <c r="CW191" s="37" t="s">
        <v>277</v>
      </c>
      <c r="CX191" s="37" t="s">
        <v>277</v>
      </c>
      <c r="CY191" s="37">
        <v>0</v>
      </c>
      <c r="CZ191" s="123" t="s">
        <v>277</v>
      </c>
      <c r="DA191" s="123" t="s">
        <v>277</v>
      </c>
      <c r="DB191" s="37" t="s">
        <v>277</v>
      </c>
      <c r="DC191" s="37" t="s">
        <v>455</v>
      </c>
      <c r="DD191" s="68">
        <v>0</v>
      </c>
      <c r="DE191" s="68">
        <v>0</v>
      </c>
      <c r="DF191" s="68">
        <v>0</v>
      </c>
      <c r="DG191" s="68">
        <v>0</v>
      </c>
      <c r="DH191" s="68">
        <v>0</v>
      </c>
      <c r="DI191" s="68">
        <v>0</v>
      </c>
      <c r="DJ191" s="68">
        <v>0</v>
      </c>
      <c r="DK191" s="68">
        <v>0</v>
      </c>
      <c r="DL191" s="68">
        <v>0</v>
      </c>
      <c r="DM191" s="68">
        <v>0</v>
      </c>
      <c r="DN191" s="68">
        <v>0</v>
      </c>
      <c r="DO191" s="68">
        <v>3712500000</v>
      </c>
      <c r="DP191" s="68">
        <f>SUM(DD191:DO191)</f>
        <v>3712500000</v>
      </c>
      <c r="DQ191" s="68">
        <f>DP191-AB191</f>
        <v>0</v>
      </c>
      <c r="DR191" s="68">
        <f>$DD191</f>
        <v>0</v>
      </c>
      <c r="DS191" s="68">
        <f>DR191+DE191</f>
        <v>0</v>
      </c>
      <c r="DT191" s="68">
        <f>DS191+DF191</f>
        <v>0</v>
      </c>
      <c r="DU191" s="68">
        <f>DT191+DG191</f>
        <v>0</v>
      </c>
      <c r="DV191" s="68">
        <f>DU191+DH191</f>
        <v>0</v>
      </c>
      <c r="DW191" s="68">
        <f>DV191+DI191</f>
        <v>0</v>
      </c>
      <c r="DX191" s="68">
        <f>DW191+DJ191</f>
        <v>0</v>
      </c>
      <c r="DY191" s="68">
        <f>DX191+DK191</f>
        <v>0</v>
      </c>
      <c r="DZ191" s="68">
        <f>DY191+DL191</f>
        <v>0</v>
      </c>
      <c r="EA191" s="68">
        <f>DZ191+DM191</f>
        <v>0</v>
      </c>
      <c r="EB191" s="68">
        <f>EA191+DN191</f>
        <v>0</v>
      </c>
      <c r="EC191" s="68">
        <f>EB191+DO191</f>
        <v>3712500000</v>
      </c>
      <c r="ED191" s="68">
        <f>$EC191-$AB191</f>
        <v>0</v>
      </c>
    </row>
    <row r="192" spans="1:134" ht="30">
      <c r="A192" s="74"/>
      <c r="B192" s="50">
        <v>174</v>
      </c>
      <c r="C192" s="50" t="s">
        <v>269</v>
      </c>
      <c r="D192" s="50" t="s">
        <v>270</v>
      </c>
      <c r="E192" s="51" t="s">
        <v>1632</v>
      </c>
      <c r="F192" s="50"/>
      <c r="G192" s="50"/>
      <c r="H192" s="37" t="s">
        <v>151</v>
      </c>
      <c r="I192" s="37" t="s">
        <v>1556</v>
      </c>
      <c r="J192" s="37" t="s">
        <v>1288</v>
      </c>
      <c r="K192" s="50"/>
      <c r="L192" s="50"/>
      <c r="M192" s="50"/>
      <c r="N192" s="50"/>
      <c r="O192" s="37" t="s">
        <v>3</v>
      </c>
      <c r="P192" s="37" t="s">
        <v>14</v>
      </c>
      <c r="Q192" s="37" t="s">
        <v>16</v>
      </c>
      <c r="R192" s="37" t="s">
        <v>276</v>
      </c>
      <c r="S192" s="50"/>
      <c r="T192" s="50"/>
      <c r="U192" s="50" t="s">
        <v>1633</v>
      </c>
      <c r="V192" s="56" t="s">
        <v>277</v>
      </c>
      <c r="W192" s="56" t="s">
        <v>1634</v>
      </c>
      <c r="X192" s="38" t="s">
        <v>1634</v>
      </c>
      <c r="Y192" s="60"/>
      <c r="Z192" s="60"/>
      <c r="AA192" s="60"/>
      <c r="AB192" s="60"/>
      <c r="AC192" s="61"/>
      <c r="AD192" s="61"/>
      <c r="AE192" s="109">
        <v>0</v>
      </c>
      <c r="AF192" s="109">
        <v>0</v>
      </c>
      <c r="AG192" s="108">
        <f>$AR192+$AZ192+$BQ192+$BT192+$BU192+$BV192</f>
        <v>0</v>
      </c>
      <c r="AH192" s="121">
        <f>AF192-AG192</f>
        <v>0</v>
      </c>
      <c r="AI192" s="39" t="s">
        <v>1559</v>
      </c>
      <c r="AJ192" s="200"/>
      <c r="AK192" s="200"/>
      <c r="AL192" s="39"/>
      <c r="AM192" s="68"/>
      <c r="AN192" s="68"/>
      <c r="AO192" s="68"/>
      <c r="AP192" s="68"/>
      <c r="AQ192" s="68"/>
      <c r="AR192" s="68"/>
      <c r="AS192" s="68"/>
      <c r="AT192" s="68"/>
      <c r="AU192" s="69"/>
      <c r="AV192" s="69"/>
      <c r="AW192" s="69"/>
      <c r="AX192" s="69"/>
      <c r="AY192" s="68"/>
      <c r="AZ192" s="68"/>
      <c r="BA192" s="68"/>
      <c r="BB192" s="68"/>
      <c r="BC192" s="69"/>
      <c r="BD192" s="69"/>
      <c r="BE192" s="56" t="s">
        <v>277</v>
      </c>
      <c r="BF192" s="56" t="s">
        <v>277</v>
      </c>
      <c r="BG192" s="56" t="s">
        <v>277</v>
      </c>
      <c r="BH192" s="56" t="s">
        <v>277</v>
      </c>
      <c r="BI192" s="69">
        <v>0</v>
      </c>
      <c r="BJ192" s="69">
        <v>0</v>
      </c>
      <c r="BK192" s="69">
        <v>0</v>
      </c>
      <c r="BL192" s="69">
        <v>0</v>
      </c>
      <c r="BM192" s="69">
        <v>0</v>
      </c>
      <c r="BN192" s="69">
        <v>0</v>
      </c>
      <c r="BO192" s="69">
        <v>0</v>
      </c>
      <c r="BP192" s="69">
        <v>0</v>
      </c>
      <c r="BQ192" s="69"/>
      <c r="BR192" s="69" t="s">
        <v>382</v>
      </c>
      <c r="BS192" s="69" t="s">
        <v>798</v>
      </c>
      <c r="BT192" s="68">
        <v>0</v>
      </c>
      <c r="BU192" s="68">
        <v>0</v>
      </c>
      <c r="BV192" s="68">
        <v>0</v>
      </c>
      <c r="BW192" s="94">
        <v>0</v>
      </c>
      <c r="BX192" s="94">
        <v>0</v>
      </c>
      <c r="BY192" s="94">
        <v>0</v>
      </c>
      <c r="BZ192" s="94">
        <v>0</v>
      </c>
      <c r="CA192" s="94">
        <v>0</v>
      </c>
      <c r="CB192" s="94">
        <v>0</v>
      </c>
      <c r="CC192" s="94">
        <v>0</v>
      </c>
      <c r="CD192" s="94">
        <v>0</v>
      </c>
      <c r="CE192" s="94">
        <v>0</v>
      </c>
      <c r="CF192" s="108">
        <f>SUM(BT192:CE192)</f>
        <v>0</v>
      </c>
      <c r="CG192" s="108">
        <f>$CF192-$AF192</f>
        <v>0</v>
      </c>
      <c r="CH192" s="37" t="s">
        <v>289</v>
      </c>
      <c r="CI192" s="37" t="s">
        <v>290</v>
      </c>
      <c r="CJ192" s="37" t="s">
        <v>277</v>
      </c>
      <c r="CK192" s="37" t="s">
        <v>474</v>
      </c>
      <c r="CL192" s="37" t="s">
        <v>277</v>
      </c>
      <c r="CM192" s="37" t="s">
        <v>277</v>
      </c>
      <c r="CN192" s="37" t="s">
        <v>600</v>
      </c>
      <c r="CO192" s="37" t="s">
        <v>277</v>
      </c>
      <c r="CP192" s="91" t="s">
        <v>277</v>
      </c>
      <c r="CQ192" s="91" t="s">
        <v>277</v>
      </c>
      <c r="CR192" s="37" t="s">
        <v>1635</v>
      </c>
      <c r="CS192" s="37" t="s">
        <v>601</v>
      </c>
      <c r="CT192" s="37" t="s">
        <v>851</v>
      </c>
      <c r="CU192" s="37" t="s">
        <v>445</v>
      </c>
      <c r="CV192" s="37" t="s">
        <v>1564</v>
      </c>
      <c r="CW192" s="37" t="s">
        <v>1636</v>
      </c>
      <c r="CX192" s="37" t="s">
        <v>277</v>
      </c>
      <c r="CY192" s="37" t="s">
        <v>277</v>
      </c>
      <c r="CZ192" s="128" t="s">
        <v>1563</v>
      </c>
      <c r="DA192" s="45" t="s">
        <v>277</v>
      </c>
      <c r="DB192" s="45" t="s">
        <v>277</v>
      </c>
      <c r="DC192" s="45" t="s">
        <v>277</v>
      </c>
      <c r="DD192" s="68"/>
      <c r="DE192" s="68"/>
      <c r="DF192" s="68"/>
      <c r="DG192" s="68"/>
      <c r="DH192" s="68"/>
      <c r="DI192" s="68"/>
      <c r="DJ192" s="68"/>
      <c r="DK192" s="68"/>
      <c r="DL192" s="68"/>
      <c r="DM192" s="68"/>
      <c r="DN192" s="68"/>
      <c r="DO192" s="68"/>
      <c r="DP192" s="68">
        <f>SUM(DD192:DO192)</f>
        <v>0</v>
      </c>
      <c r="DQ192" s="68">
        <f>DP192-AB192</f>
        <v>0</v>
      </c>
      <c r="DR192" s="68">
        <f>$DD192</f>
        <v>0</v>
      </c>
      <c r="DS192" s="68">
        <f>DR192+DE192</f>
        <v>0</v>
      </c>
      <c r="DT192" s="68">
        <f>DS192+DF192</f>
        <v>0</v>
      </c>
      <c r="DU192" s="68">
        <f>DT192+DG192</f>
        <v>0</v>
      </c>
      <c r="DV192" s="68">
        <f>DU192+DH192</f>
        <v>0</v>
      </c>
      <c r="DW192" s="68">
        <f>DV192+DI192</f>
        <v>0</v>
      </c>
      <c r="DX192" s="68">
        <f>DW192+DJ192</f>
        <v>0</v>
      </c>
      <c r="DY192" s="68">
        <f>DX192+DK192</f>
        <v>0</v>
      </c>
      <c r="DZ192" s="68">
        <f>DY192+DL192</f>
        <v>0</v>
      </c>
      <c r="EA192" s="68">
        <f>DZ192+DM192</f>
        <v>0</v>
      </c>
      <c r="EB192" s="68">
        <f>EA192+DN192</f>
        <v>0</v>
      </c>
      <c r="EC192" s="68">
        <f>EB192+DO192</f>
        <v>0</v>
      </c>
      <c r="ED192" s="68">
        <f>$EC192-$AB192</f>
        <v>0</v>
      </c>
    </row>
    <row r="193" spans="1:134" ht="60">
      <c r="A193" s="74"/>
      <c r="B193" s="50">
        <v>163</v>
      </c>
      <c r="C193" s="50" t="s">
        <v>269</v>
      </c>
      <c r="D193" s="50" t="s">
        <v>270</v>
      </c>
      <c r="E193" s="52" t="s">
        <v>1637</v>
      </c>
      <c r="F193" s="50" t="s">
        <v>272</v>
      </c>
      <c r="G193" s="50" t="s">
        <v>273</v>
      </c>
      <c r="H193" s="37" t="s">
        <v>151</v>
      </c>
      <c r="I193" s="37" t="s">
        <v>1556</v>
      </c>
      <c r="J193" s="37" t="s">
        <v>1288</v>
      </c>
      <c r="K193" s="50" t="s">
        <v>3</v>
      </c>
      <c r="L193" s="50" t="s">
        <v>14</v>
      </c>
      <c r="M193" s="50" t="s">
        <v>16</v>
      </c>
      <c r="N193" s="50" t="s">
        <v>276</v>
      </c>
      <c r="O193" s="37" t="s">
        <v>3</v>
      </c>
      <c r="P193" s="37" t="s">
        <v>14</v>
      </c>
      <c r="Q193" s="37" t="s">
        <v>16</v>
      </c>
      <c r="R193" s="37" t="s">
        <v>276</v>
      </c>
      <c r="S193" s="50" t="s">
        <v>277</v>
      </c>
      <c r="T193" s="50" t="s">
        <v>277</v>
      </c>
      <c r="U193" s="50" t="s">
        <v>1638</v>
      </c>
      <c r="V193" s="56" t="s">
        <v>277</v>
      </c>
      <c r="W193" s="56" t="s">
        <v>1639</v>
      </c>
      <c r="X193" s="38" t="s">
        <v>1639</v>
      </c>
      <c r="Y193" s="60">
        <v>61249800</v>
      </c>
      <c r="Z193" s="60"/>
      <c r="AA193" s="60"/>
      <c r="AB193" s="60"/>
      <c r="AC193" s="61"/>
      <c r="AD193" s="61"/>
      <c r="AE193" s="109">
        <v>61249800</v>
      </c>
      <c r="AF193" s="109">
        <v>0</v>
      </c>
      <c r="AG193" s="108">
        <f>$AR193+$AZ193+$BQ193+$BT193+$BU193+$BV193</f>
        <v>0</v>
      </c>
      <c r="AH193" s="121">
        <f>AF193-AG193</f>
        <v>0</v>
      </c>
      <c r="AI193" s="39" t="s">
        <v>1559</v>
      </c>
      <c r="AJ193" s="200"/>
      <c r="AK193" s="200"/>
      <c r="AL193" s="39"/>
      <c r="AM193" s="68"/>
      <c r="AN193" s="68"/>
      <c r="AO193" s="68"/>
      <c r="AP193" s="68"/>
      <c r="AQ193" s="68"/>
      <c r="AR193" s="68"/>
      <c r="AS193" s="68"/>
      <c r="AT193" s="68"/>
      <c r="AU193" s="69"/>
      <c r="AV193" s="69"/>
      <c r="AW193" s="69"/>
      <c r="AX193" s="69"/>
      <c r="AY193" s="68"/>
      <c r="AZ193" s="68"/>
      <c r="BA193" s="68"/>
      <c r="BB193" s="68"/>
      <c r="BC193" s="69"/>
      <c r="BD193" s="69"/>
      <c r="BE193" s="56" t="s">
        <v>277</v>
      </c>
      <c r="BF193" s="56" t="s">
        <v>277</v>
      </c>
      <c r="BG193" s="56" t="s">
        <v>277</v>
      </c>
      <c r="BH193" s="56" t="s">
        <v>277</v>
      </c>
      <c r="BI193" s="69">
        <v>0</v>
      </c>
      <c r="BJ193" s="69">
        <v>0</v>
      </c>
      <c r="BK193" s="69">
        <v>0</v>
      </c>
      <c r="BL193" s="69">
        <v>0</v>
      </c>
      <c r="BM193" s="69">
        <v>0</v>
      </c>
      <c r="BN193" s="69">
        <v>0</v>
      </c>
      <c r="BO193" s="69">
        <v>0</v>
      </c>
      <c r="BP193" s="69">
        <v>0</v>
      </c>
      <c r="BQ193" s="69"/>
      <c r="BR193" s="69" t="s">
        <v>382</v>
      </c>
      <c r="BS193" s="69" t="s">
        <v>440</v>
      </c>
      <c r="BT193" s="68">
        <v>0</v>
      </c>
      <c r="BU193" s="68">
        <v>0</v>
      </c>
      <c r="BV193" s="68">
        <v>0</v>
      </c>
      <c r="BW193" s="94">
        <v>0</v>
      </c>
      <c r="BX193" s="94">
        <v>0</v>
      </c>
      <c r="BY193" s="94">
        <v>0</v>
      </c>
      <c r="BZ193" s="94">
        <v>0</v>
      </c>
      <c r="CA193" s="94">
        <v>0</v>
      </c>
      <c r="CB193" s="94">
        <v>0</v>
      </c>
      <c r="CC193" s="94">
        <v>0</v>
      </c>
      <c r="CD193" s="94">
        <v>0</v>
      </c>
      <c r="CE193" s="94">
        <v>0</v>
      </c>
      <c r="CF193" s="108">
        <f>SUM(BT193:CE193)</f>
        <v>0</v>
      </c>
      <c r="CG193" s="108">
        <f>$CF193-$AF193</f>
        <v>0</v>
      </c>
      <c r="CH193" s="37" t="s">
        <v>289</v>
      </c>
      <c r="CI193" s="37" t="s">
        <v>290</v>
      </c>
      <c r="CJ193" s="87" t="s">
        <v>277</v>
      </c>
      <c r="CK193" s="37" t="s">
        <v>290</v>
      </c>
      <c r="CL193" s="87" t="s">
        <v>277</v>
      </c>
      <c r="CM193" s="87" t="s">
        <v>277</v>
      </c>
      <c r="CN193" s="37" t="s">
        <v>600</v>
      </c>
      <c r="CO193" s="87" t="s">
        <v>277</v>
      </c>
      <c r="CP193" s="41">
        <v>46023</v>
      </c>
      <c r="CQ193" s="41">
        <v>46143</v>
      </c>
      <c r="CR193" s="87" t="s">
        <v>293</v>
      </c>
      <c r="CS193" s="37" t="s">
        <v>322</v>
      </c>
      <c r="CT193" s="37" t="s">
        <v>295</v>
      </c>
      <c r="CU193" s="37" t="s">
        <v>445</v>
      </c>
      <c r="CV193" s="37" t="s">
        <v>1564</v>
      </c>
      <c r="CW193" s="37" t="s">
        <v>1640</v>
      </c>
      <c r="CX193" s="37" t="s">
        <v>277</v>
      </c>
      <c r="CY193" s="37">
        <v>61249800</v>
      </c>
      <c r="CZ193" s="128">
        <v>46023</v>
      </c>
      <c r="DA193" s="87" t="s">
        <v>277</v>
      </c>
      <c r="DB193" s="37" t="s">
        <v>277</v>
      </c>
      <c r="DC193" s="37" t="s">
        <v>277</v>
      </c>
      <c r="DD193" s="68"/>
      <c r="DE193" s="68"/>
      <c r="DF193" s="68"/>
      <c r="DG193" s="68"/>
      <c r="DH193" s="68"/>
      <c r="DI193" s="68"/>
      <c r="DJ193" s="68"/>
      <c r="DK193" s="68"/>
      <c r="DL193" s="68"/>
      <c r="DM193" s="68"/>
      <c r="DN193" s="68"/>
      <c r="DO193" s="68"/>
      <c r="DP193" s="68">
        <f>SUM(DD193:DO193)</f>
        <v>0</v>
      </c>
      <c r="DQ193" s="68">
        <f>DP193-AB193</f>
        <v>0</v>
      </c>
      <c r="DR193" s="68">
        <f>$DD193</f>
        <v>0</v>
      </c>
      <c r="DS193" s="68">
        <f>DR193+DE193</f>
        <v>0</v>
      </c>
      <c r="DT193" s="68">
        <f>DS193+DF193</f>
        <v>0</v>
      </c>
      <c r="DU193" s="68">
        <f>DT193+DG193</f>
        <v>0</v>
      </c>
      <c r="DV193" s="68">
        <f>DU193+DH193</f>
        <v>0</v>
      </c>
      <c r="DW193" s="68">
        <f>DV193+DI193</f>
        <v>0</v>
      </c>
      <c r="DX193" s="68">
        <f>DW193+DJ193</f>
        <v>0</v>
      </c>
      <c r="DY193" s="68">
        <f>DX193+DK193</f>
        <v>0</v>
      </c>
      <c r="DZ193" s="68">
        <f>DY193+DL193</f>
        <v>0</v>
      </c>
      <c r="EA193" s="68">
        <f>DZ193+DM193</f>
        <v>0</v>
      </c>
      <c r="EB193" s="68">
        <f>EA193+DN193</f>
        <v>0</v>
      </c>
      <c r="EC193" s="68">
        <f>EB193+DO193</f>
        <v>0</v>
      </c>
      <c r="ED193" s="68">
        <f>$EC193-$AB193</f>
        <v>0</v>
      </c>
    </row>
    <row r="194" spans="1:134" ht="60">
      <c r="A194" s="74"/>
      <c r="B194" s="50">
        <v>164</v>
      </c>
      <c r="C194" s="50" t="s">
        <v>269</v>
      </c>
      <c r="D194" s="50" t="s">
        <v>270</v>
      </c>
      <c r="E194" s="52" t="s">
        <v>1641</v>
      </c>
      <c r="F194" s="50" t="s">
        <v>272</v>
      </c>
      <c r="G194" s="50" t="s">
        <v>273</v>
      </c>
      <c r="H194" s="37" t="s">
        <v>151</v>
      </c>
      <c r="I194" s="37" t="s">
        <v>1556</v>
      </c>
      <c r="J194" s="37" t="s">
        <v>1288</v>
      </c>
      <c r="K194" s="50" t="s">
        <v>3</v>
      </c>
      <c r="L194" s="50" t="s">
        <v>14</v>
      </c>
      <c r="M194" s="50" t="s">
        <v>16</v>
      </c>
      <c r="N194" s="50" t="s">
        <v>276</v>
      </c>
      <c r="O194" s="37" t="s">
        <v>3</v>
      </c>
      <c r="P194" s="37" t="s">
        <v>14</v>
      </c>
      <c r="Q194" s="37" t="s">
        <v>16</v>
      </c>
      <c r="R194" s="37" t="s">
        <v>276</v>
      </c>
      <c r="S194" s="50" t="s">
        <v>277</v>
      </c>
      <c r="T194" s="50" t="s">
        <v>277</v>
      </c>
      <c r="U194" s="50" t="s">
        <v>1642</v>
      </c>
      <c r="V194" s="56" t="s">
        <v>277</v>
      </c>
      <c r="W194" s="56" t="s">
        <v>1643</v>
      </c>
      <c r="X194" s="38" t="s">
        <v>1643</v>
      </c>
      <c r="Y194" s="60">
        <v>85000000</v>
      </c>
      <c r="Z194" s="60"/>
      <c r="AA194" s="60"/>
      <c r="AB194" s="60"/>
      <c r="AC194" s="61"/>
      <c r="AD194" s="61"/>
      <c r="AE194" s="109">
        <v>0</v>
      </c>
      <c r="AF194" s="109">
        <v>0</v>
      </c>
      <c r="AG194" s="108">
        <f>$AR194+$AZ194+$BQ194+$BT194+$BU194+$BV194</f>
        <v>0</v>
      </c>
      <c r="AH194" s="121">
        <f>AF194-AG194</f>
        <v>0</v>
      </c>
      <c r="AI194" s="39" t="s">
        <v>1559</v>
      </c>
      <c r="AJ194" s="200"/>
      <c r="AK194" s="200"/>
      <c r="AL194" s="39"/>
      <c r="AM194" s="68"/>
      <c r="AN194" s="68"/>
      <c r="AO194" s="68"/>
      <c r="AP194" s="68"/>
      <c r="AQ194" s="68"/>
      <c r="AR194" s="68"/>
      <c r="AS194" s="68"/>
      <c r="AT194" s="68"/>
      <c r="AU194" s="69"/>
      <c r="AV194" s="69"/>
      <c r="AW194" s="69"/>
      <c r="AX194" s="69"/>
      <c r="AY194" s="68"/>
      <c r="AZ194" s="68"/>
      <c r="BA194" s="68"/>
      <c r="BB194" s="68"/>
      <c r="BC194" s="69"/>
      <c r="BD194" s="69"/>
      <c r="BE194" s="56" t="s">
        <v>277</v>
      </c>
      <c r="BF194" s="56" t="s">
        <v>277</v>
      </c>
      <c r="BG194" s="56" t="s">
        <v>277</v>
      </c>
      <c r="BH194" s="56" t="s">
        <v>277</v>
      </c>
      <c r="BI194" s="69">
        <v>0</v>
      </c>
      <c r="BJ194" s="69">
        <v>0</v>
      </c>
      <c r="BK194" s="69">
        <v>0</v>
      </c>
      <c r="BL194" s="69">
        <v>0</v>
      </c>
      <c r="BM194" s="69">
        <v>0</v>
      </c>
      <c r="BN194" s="69">
        <v>0</v>
      </c>
      <c r="BO194" s="69">
        <v>0</v>
      </c>
      <c r="BP194" s="69">
        <v>0</v>
      </c>
      <c r="BQ194" s="69"/>
      <c r="BR194" s="69" t="s">
        <v>382</v>
      </c>
      <c r="BS194" s="69" t="s">
        <v>440</v>
      </c>
      <c r="BT194" s="68">
        <v>0</v>
      </c>
      <c r="BU194" s="68">
        <v>0</v>
      </c>
      <c r="BV194" s="68">
        <v>0</v>
      </c>
      <c r="BW194" s="94">
        <v>0</v>
      </c>
      <c r="BX194" s="94">
        <v>0</v>
      </c>
      <c r="BY194" s="94">
        <v>0</v>
      </c>
      <c r="BZ194" s="94">
        <v>0</v>
      </c>
      <c r="CA194" s="94">
        <v>0</v>
      </c>
      <c r="CB194" s="94">
        <v>0</v>
      </c>
      <c r="CC194" s="94">
        <v>0</v>
      </c>
      <c r="CD194" s="94">
        <v>0</v>
      </c>
      <c r="CE194" s="94">
        <v>0</v>
      </c>
      <c r="CF194" s="108">
        <f>SUM(BT194:CE194)</f>
        <v>0</v>
      </c>
      <c r="CG194" s="108">
        <f>$CF194-$AF194</f>
        <v>0</v>
      </c>
      <c r="CH194" s="37" t="s">
        <v>289</v>
      </c>
      <c r="CI194" s="37" t="s">
        <v>290</v>
      </c>
      <c r="CJ194" s="37" t="s">
        <v>277</v>
      </c>
      <c r="CK194" s="37" t="s">
        <v>290</v>
      </c>
      <c r="CL194" s="37" t="s">
        <v>277</v>
      </c>
      <c r="CM194" s="37" t="s">
        <v>277</v>
      </c>
      <c r="CN194" s="37" t="s">
        <v>600</v>
      </c>
      <c r="CO194" s="37" t="s">
        <v>277</v>
      </c>
      <c r="CP194" s="91" t="s">
        <v>277</v>
      </c>
      <c r="CQ194" s="91" t="s">
        <v>277</v>
      </c>
      <c r="CR194" s="87" t="s">
        <v>293</v>
      </c>
      <c r="CS194" s="37" t="s">
        <v>322</v>
      </c>
      <c r="CT194" s="37" t="s">
        <v>295</v>
      </c>
      <c r="CU194" s="37" t="s">
        <v>445</v>
      </c>
      <c r="CV194" s="37" t="s">
        <v>1564</v>
      </c>
      <c r="CW194" s="37" t="s">
        <v>1644</v>
      </c>
      <c r="CX194" s="45" t="s">
        <v>277</v>
      </c>
      <c r="CY194" s="37">
        <v>85000000</v>
      </c>
      <c r="CZ194" s="123">
        <v>46023</v>
      </c>
      <c r="DA194" s="45" t="s">
        <v>277</v>
      </c>
      <c r="DB194" s="45" t="s">
        <v>277</v>
      </c>
      <c r="DC194" s="45" t="s">
        <v>277</v>
      </c>
      <c r="DD194" s="68"/>
      <c r="DE194" s="68"/>
      <c r="DF194" s="68"/>
      <c r="DG194" s="68"/>
      <c r="DH194" s="68"/>
      <c r="DI194" s="68"/>
      <c r="DJ194" s="68"/>
      <c r="DK194" s="68"/>
      <c r="DL194" s="68"/>
      <c r="DM194" s="68"/>
      <c r="DN194" s="68"/>
      <c r="DO194" s="68"/>
      <c r="DP194" s="68">
        <f>SUM(DD194:DO194)</f>
        <v>0</v>
      </c>
      <c r="DQ194" s="68">
        <f>DP194-AB194</f>
        <v>0</v>
      </c>
      <c r="DR194" s="68">
        <f>$DD194</f>
        <v>0</v>
      </c>
      <c r="DS194" s="68">
        <f>DR194+DE194</f>
        <v>0</v>
      </c>
      <c r="DT194" s="68">
        <f>DS194+DF194</f>
        <v>0</v>
      </c>
      <c r="DU194" s="68">
        <f>DT194+DG194</f>
        <v>0</v>
      </c>
      <c r="DV194" s="68">
        <f>DU194+DH194</f>
        <v>0</v>
      </c>
      <c r="DW194" s="68">
        <f>DV194+DI194</f>
        <v>0</v>
      </c>
      <c r="DX194" s="68">
        <f>DW194+DJ194</f>
        <v>0</v>
      </c>
      <c r="DY194" s="68">
        <f>DX194+DK194</f>
        <v>0</v>
      </c>
      <c r="DZ194" s="68">
        <f>DY194+DL194</f>
        <v>0</v>
      </c>
      <c r="EA194" s="68">
        <f>DZ194+DM194</f>
        <v>0</v>
      </c>
      <c r="EB194" s="68">
        <f>EA194+DN194</f>
        <v>0</v>
      </c>
      <c r="EC194" s="68">
        <f>EB194+DO194</f>
        <v>0</v>
      </c>
      <c r="ED194" s="68">
        <f>$EC194-$AB194</f>
        <v>0</v>
      </c>
    </row>
    <row r="195" spans="1:134" ht="60">
      <c r="A195" s="74"/>
      <c r="B195" s="50">
        <v>166</v>
      </c>
      <c r="C195" s="50" t="s">
        <v>269</v>
      </c>
      <c r="D195" s="50" t="s">
        <v>270</v>
      </c>
      <c r="E195" s="52" t="s">
        <v>1645</v>
      </c>
      <c r="F195" s="50" t="s">
        <v>272</v>
      </c>
      <c r="G195" s="50" t="s">
        <v>273</v>
      </c>
      <c r="H195" s="37" t="s">
        <v>151</v>
      </c>
      <c r="I195" s="37" t="s">
        <v>1556</v>
      </c>
      <c r="J195" s="37" t="s">
        <v>1288</v>
      </c>
      <c r="K195" s="50" t="s">
        <v>3</v>
      </c>
      <c r="L195" s="50" t="s">
        <v>14</v>
      </c>
      <c r="M195" s="50" t="s">
        <v>16</v>
      </c>
      <c r="N195" s="50" t="s">
        <v>276</v>
      </c>
      <c r="O195" s="37" t="s">
        <v>3</v>
      </c>
      <c r="P195" s="37" t="s">
        <v>14</v>
      </c>
      <c r="Q195" s="37" t="s">
        <v>16</v>
      </c>
      <c r="R195" s="37" t="s">
        <v>276</v>
      </c>
      <c r="S195" s="50" t="s">
        <v>277</v>
      </c>
      <c r="T195" s="50" t="s">
        <v>277</v>
      </c>
      <c r="U195" s="50" t="s">
        <v>1646</v>
      </c>
      <c r="V195" s="56" t="s">
        <v>277</v>
      </c>
      <c r="W195" s="56" t="s">
        <v>1647</v>
      </c>
      <c r="X195" s="38" t="s">
        <v>1647</v>
      </c>
      <c r="Y195" s="64">
        <v>160300000</v>
      </c>
      <c r="Z195" s="60"/>
      <c r="AA195" s="60"/>
      <c r="AB195" s="60"/>
      <c r="AC195" s="61"/>
      <c r="AD195" s="61"/>
      <c r="AE195" s="109">
        <v>0</v>
      </c>
      <c r="AF195" s="109">
        <v>0</v>
      </c>
      <c r="AG195" s="108">
        <f>$AR195+$AZ195+$BQ195+$BT195+$BU195+$BV195</f>
        <v>0</v>
      </c>
      <c r="AH195" s="121">
        <f>AF195-AG195</f>
        <v>0</v>
      </c>
      <c r="AI195" s="39" t="s">
        <v>1559</v>
      </c>
      <c r="AJ195" s="200"/>
      <c r="AK195" s="200"/>
      <c r="AL195" s="39"/>
      <c r="AM195" s="68"/>
      <c r="AN195" s="68"/>
      <c r="AO195" s="68"/>
      <c r="AP195" s="68"/>
      <c r="AQ195" s="68"/>
      <c r="AR195" s="68"/>
      <c r="AS195" s="68"/>
      <c r="AT195" s="68"/>
      <c r="AU195" s="69"/>
      <c r="AV195" s="69"/>
      <c r="AW195" s="69"/>
      <c r="AX195" s="69"/>
      <c r="AY195" s="68"/>
      <c r="AZ195" s="68"/>
      <c r="BA195" s="68"/>
      <c r="BB195" s="68"/>
      <c r="BC195" s="69"/>
      <c r="BD195" s="69"/>
      <c r="BE195" s="56" t="s">
        <v>277</v>
      </c>
      <c r="BF195" s="56" t="s">
        <v>277</v>
      </c>
      <c r="BG195" s="56" t="s">
        <v>277</v>
      </c>
      <c r="BH195" s="56" t="s">
        <v>277</v>
      </c>
      <c r="BI195" s="69">
        <v>0</v>
      </c>
      <c r="BJ195" s="69">
        <v>0</v>
      </c>
      <c r="BK195" s="69">
        <v>0</v>
      </c>
      <c r="BL195" s="69">
        <v>0</v>
      </c>
      <c r="BM195" s="69">
        <v>0</v>
      </c>
      <c r="BN195" s="69">
        <v>0</v>
      </c>
      <c r="BO195" s="69">
        <v>0</v>
      </c>
      <c r="BP195" s="69">
        <v>0</v>
      </c>
      <c r="BQ195" s="69"/>
      <c r="BR195" s="69" t="s">
        <v>382</v>
      </c>
      <c r="BS195" s="69" t="s">
        <v>440</v>
      </c>
      <c r="BT195" s="68">
        <v>0</v>
      </c>
      <c r="BU195" s="68">
        <v>0</v>
      </c>
      <c r="BV195" s="68">
        <v>0</v>
      </c>
      <c r="BW195" s="94">
        <v>0</v>
      </c>
      <c r="BX195" s="94">
        <v>0</v>
      </c>
      <c r="BY195" s="94">
        <v>0</v>
      </c>
      <c r="BZ195" s="94">
        <v>0</v>
      </c>
      <c r="CA195" s="94">
        <v>0</v>
      </c>
      <c r="CB195" s="94">
        <v>0</v>
      </c>
      <c r="CC195" s="94">
        <v>0</v>
      </c>
      <c r="CD195" s="94">
        <v>0</v>
      </c>
      <c r="CE195" s="94">
        <v>0</v>
      </c>
      <c r="CF195" s="108">
        <f>SUM(BT195:CE195)</f>
        <v>0</v>
      </c>
      <c r="CG195" s="108">
        <f>$CF195-$AF195</f>
        <v>0</v>
      </c>
      <c r="CH195" s="37" t="s">
        <v>289</v>
      </c>
      <c r="CI195" s="37" t="s">
        <v>290</v>
      </c>
      <c r="CJ195" s="37" t="s">
        <v>277</v>
      </c>
      <c r="CK195" s="37" t="s">
        <v>290</v>
      </c>
      <c r="CL195" s="37" t="s">
        <v>277</v>
      </c>
      <c r="CM195" s="37" t="s">
        <v>277</v>
      </c>
      <c r="CN195" s="37" t="s">
        <v>290</v>
      </c>
      <c r="CO195" s="37" t="s">
        <v>277</v>
      </c>
      <c r="CP195" s="91" t="s">
        <v>277</v>
      </c>
      <c r="CQ195" s="91" t="s">
        <v>277</v>
      </c>
      <c r="CR195" s="87" t="s">
        <v>293</v>
      </c>
      <c r="CS195" s="37" t="s">
        <v>322</v>
      </c>
      <c r="CT195" s="37" t="s">
        <v>295</v>
      </c>
      <c r="CU195" s="37" t="s">
        <v>296</v>
      </c>
      <c r="CV195" s="37" t="s">
        <v>1065</v>
      </c>
      <c r="CW195" s="37" t="s">
        <v>1648</v>
      </c>
      <c r="CX195" s="37" t="s">
        <v>277</v>
      </c>
      <c r="CY195" s="37">
        <v>160300000</v>
      </c>
      <c r="CZ195" s="123">
        <v>46023</v>
      </c>
      <c r="DA195" s="87" t="s">
        <v>277</v>
      </c>
      <c r="DB195" s="37" t="s">
        <v>277</v>
      </c>
      <c r="DC195" s="37" t="s">
        <v>277</v>
      </c>
      <c r="DD195" s="68"/>
      <c r="DE195" s="68"/>
      <c r="DF195" s="68"/>
      <c r="DG195" s="68"/>
      <c r="DH195" s="68"/>
      <c r="DI195" s="68"/>
      <c r="DJ195" s="68"/>
      <c r="DK195" s="68"/>
      <c r="DL195" s="68"/>
      <c r="DM195" s="68"/>
      <c r="DN195" s="68"/>
      <c r="DO195" s="68"/>
      <c r="DP195" s="68">
        <f>SUM(DD195:DO195)</f>
        <v>0</v>
      </c>
      <c r="DQ195" s="68">
        <f>DP195-AB195</f>
        <v>0</v>
      </c>
      <c r="DR195" s="68">
        <f>$DD195</f>
        <v>0</v>
      </c>
      <c r="DS195" s="68">
        <f>DR195+DE195</f>
        <v>0</v>
      </c>
      <c r="DT195" s="68">
        <f>DS195+DF195</f>
        <v>0</v>
      </c>
      <c r="DU195" s="68">
        <f>DT195+DG195</f>
        <v>0</v>
      </c>
      <c r="DV195" s="68">
        <f>DU195+DH195</f>
        <v>0</v>
      </c>
      <c r="DW195" s="68">
        <f>DV195+DI195</f>
        <v>0</v>
      </c>
      <c r="DX195" s="68">
        <f>DW195+DJ195</f>
        <v>0</v>
      </c>
      <c r="DY195" s="68">
        <f>DX195+DK195</f>
        <v>0</v>
      </c>
      <c r="DZ195" s="68">
        <f>DY195+DL195</f>
        <v>0</v>
      </c>
      <c r="EA195" s="68">
        <f>DZ195+DM195</f>
        <v>0</v>
      </c>
      <c r="EB195" s="68">
        <f>EA195+DN195</f>
        <v>0</v>
      </c>
      <c r="EC195" s="68">
        <f>EB195+DO195</f>
        <v>0</v>
      </c>
      <c r="ED195" s="68">
        <f>$EC195-$AB195</f>
        <v>0</v>
      </c>
    </row>
    <row r="196" spans="1:134" ht="60">
      <c r="B196" s="54"/>
      <c r="C196" s="50" t="s">
        <v>269</v>
      </c>
      <c r="D196" s="50" t="s">
        <v>270</v>
      </c>
      <c r="E196" s="55" t="s">
        <v>1649</v>
      </c>
      <c r="F196" s="50" t="s">
        <v>272</v>
      </c>
      <c r="G196" s="50" t="s">
        <v>273</v>
      </c>
      <c r="H196" s="37" t="s">
        <v>151</v>
      </c>
      <c r="I196" s="37" t="s">
        <v>274</v>
      </c>
      <c r="J196" s="37" t="s">
        <v>277</v>
      </c>
      <c r="K196" s="50" t="s">
        <v>3</v>
      </c>
      <c r="L196" s="50" t="s">
        <v>14</v>
      </c>
      <c r="M196" s="50" t="s">
        <v>16</v>
      </c>
      <c r="N196" s="50" t="s">
        <v>276</v>
      </c>
      <c r="O196" s="37" t="s">
        <v>3</v>
      </c>
      <c r="P196" s="37" t="s">
        <v>14</v>
      </c>
      <c r="Q196" s="37" t="s">
        <v>16</v>
      </c>
      <c r="R196" s="37" t="s">
        <v>276</v>
      </c>
      <c r="S196" s="50" t="s">
        <v>277</v>
      </c>
      <c r="T196" s="50">
        <v>158</v>
      </c>
      <c r="U196" s="50" t="s">
        <v>1650</v>
      </c>
      <c r="V196" s="56" t="s">
        <v>277</v>
      </c>
      <c r="W196" s="57" t="s">
        <v>1651</v>
      </c>
      <c r="X196" s="46" t="s">
        <v>1651</v>
      </c>
      <c r="Y196" s="64">
        <v>9999620000</v>
      </c>
      <c r="Z196" s="65">
        <v>0</v>
      </c>
      <c r="AA196" s="65"/>
      <c r="AB196" s="65">
        <f>Z196+AA196</f>
        <v>0</v>
      </c>
      <c r="AC196" s="66"/>
      <c r="AD196" s="66"/>
      <c r="AE196" s="119">
        <f>$AR196+$AZ196+$BQ196+$BT196+$BU196+$BV196</f>
        <v>0</v>
      </c>
      <c r="AF196" s="119">
        <f>$AR196+$AZ196+$BQ196+$BT196+$BU196+$BV196</f>
        <v>0</v>
      </c>
      <c r="AG196" s="64">
        <f>$AR196+$AZ196+$BQ196+$BT196+$BU196+$BV196</f>
        <v>0</v>
      </c>
      <c r="AH196" s="121">
        <f>AF196-AG196</f>
        <v>0</v>
      </c>
      <c r="AI196" s="47" t="s">
        <v>277</v>
      </c>
      <c r="AJ196" s="202"/>
      <c r="AK196" s="202"/>
      <c r="AL196" s="47"/>
      <c r="AM196" s="54"/>
      <c r="AN196" s="54"/>
      <c r="AO196" s="54"/>
      <c r="AP196" s="54"/>
      <c r="AQ196" s="72"/>
      <c r="AR196" s="72"/>
      <c r="AS196" s="54"/>
      <c r="AT196" s="54"/>
      <c r="AU196" s="54"/>
      <c r="AV196" s="54"/>
      <c r="AW196" s="54"/>
      <c r="AX196" s="54"/>
      <c r="AY196" s="72"/>
      <c r="AZ196" s="72"/>
      <c r="BA196" s="54"/>
      <c r="BB196" s="54"/>
      <c r="BC196" s="54"/>
      <c r="BD196" s="54"/>
      <c r="BE196" s="57" t="s">
        <v>277</v>
      </c>
      <c r="BF196" s="57" t="s">
        <v>277</v>
      </c>
      <c r="BG196" s="57" t="s">
        <v>277</v>
      </c>
      <c r="BH196" s="57" t="s">
        <v>277</v>
      </c>
      <c r="BI196" s="54">
        <v>0</v>
      </c>
      <c r="BJ196" s="54">
        <v>0</v>
      </c>
      <c r="BK196" s="54">
        <v>0</v>
      </c>
      <c r="BL196" s="54">
        <v>0</v>
      </c>
      <c r="BM196" s="54">
        <v>0</v>
      </c>
      <c r="BN196" s="54">
        <v>0</v>
      </c>
      <c r="BO196" s="54">
        <v>0</v>
      </c>
      <c r="BP196" s="54">
        <v>0</v>
      </c>
      <c r="BQ196" s="54"/>
      <c r="BR196" s="69" t="s">
        <v>382</v>
      </c>
      <c r="BS196" s="69" t="s">
        <v>440</v>
      </c>
      <c r="BT196" s="72">
        <v>0</v>
      </c>
      <c r="BU196" s="72">
        <v>0</v>
      </c>
      <c r="BV196" s="72">
        <v>0</v>
      </c>
      <c r="BW196" s="94">
        <v>0</v>
      </c>
      <c r="BX196" s="94">
        <v>0</v>
      </c>
      <c r="BY196" s="94">
        <v>0</v>
      </c>
      <c r="BZ196" s="94">
        <v>0</v>
      </c>
      <c r="CA196" s="94">
        <v>0</v>
      </c>
      <c r="CB196" s="94">
        <v>0</v>
      </c>
      <c r="CC196" s="94">
        <v>0</v>
      </c>
      <c r="CD196" s="94">
        <v>0</v>
      </c>
      <c r="CE196" s="94">
        <v>0</v>
      </c>
      <c r="CF196" s="64">
        <f>SUM(BT196:CE196)</f>
        <v>0</v>
      </c>
      <c r="CG196" s="64">
        <f>$CF196-$AF196</f>
        <v>0</v>
      </c>
      <c r="CH196" s="87" t="s">
        <v>289</v>
      </c>
      <c r="CI196" s="87" t="s">
        <v>290</v>
      </c>
      <c r="CJ196" s="87" t="s">
        <v>277</v>
      </c>
      <c r="CK196" s="87" t="s">
        <v>290</v>
      </c>
      <c r="CL196" s="87" t="s">
        <v>277</v>
      </c>
      <c r="CM196" s="87" t="s">
        <v>277</v>
      </c>
      <c r="CN196" s="87" t="s">
        <v>290</v>
      </c>
      <c r="CO196" s="87" t="s">
        <v>277</v>
      </c>
      <c r="CP196" s="91" t="s">
        <v>277</v>
      </c>
      <c r="CQ196" s="91" t="s">
        <v>277</v>
      </c>
      <c r="CR196" s="87" t="s">
        <v>293</v>
      </c>
      <c r="CS196" s="87" t="s">
        <v>322</v>
      </c>
      <c r="CT196" s="87" t="s">
        <v>851</v>
      </c>
      <c r="CU196" s="91" t="s">
        <v>341</v>
      </c>
      <c r="CV196" s="91" t="s">
        <v>382</v>
      </c>
      <c r="CW196" s="87" t="s">
        <v>277</v>
      </c>
      <c r="CX196" s="87" t="s">
        <v>277</v>
      </c>
      <c r="CY196" s="87" t="s">
        <v>277</v>
      </c>
      <c r="CZ196" s="45" t="s">
        <v>277</v>
      </c>
      <c r="DA196" s="45" t="s">
        <v>277</v>
      </c>
      <c r="DB196" s="45" t="s">
        <v>277</v>
      </c>
      <c r="DC196" s="45" t="s">
        <v>277</v>
      </c>
      <c r="DD196" s="54"/>
      <c r="DE196" s="54"/>
      <c r="DF196" s="54"/>
      <c r="DG196" s="54"/>
      <c r="DH196" s="54"/>
      <c r="DI196" s="54"/>
      <c r="DJ196" s="54"/>
      <c r="DK196" s="54"/>
      <c r="DL196" s="54"/>
      <c r="DM196" s="54"/>
      <c r="DN196" s="54"/>
      <c r="DO196" s="54"/>
      <c r="DP196" s="54">
        <f>SUM(DD196:DO196)</f>
        <v>0</v>
      </c>
      <c r="DQ196" s="54">
        <f>DP196-AB196</f>
        <v>0</v>
      </c>
      <c r="DR196" s="54">
        <f>$DD196</f>
        <v>0</v>
      </c>
      <c r="DS196" s="54">
        <f>DR196+DE196</f>
        <v>0</v>
      </c>
      <c r="DT196" s="54">
        <f>DS196+DF196</f>
        <v>0</v>
      </c>
      <c r="DU196" s="54">
        <f>DT196+DG196</f>
        <v>0</v>
      </c>
      <c r="DV196" s="54">
        <f>DU196+DH196</f>
        <v>0</v>
      </c>
      <c r="DW196" s="54">
        <f>DV196+DI196</f>
        <v>0</v>
      </c>
      <c r="DX196" s="54">
        <f>DW196+DJ196</f>
        <v>0</v>
      </c>
      <c r="DY196" s="54">
        <f>DX196+DK196</f>
        <v>0</v>
      </c>
      <c r="DZ196" s="54">
        <f>DY196+DL196</f>
        <v>0</v>
      </c>
      <c r="EA196" s="54">
        <f>DZ196+DM196</f>
        <v>0</v>
      </c>
      <c r="EB196" s="54">
        <f>EA196+DN196</f>
        <v>0</v>
      </c>
      <c r="EC196" s="54">
        <f>EB196+DO196</f>
        <v>0</v>
      </c>
      <c r="ED196" s="54">
        <f>$EC196-$AB196</f>
        <v>0</v>
      </c>
    </row>
    <row r="197" spans="1:134" ht="30">
      <c r="B197" s="54"/>
      <c r="C197" s="50" t="s">
        <v>269</v>
      </c>
      <c r="D197" s="50" t="s">
        <v>270</v>
      </c>
      <c r="E197" s="55" t="s">
        <v>1652</v>
      </c>
      <c r="F197" s="50" t="s">
        <v>272</v>
      </c>
      <c r="G197" s="50" t="s">
        <v>273</v>
      </c>
      <c r="H197" s="37" t="s">
        <v>151</v>
      </c>
      <c r="I197" s="37" t="s">
        <v>274</v>
      </c>
      <c r="J197" s="37" t="s">
        <v>277</v>
      </c>
      <c r="K197" s="50" t="s">
        <v>3</v>
      </c>
      <c r="L197" s="50" t="s">
        <v>14</v>
      </c>
      <c r="M197" s="50" t="s">
        <v>16</v>
      </c>
      <c r="N197" s="50" t="s">
        <v>276</v>
      </c>
      <c r="O197" s="37" t="s">
        <v>3</v>
      </c>
      <c r="P197" s="37" t="s">
        <v>14</v>
      </c>
      <c r="Q197" s="37" t="s">
        <v>16</v>
      </c>
      <c r="R197" s="37" t="s">
        <v>276</v>
      </c>
      <c r="S197" s="50" t="s">
        <v>277</v>
      </c>
      <c r="T197" s="50">
        <v>162</v>
      </c>
      <c r="U197" s="50" t="s">
        <v>1653</v>
      </c>
      <c r="V197" s="56" t="s">
        <v>277</v>
      </c>
      <c r="W197" s="57" t="s">
        <v>1654</v>
      </c>
      <c r="X197" s="46" t="s">
        <v>1654</v>
      </c>
      <c r="Y197" s="64">
        <v>7058483850.6000004</v>
      </c>
      <c r="Z197" s="65">
        <v>0</v>
      </c>
      <c r="AA197" s="65">
        <v>0</v>
      </c>
      <c r="AB197" s="65">
        <f>Z197+AA197</f>
        <v>0</v>
      </c>
      <c r="AC197" s="66"/>
      <c r="AD197" s="66"/>
      <c r="AE197" s="119">
        <f>$AR197+$AZ197+$BQ197+$BT197+$BU197+$BV197</f>
        <v>0</v>
      </c>
      <c r="AF197" s="119">
        <f>$AR197+$AZ197+$BQ197+$BT197+$BU197+$BV197</f>
        <v>0</v>
      </c>
      <c r="AG197" s="64">
        <f>$AR197+$AZ197+$BQ197+$BT197+$BU197+$BV197</f>
        <v>0</v>
      </c>
      <c r="AH197" s="121">
        <f>AF197-AG197</f>
        <v>0</v>
      </c>
      <c r="AI197" s="47" t="s">
        <v>277</v>
      </c>
      <c r="AJ197" s="202"/>
      <c r="AK197" s="202"/>
      <c r="AL197" s="47"/>
      <c r="AM197" s="54"/>
      <c r="AN197" s="54"/>
      <c r="AO197" s="54"/>
      <c r="AP197" s="54"/>
      <c r="AQ197" s="72"/>
      <c r="AR197" s="72"/>
      <c r="AS197" s="54"/>
      <c r="AT197" s="54"/>
      <c r="AU197" s="54"/>
      <c r="AV197" s="54"/>
      <c r="AW197" s="54"/>
      <c r="AX197" s="54"/>
      <c r="AY197" s="72"/>
      <c r="AZ197" s="72"/>
      <c r="BA197" s="54"/>
      <c r="BB197" s="54"/>
      <c r="BC197" s="54"/>
      <c r="BD197" s="54"/>
      <c r="BE197" s="57" t="s">
        <v>277</v>
      </c>
      <c r="BF197" s="57" t="s">
        <v>277</v>
      </c>
      <c r="BG197" s="57" t="s">
        <v>277</v>
      </c>
      <c r="BH197" s="57" t="s">
        <v>277</v>
      </c>
      <c r="BI197" s="54">
        <v>0</v>
      </c>
      <c r="BJ197" s="54">
        <v>0</v>
      </c>
      <c r="BK197" s="54">
        <v>0</v>
      </c>
      <c r="BL197" s="54">
        <v>0</v>
      </c>
      <c r="BM197" s="54">
        <v>0</v>
      </c>
      <c r="BN197" s="54">
        <v>0</v>
      </c>
      <c r="BO197" s="54">
        <v>0</v>
      </c>
      <c r="BP197" s="54">
        <v>0</v>
      </c>
      <c r="BQ197" s="54"/>
      <c r="BR197" s="69" t="s">
        <v>156</v>
      </c>
      <c r="BS197" s="69" t="s">
        <v>976</v>
      </c>
      <c r="BT197" s="72">
        <v>0</v>
      </c>
      <c r="BU197" s="72">
        <v>0</v>
      </c>
      <c r="BV197" s="72">
        <v>0</v>
      </c>
      <c r="BW197" s="94">
        <v>0</v>
      </c>
      <c r="BX197" s="94">
        <v>0</v>
      </c>
      <c r="BY197" s="94">
        <v>0</v>
      </c>
      <c r="BZ197" s="94">
        <v>0</v>
      </c>
      <c r="CA197" s="94">
        <v>0</v>
      </c>
      <c r="CB197" s="94">
        <v>0</v>
      </c>
      <c r="CC197" s="94">
        <v>0</v>
      </c>
      <c r="CD197" s="94">
        <v>0</v>
      </c>
      <c r="CE197" s="94">
        <v>0</v>
      </c>
      <c r="CF197" s="64">
        <f>SUM(BT197:CE197)</f>
        <v>0</v>
      </c>
      <c r="CG197" s="64">
        <f>$CF197-$AF197</f>
        <v>0</v>
      </c>
      <c r="CH197" s="87" t="s">
        <v>289</v>
      </c>
      <c r="CI197" s="87" t="s">
        <v>290</v>
      </c>
      <c r="CJ197" s="87" t="s">
        <v>277</v>
      </c>
      <c r="CK197" s="87" t="s">
        <v>290</v>
      </c>
      <c r="CL197" s="87" t="s">
        <v>277</v>
      </c>
      <c r="CM197" s="87" t="s">
        <v>277</v>
      </c>
      <c r="CN197" s="87" t="s">
        <v>290</v>
      </c>
      <c r="CO197" s="87" t="s">
        <v>277</v>
      </c>
      <c r="CP197" s="91" t="s">
        <v>277</v>
      </c>
      <c r="CQ197" s="91" t="s">
        <v>277</v>
      </c>
      <c r="CR197" s="87" t="s">
        <v>293</v>
      </c>
      <c r="CS197" s="87" t="s">
        <v>322</v>
      </c>
      <c r="CT197" s="87" t="s">
        <v>851</v>
      </c>
      <c r="CU197" s="87" t="s">
        <v>296</v>
      </c>
      <c r="CV197" s="91" t="s">
        <v>323</v>
      </c>
      <c r="CW197" s="87" t="s">
        <v>277</v>
      </c>
      <c r="CX197" s="87" t="s">
        <v>277</v>
      </c>
      <c r="CY197" s="87" t="s">
        <v>277</v>
      </c>
      <c r="CZ197" s="45" t="s">
        <v>277</v>
      </c>
      <c r="DA197" s="45" t="s">
        <v>277</v>
      </c>
      <c r="DB197" s="45" t="s">
        <v>277</v>
      </c>
      <c r="DC197" s="45" t="s">
        <v>277</v>
      </c>
      <c r="DD197" s="54"/>
      <c r="DE197" s="54"/>
      <c r="DF197" s="54"/>
      <c r="DG197" s="54"/>
      <c r="DH197" s="54"/>
      <c r="DI197" s="54"/>
      <c r="DJ197" s="54"/>
      <c r="DK197" s="54"/>
      <c r="DL197" s="54"/>
      <c r="DM197" s="54"/>
      <c r="DN197" s="54"/>
      <c r="DO197" s="54"/>
      <c r="DP197" s="54">
        <f>SUM(DD197:DO197)</f>
        <v>0</v>
      </c>
      <c r="DQ197" s="54">
        <f>DP197-AB197</f>
        <v>0</v>
      </c>
      <c r="DR197" s="54">
        <f>$DD197</f>
        <v>0</v>
      </c>
      <c r="DS197" s="54">
        <f>DR197+DE197</f>
        <v>0</v>
      </c>
      <c r="DT197" s="54">
        <f>DS197+DF197</f>
        <v>0</v>
      </c>
      <c r="DU197" s="54">
        <f>DT197+DG197</f>
        <v>0</v>
      </c>
      <c r="DV197" s="54">
        <f>DU197+DH197</f>
        <v>0</v>
      </c>
      <c r="DW197" s="54">
        <f>DV197+DI197</f>
        <v>0</v>
      </c>
      <c r="DX197" s="54">
        <f>DW197+DJ197</f>
        <v>0</v>
      </c>
      <c r="DY197" s="54">
        <f>DX197+DK197</f>
        <v>0</v>
      </c>
      <c r="DZ197" s="54">
        <f>DY197+DL197</f>
        <v>0</v>
      </c>
      <c r="EA197" s="54">
        <f>DZ197+DM197</f>
        <v>0</v>
      </c>
      <c r="EB197" s="54">
        <f>EA197+DN197</f>
        <v>0</v>
      </c>
      <c r="EC197" s="54">
        <f>EB197+DO197</f>
        <v>0</v>
      </c>
      <c r="ED197" s="54">
        <f>$EC197-$AB197</f>
        <v>0</v>
      </c>
    </row>
    <row r="198" spans="1:134" ht="60">
      <c r="A198" s="74"/>
      <c r="B198" s="50"/>
      <c r="C198" s="50" t="s">
        <v>269</v>
      </c>
      <c r="D198" s="50" t="s">
        <v>270</v>
      </c>
      <c r="E198" s="53" t="s">
        <v>1655</v>
      </c>
      <c r="F198" s="50" t="s">
        <v>272</v>
      </c>
      <c r="G198" s="50" t="s">
        <v>273</v>
      </c>
      <c r="H198" s="37" t="s">
        <v>151</v>
      </c>
      <c r="I198" s="37" t="s">
        <v>274</v>
      </c>
      <c r="J198" s="37" t="s">
        <v>902</v>
      </c>
      <c r="K198" s="50" t="s">
        <v>3</v>
      </c>
      <c r="L198" s="50" t="s">
        <v>25</v>
      </c>
      <c r="M198" s="50" t="s">
        <v>52</v>
      </c>
      <c r="N198" s="50" t="s">
        <v>276</v>
      </c>
      <c r="O198" s="37" t="s">
        <v>3</v>
      </c>
      <c r="P198" s="37" t="s">
        <v>25</v>
      </c>
      <c r="Q198" s="37" t="s">
        <v>52</v>
      </c>
      <c r="R198" s="37" t="s">
        <v>512</v>
      </c>
      <c r="S198" s="50"/>
      <c r="T198" s="58" t="s">
        <v>768</v>
      </c>
      <c r="U198" s="50" t="s">
        <v>1656</v>
      </c>
      <c r="V198" s="105" t="s">
        <v>277</v>
      </c>
      <c r="W198" s="105" t="s">
        <v>1657</v>
      </c>
      <c r="X198" s="87" t="s">
        <v>1657</v>
      </c>
      <c r="Y198" s="60">
        <v>6971910000</v>
      </c>
      <c r="Z198" s="60">
        <v>0</v>
      </c>
      <c r="AA198" s="60"/>
      <c r="AB198" s="60"/>
      <c r="AC198" s="61"/>
      <c r="AD198" s="61"/>
      <c r="AE198" s="109">
        <v>6971910000</v>
      </c>
      <c r="AF198" s="109">
        <v>0</v>
      </c>
      <c r="AG198" s="108">
        <f>$AR198+$AZ198+$BQ198+$BT198+$BU198+$BV198</f>
        <v>0</v>
      </c>
      <c r="AH198" s="121">
        <f>AF198-AG198</f>
        <v>0</v>
      </c>
      <c r="AI198" s="83" t="s">
        <v>277</v>
      </c>
      <c r="AJ198" s="107"/>
      <c r="AK198" s="107"/>
      <c r="AL198" s="83"/>
      <c r="AM198" s="68"/>
      <c r="AN198" s="68"/>
      <c r="AO198" s="68"/>
      <c r="AP198" s="68"/>
      <c r="AQ198" s="68"/>
      <c r="AR198" s="68"/>
      <c r="AS198" s="68"/>
      <c r="AT198" s="68"/>
      <c r="AU198" s="69"/>
      <c r="AV198" s="69"/>
      <c r="AW198" s="69"/>
      <c r="AX198" s="69"/>
      <c r="AY198" s="68"/>
      <c r="AZ198" s="68"/>
      <c r="BA198" s="68"/>
      <c r="BB198" s="68"/>
      <c r="BC198" s="69"/>
      <c r="BD198" s="69"/>
      <c r="BE198" s="56" t="s">
        <v>277</v>
      </c>
      <c r="BF198" s="56" t="s">
        <v>277</v>
      </c>
      <c r="BG198" s="56" t="s">
        <v>277</v>
      </c>
      <c r="BH198" s="56" t="s">
        <v>277</v>
      </c>
      <c r="BI198" s="69">
        <v>0</v>
      </c>
      <c r="BJ198" s="69">
        <v>0</v>
      </c>
      <c r="BK198" s="69">
        <v>0</v>
      </c>
      <c r="BL198" s="69">
        <v>0</v>
      </c>
      <c r="BM198" s="69">
        <v>0</v>
      </c>
      <c r="BN198" s="69">
        <v>0</v>
      </c>
      <c r="BO198" s="69">
        <v>0</v>
      </c>
      <c r="BP198" s="69">
        <v>0</v>
      </c>
      <c r="BQ198" s="69"/>
      <c r="BR198" s="69" t="s">
        <v>382</v>
      </c>
      <c r="BS198" s="69"/>
      <c r="BT198" s="68">
        <v>0</v>
      </c>
      <c r="BU198" s="68">
        <v>0</v>
      </c>
      <c r="BV198" s="68">
        <v>0</v>
      </c>
      <c r="BW198" s="94">
        <v>0</v>
      </c>
      <c r="BX198" s="94">
        <v>0</v>
      </c>
      <c r="BY198" s="94">
        <v>0</v>
      </c>
      <c r="BZ198" s="94">
        <v>0</v>
      </c>
      <c r="CA198" s="94">
        <v>0</v>
      </c>
      <c r="CB198" s="168">
        <v>0</v>
      </c>
      <c r="CC198" s="168">
        <v>0</v>
      </c>
      <c r="CD198" s="168">
        <v>0</v>
      </c>
      <c r="CE198" s="168">
        <v>0</v>
      </c>
      <c r="CF198" s="170">
        <f>SUM(BT198:CE198)</f>
        <v>0</v>
      </c>
      <c r="CG198" s="108">
        <f>$CF198-$AF198</f>
        <v>0</v>
      </c>
      <c r="CH198" s="37" t="s">
        <v>289</v>
      </c>
      <c r="CI198" s="37" t="s">
        <v>290</v>
      </c>
      <c r="CJ198" s="37" t="s">
        <v>277</v>
      </c>
      <c r="CK198" s="37" t="s">
        <v>290</v>
      </c>
      <c r="CL198" s="37" t="s">
        <v>277</v>
      </c>
      <c r="CM198" s="37" t="s">
        <v>277</v>
      </c>
      <c r="CN198" s="37" t="s">
        <v>290</v>
      </c>
      <c r="CO198" s="37" t="s">
        <v>277</v>
      </c>
      <c r="CP198" s="87" t="s">
        <v>277</v>
      </c>
      <c r="CQ198" s="87" t="s">
        <v>277</v>
      </c>
      <c r="CR198" s="37" t="s">
        <v>293</v>
      </c>
      <c r="CS198" s="37" t="s">
        <v>322</v>
      </c>
      <c r="CT198" s="37" t="s">
        <v>295</v>
      </c>
      <c r="CU198" s="89" t="s">
        <v>296</v>
      </c>
      <c r="CV198" s="37" t="s">
        <v>382</v>
      </c>
      <c r="CW198" s="45" t="s">
        <v>277</v>
      </c>
      <c r="CX198" s="45" t="s">
        <v>277</v>
      </c>
      <c r="CY198" s="45" t="s">
        <v>277</v>
      </c>
      <c r="CZ198" s="45" t="s">
        <v>277</v>
      </c>
      <c r="DA198" s="45" t="s">
        <v>277</v>
      </c>
      <c r="DB198" s="45" t="s">
        <v>277</v>
      </c>
      <c r="DC198" s="45" t="s">
        <v>277</v>
      </c>
      <c r="DD198" s="68"/>
      <c r="DE198" s="68"/>
      <c r="DF198" s="68"/>
      <c r="DG198" s="68"/>
      <c r="DH198" s="68"/>
      <c r="DI198" s="68"/>
      <c r="DJ198" s="68"/>
      <c r="DK198" s="68"/>
      <c r="DL198" s="68"/>
      <c r="DM198" s="68"/>
      <c r="DN198" s="68"/>
      <c r="DO198" s="68"/>
      <c r="DP198" s="68">
        <f>SUM(DD198:DO198)</f>
        <v>0</v>
      </c>
      <c r="DQ198" s="68">
        <f>DP198-AB198</f>
        <v>0</v>
      </c>
      <c r="DR198" s="68">
        <f>$DD198</f>
        <v>0</v>
      </c>
      <c r="DS198" s="68">
        <f>DR198+DE198</f>
        <v>0</v>
      </c>
      <c r="DT198" s="68">
        <f>DS198+DF198</f>
        <v>0</v>
      </c>
      <c r="DU198" s="68">
        <f>DT198+DG198</f>
        <v>0</v>
      </c>
      <c r="DV198" s="68">
        <f>DU198+DH198</f>
        <v>0</v>
      </c>
      <c r="DW198" s="68">
        <f>DV198+DI198</f>
        <v>0</v>
      </c>
      <c r="DX198" s="68">
        <f>DW198+DJ198</f>
        <v>0</v>
      </c>
      <c r="DY198" s="68">
        <f>DX198+DK198</f>
        <v>0</v>
      </c>
      <c r="DZ198" s="68">
        <f>DY198+DL198</f>
        <v>0</v>
      </c>
      <c r="EA198" s="68">
        <f>DZ198+DM198</f>
        <v>0</v>
      </c>
      <c r="EB198" s="68">
        <f>EA198+DN198</f>
        <v>0</v>
      </c>
      <c r="EC198" s="68">
        <f>EB198+DO198</f>
        <v>0</v>
      </c>
      <c r="ED198" s="68">
        <f>$EC198-$AB198</f>
        <v>0</v>
      </c>
    </row>
    <row r="199" spans="1:134" ht="45">
      <c r="B199" s="159"/>
      <c r="C199" s="160" t="s">
        <v>269</v>
      </c>
      <c r="D199" s="160" t="s">
        <v>270</v>
      </c>
      <c r="E199" s="160"/>
      <c r="F199" s="160" t="s">
        <v>272</v>
      </c>
      <c r="G199" s="160" t="s">
        <v>273</v>
      </c>
      <c r="H199" s="160" t="s">
        <v>151</v>
      </c>
      <c r="I199" s="160" t="s">
        <v>604</v>
      </c>
      <c r="J199" s="160" t="s">
        <v>605</v>
      </c>
      <c r="K199" s="160" t="s">
        <v>3</v>
      </c>
      <c r="L199" s="160" t="s">
        <v>25</v>
      </c>
      <c r="M199" s="160" t="s">
        <v>52</v>
      </c>
      <c r="N199" s="160"/>
      <c r="O199" s="160" t="s">
        <v>3</v>
      </c>
      <c r="P199" s="160" t="s">
        <v>25</v>
      </c>
      <c r="Q199" s="160" t="s">
        <v>52</v>
      </c>
      <c r="R199" s="158" t="s">
        <v>512</v>
      </c>
      <c r="S199" s="159" t="s">
        <v>277</v>
      </c>
      <c r="T199" s="159" t="s">
        <v>277</v>
      </c>
      <c r="U199" s="160" t="s">
        <v>277</v>
      </c>
      <c r="V199" s="159" t="s">
        <v>277</v>
      </c>
      <c r="W199" s="159" t="s">
        <v>277</v>
      </c>
      <c r="X199" s="161" t="s">
        <v>1658</v>
      </c>
      <c r="Y199" s="159"/>
      <c r="Z199" s="159"/>
      <c r="AA199" s="159"/>
      <c r="AB199" s="159"/>
      <c r="AC199" s="159"/>
      <c r="AD199" s="159"/>
      <c r="AE199" s="155">
        <v>72150000000</v>
      </c>
      <c r="AF199" s="155">
        <v>0</v>
      </c>
      <c r="AG199" s="155"/>
      <c r="AH199" s="121">
        <f>AF199-AG199</f>
        <v>0</v>
      </c>
      <c r="AI199" s="159" t="s">
        <v>1284</v>
      </c>
      <c r="AJ199" s="206"/>
      <c r="AK199" s="206"/>
      <c r="AL199" s="161"/>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159"/>
      <c r="BS199" s="159"/>
      <c r="BT199" s="159"/>
      <c r="BU199" s="159"/>
      <c r="BV199" s="159"/>
      <c r="BW199" s="155">
        <v>0</v>
      </c>
      <c r="BX199" s="155">
        <v>0</v>
      </c>
      <c r="BY199" s="155">
        <v>0</v>
      </c>
      <c r="BZ199" s="155">
        <v>0</v>
      </c>
      <c r="CA199" s="155">
        <v>0</v>
      </c>
      <c r="CB199" s="155">
        <v>0</v>
      </c>
      <c r="CC199" s="155">
        <v>0</v>
      </c>
      <c r="CD199" s="155">
        <v>0</v>
      </c>
      <c r="CE199" s="155">
        <v>0</v>
      </c>
      <c r="CF199" s="156">
        <f>SUM(BT199:CE199)</f>
        <v>0</v>
      </c>
      <c r="CG199" s="156">
        <f>$CF199-$AF199</f>
        <v>0</v>
      </c>
      <c r="CH199" s="160" t="s">
        <v>289</v>
      </c>
      <c r="CI199" s="160" t="s">
        <v>290</v>
      </c>
      <c r="CJ199" s="158" t="s">
        <v>277</v>
      </c>
      <c r="CK199" s="160" t="s">
        <v>291</v>
      </c>
      <c r="CL199" s="160" t="s">
        <v>608</v>
      </c>
      <c r="CM199" s="160" t="s">
        <v>608</v>
      </c>
      <c r="CN199" s="160" t="s">
        <v>290</v>
      </c>
      <c r="CO199" s="158" t="s">
        <v>277</v>
      </c>
      <c r="CP199" s="158" t="s">
        <v>277</v>
      </c>
      <c r="CQ199" s="158" t="s">
        <v>277</v>
      </c>
      <c r="CR199" s="158" t="s">
        <v>293</v>
      </c>
      <c r="CS199" s="160" t="s">
        <v>294</v>
      </c>
      <c r="CT199" s="158" t="s">
        <v>295</v>
      </c>
      <c r="CU199" s="160" t="s">
        <v>296</v>
      </c>
      <c r="CV199" s="160" t="s">
        <v>156</v>
      </c>
      <c r="CW199" s="160" t="s">
        <v>277</v>
      </c>
      <c r="CX199" s="160" t="s">
        <v>277</v>
      </c>
      <c r="CY199" s="160" t="s">
        <v>277</v>
      </c>
      <c r="CZ199" s="160" t="s">
        <v>277</v>
      </c>
      <c r="DA199" s="160" t="s">
        <v>277</v>
      </c>
      <c r="DB199" s="160" t="s">
        <v>277</v>
      </c>
      <c r="DC199" s="160" t="s">
        <v>277</v>
      </c>
      <c r="DD199" s="159"/>
      <c r="DE199" s="159"/>
      <c r="DF199" s="159"/>
      <c r="DG199" s="159"/>
      <c r="DH199" s="159"/>
      <c r="DI199" s="159"/>
      <c r="DJ199" s="159"/>
      <c r="DK199" s="159"/>
      <c r="DL199" s="159"/>
      <c r="DM199" s="159"/>
      <c r="DN199" s="159"/>
      <c r="DO199" s="159"/>
      <c r="DP199" s="159"/>
      <c r="DQ199" s="159"/>
      <c r="DR199" s="159"/>
      <c r="DS199" s="159"/>
      <c r="DT199" s="159"/>
      <c r="DU199" s="159"/>
      <c r="DV199" s="159"/>
      <c r="DW199" s="159"/>
      <c r="DX199" s="159"/>
      <c r="DY199" s="159"/>
      <c r="DZ199" s="159"/>
      <c r="EA199" s="159"/>
      <c r="EB199" s="159"/>
      <c r="EC199" s="159"/>
      <c r="ED199" s="159"/>
    </row>
    <row r="200" spans="1:134" ht="30">
      <c r="B200" s="159"/>
      <c r="C200" s="160" t="s">
        <v>269</v>
      </c>
      <c r="D200" s="160" t="s">
        <v>270</v>
      </c>
      <c r="E200" s="160"/>
      <c r="F200" s="160" t="s">
        <v>272</v>
      </c>
      <c r="G200" s="160" t="s">
        <v>273</v>
      </c>
      <c r="H200" s="160" t="s">
        <v>151</v>
      </c>
      <c r="I200" s="160" t="s">
        <v>326</v>
      </c>
      <c r="J200" s="160" t="s">
        <v>447</v>
      </c>
      <c r="K200" s="160" t="s">
        <v>277</v>
      </c>
      <c r="L200" s="160" t="s">
        <v>277</v>
      </c>
      <c r="M200" s="160" t="s">
        <v>277</v>
      </c>
      <c r="N200" s="160" t="s">
        <v>277</v>
      </c>
      <c r="O200" s="160" t="s">
        <v>3</v>
      </c>
      <c r="P200" s="160" t="s">
        <v>14</v>
      </c>
      <c r="Q200" s="160" t="s">
        <v>16</v>
      </c>
      <c r="R200" s="158" t="s">
        <v>276</v>
      </c>
      <c r="S200" s="159" t="s">
        <v>277</v>
      </c>
      <c r="T200" s="159" t="s">
        <v>277</v>
      </c>
      <c r="U200" s="160" t="s">
        <v>277</v>
      </c>
      <c r="V200" s="159" t="s">
        <v>277</v>
      </c>
      <c r="W200" s="159" t="s">
        <v>277</v>
      </c>
      <c r="X200" s="161" t="s">
        <v>1659</v>
      </c>
      <c r="Y200" s="159"/>
      <c r="Z200" s="159"/>
      <c r="AA200" s="159"/>
      <c r="AB200" s="159"/>
      <c r="AC200" s="159"/>
      <c r="AD200" s="159"/>
      <c r="AE200" s="155">
        <v>35378454365</v>
      </c>
      <c r="AF200" s="155">
        <v>0</v>
      </c>
      <c r="AG200" s="155"/>
      <c r="AH200" s="121">
        <f>AF200-AG200</f>
        <v>0</v>
      </c>
      <c r="AI200" s="159" t="s">
        <v>1660</v>
      </c>
      <c r="AJ200" s="206"/>
      <c r="AK200" s="206"/>
      <c r="AL200" s="161"/>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c r="BR200" s="159"/>
      <c r="BS200" s="159"/>
      <c r="BT200" s="159"/>
      <c r="BU200" s="159"/>
      <c r="BV200" s="159"/>
      <c r="BW200" s="156">
        <v>0</v>
      </c>
      <c r="BX200" s="156">
        <v>0</v>
      </c>
      <c r="BY200" s="156">
        <v>0</v>
      </c>
      <c r="BZ200" s="156">
        <v>0</v>
      </c>
      <c r="CA200" s="156">
        <v>0</v>
      </c>
      <c r="CB200" s="156">
        <v>0</v>
      </c>
      <c r="CC200" s="156">
        <v>0</v>
      </c>
      <c r="CD200" s="156">
        <v>0</v>
      </c>
      <c r="CE200" s="156">
        <v>0</v>
      </c>
      <c r="CF200" s="156">
        <f>SUM(BT200:CE200)</f>
        <v>0</v>
      </c>
      <c r="CG200" s="156">
        <f>$CF200-$AF200</f>
        <v>0</v>
      </c>
      <c r="CH200" s="160" t="s">
        <v>289</v>
      </c>
      <c r="CI200" s="160" t="s">
        <v>290</v>
      </c>
      <c r="CJ200" s="158" t="s">
        <v>277</v>
      </c>
      <c r="CK200" s="160" t="s">
        <v>290</v>
      </c>
      <c r="CL200" s="158" t="s">
        <v>277</v>
      </c>
      <c r="CM200" s="158" t="s">
        <v>277</v>
      </c>
      <c r="CN200" s="160" t="s">
        <v>290</v>
      </c>
      <c r="CO200" s="158" t="s">
        <v>277</v>
      </c>
      <c r="CP200" s="158" t="s">
        <v>277</v>
      </c>
      <c r="CQ200" s="158" t="s">
        <v>277</v>
      </c>
      <c r="CR200" s="158" t="s">
        <v>293</v>
      </c>
      <c r="CS200" s="158" t="s">
        <v>322</v>
      </c>
      <c r="CT200" s="158" t="s">
        <v>295</v>
      </c>
      <c r="CU200" s="158" t="s">
        <v>296</v>
      </c>
      <c r="CV200" s="158" t="s">
        <v>323</v>
      </c>
      <c r="CW200" s="158" t="s">
        <v>277</v>
      </c>
      <c r="CX200" s="158" t="s">
        <v>277</v>
      </c>
      <c r="CY200" s="158" t="s">
        <v>277</v>
      </c>
      <c r="CZ200" s="158" t="s">
        <v>277</v>
      </c>
      <c r="DA200" s="158" t="s">
        <v>277</v>
      </c>
      <c r="DB200" s="158" t="s">
        <v>277</v>
      </c>
      <c r="DC200" s="158" t="s">
        <v>277</v>
      </c>
      <c r="DD200" s="159"/>
      <c r="DE200" s="159"/>
      <c r="DF200" s="159"/>
      <c r="DG200" s="159"/>
      <c r="DH200" s="159"/>
      <c r="DI200" s="159"/>
      <c r="DJ200" s="159"/>
      <c r="DK200" s="159"/>
      <c r="DL200" s="159"/>
      <c r="DM200" s="159"/>
      <c r="DN200" s="159"/>
      <c r="DO200" s="159"/>
      <c r="DP200" s="159"/>
      <c r="DQ200" s="159"/>
      <c r="DR200" s="159"/>
      <c r="DS200" s="159"/>
      <c r="DT200" s="159"/>
      <c r="DU200" s="159"/>
      <c r="DV200" s="159"/>
      <c r="DW200" s="159"/>
      <c r="DX200" s="159"/>
      <c r="DY200" s="159"/>
      <c r="DZ200" s="159"/>
      <c r="EA200" s="159"/>
      <c r="EB200" s="159"/>
      <c r="EC200" s="159"/>
      <c r="ED200" s="159"/>
    </row>
    <row r="201" spans="1:134">
      <c r="B201" s="159"/>
      <c r="C201" s="160" t="s">
        <v>269</v>
      </c>
      <c r="D201" s="160" t="s">
        <v>270</v>
      </c>
      <c r="E201" s="160"/>
      <c r="F201" s="160" t="s">
        <v>272</v>
      </c>
      <c r="G201" s="160" t="s">
        <v>273</v>
      </c>
      <c r="H201" s="160" t="s">
        <v>151</v>
      </c>
      <c r="I201" s="160" t="s">
        <v>326</v>
      </c>
      <c r="J201" s="160" t="s">
        <v>447</v>
      </c>
      <c r="K201" s="160" t="s">
        <v>277</v>
      </c>
      <c r="L201" s="160" t="s">
        <v>277</v>
      </c>
      <c r="M201" s="160" t="s">
        <v>277</v>
      </c>
      <c r="N201" s="160" t="s">
        <v>277</v>
      </c>
      <c r="O201" s="160" t="s">
        <v>3</v>
      </c>
      <c r="P201" s="160" t="s">
        <v>14</v>
      </c>
      <c r="Q201" s="160" t="s">
        <v>16</v>
      </c>
      <c r="R201" s="158" t="s">
        <v>276</v>
      </c>
      <c r="S201" s="159" t="s">
        <v>277</v>
      </c>
      <c r="T201" s="159" t="s">
        <v>277</v>
      </c>
      <c r="U201" s="160" t="s">
        <v>277</v>
      </c>
      <c r="V201" s="159" t="s">
        <v>277</v>
      </c>
      <c r="W201" s="159" t="s">
        <v>277</v>
      </c>
      <c r="X201" s="161" t="s">
        <v>1661</v>
      </c>
      <c r="Y201" s="159"/>
      <c r="Z201" s="159"/>
      <c r="AA201" s="159"/>
      <c r="AB201" s="159"/>
      <c r="AC201" s="159"/>
      <c r="AD201" s="159"/>
      <c r="AE201" s="155">
        <v>0</v>
      </c>
      <c r="AF201" s="155">
        <v>0</v>
      </c>
      <c r="AG201" s="155"/>
      <c r="AH201" s="121">
        <f>AF201-AG201</f>
        <v>0</v>
      </c>
      <c r="AI201" s="159" t="s">
        <v>1662</v>
      </c>
      <c r="AJ201" s="206"/>
      <c r="AK201" s="206"/>
      <c r="AL201" s="161"/>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c r="BR201" s="159"/>
      <c r="BS201" s="159"/>
      <c r="BT201" s="159"/>
      <c r="BU201" s="159"/>
      <c r="BV201" s="159"/>
      <c r="BW201" s="156">
        <v>0</v>
      </c>
      <c r="BX201" s="156">
        <v>0</v>
      </c>
      <c r="BY201" s="156">
        <v>0</v>
      </c>
      <c r="BZ201" s="156">
        <v>0</v>
      </c>
      <c r="CA201" s="156">
        <v>0</v>
      </c>
      <c r="CB201" s="156">
        <v>0</v>
      </c>
      <c r="CC201" s="156">
        <v>0</v>
      </c>
      <c r="CD201" s="156">
        <v>0</v>
      </c>
      <c r="CE201" s="156">
        <v>0</v>
      </c>
      <c r="CF201" s="156">
        <f>SUM(BT201:CE201)</f>
        <v>0</v>
      </c>
      <c r="CG201" s="156">
        <f>$CF201-$AF201</f>
        <v>0</v>
      </c>
      <c r="CH201" s="160" t="s">
        <v>289</v>
      </c>
      <c r="CI201" s="160" t="s">
        <v>290</v>
      </c>
      <c r="CJ201" s="158" t="s">
        <v>277</v>
      </c>
      <c r="CK201" s="160" t="s">
        <v>290</v>
      </c>
      <c r="CL201" s="158" t="s">
        <v>277</v>
      </c>
      <c r="CM201" s="158" t="s">
        <v>277</v>
      </c>
      <c r="CN201" s="160" t="s">
        <v>290</v>
      </c>
      <c r="CO201" s="158" t="s">
        <v>277</v>
      </c>
      <c r="CP201" s="158" t="s">
        <v>277</v>
      </c>
      <c r="CQ201" s="158" t="s">
        <v>277</v>
      </c>
      <c r="CR201" s="158" t="s">
        <v>293</v>
      </c>
      <c r="CS201" s="158" t="s">
        <v>322</v>
      </c>
      <c r="CT201" s="158" t="s">
        <v>295</v>
      </c>
      <c r="CU201" s="158" t="s">
        <v>296</v>
      </c>
      <c r="CV201" s="158" t="s">
        <v>323</v>
      </c>
      <c r="CW201" s="158" t="s">
        <v>277</v>
      </c>
      <c r="CX201" s="158" t="s">
        <v>277</v>
      </c>
      <c r="CY201" s="158" t="s">
        <v>277</v>
      </c>
      <c r="CZ201" s="158" t="s">
        <v>277</v>
      </c>
      <c r="DA201" s="158" t="s">
        <v>277</v>
      </c>
      <c r="DB201" s="158" t="s">
        <v>277</v>
      </c>
      <c r="DC201" s="158" t="s">
        <v>277</v>
      </c>
      <c r="DD201" s="159"/>
      <c r="DE201" s="159"/>
      <c r="DF201" s="159"/>
      <c r="DG201" s="159"/>
      <c r="DH201" s="159"/>
      <c r="DI201" s="159"/>
      <c r="DJ201" s="159"/>
      <c r="DK201" s="159"/>
      <c r="DL201" s="159"/>
      <c r="DM201" s="159"/>
      <c r="DN201" s="159"/>
      <c r="DO201" s="159"/>
      <c r="DP201" s="159"/>
      <c r="DQ201" s="159"/>
      <c r="DR201" s="159"/>
      <c r="DS201" s="159"/>
      <c r="DT201" s="159"/>
      <c r="DU201" s="159"/>
      <c r="DV201" s="159"/>
      <c r="DW201" s="159"/>
      <c r="DX201" s="159"/>
      <c r="DY201" s="159"/>
      <c r="DZ201" s="159"/>
      <c r="EA201" s="159"/>
      <c r="EB201" s="159"/>
      <c r="EC201" s="159"/>
      <c r="ED201" s="159"/>
    </row>
    <row r="202" spans="1:134" ht="30">
      <c r="B202" s="159"/>
      <c r="C202" s="160" t="s">
        <v>269</v>
      </c>
      <c r="D202" s="160" t="s">
        <v>270</v>
      </c>
      <c r="E202" s="160"/>
      <c r="F202" s="160" t="s">
        <v>272</v>
      </c>
      <c r="G202" s="160" t="s">
        <v>273</v>
      </c>
      <c r="H202" s="160" t="s">
        <v>151</v>
      </c>
      <c r="I202" s="160" t="s">
        <v>326</v>
      </c>
      <c r="J202" s="160" t="s">
        <v>447</v>
      </c>
      <c r="K202" s="160" t="s">
        <v>277</v>
      </c>
      <c r="L202" s="160" t="s">
        <v>277</v>
      </c>
      <c r="M202" s="160" t="s">
        <v>277</v>
      </c>
      <c r="N202" s="160" t="s">
        <v>277</v>
      </c>
      <c r="O202" s="160" t="s">
        <v>3</v>
      </c>
      <c r="P202" s="160" t="s">
        <v>14</v>
      </c>
      <c r="Q202" s="160" t="s">
        <v>16</v>
      </c>
      <c r="R202" s="158" t="s">
        <v>276</v>
      </c>
      <c r="S202" s="159" t="s">
        <v>277</v>
      </c>
      <c r="T202" s="159" t="s">
        <v>277</v>
      </c>
      <c r="U202" s="160" t="s">
        <v>277</v>
      </c>
      <c r="V202" s="159" t="s">
        <v>277</v>
      </c>
      <c r="W202" s="159" t="s">
        <v>277</v>
      </c>
      <c r="X202" s="161" t="s">
        <v>1663</v>
      </c>
      <c r="Y202" s="159"/>
      <c r="Z202" s="159"/>
      <c r="AA202" s="159"/>
      <c r="AB202" s="159"/>
      <c r="AC202" s="159"/>
      <c r="AD202" s="159"/>
      <c r="AE202" s="155">
        <v>0</v>
      </c>
      <c r="AF202" s="155">
        <v>0</v>
      </c>
      <c r="AG202" s="155"/>
      <c r="AH202" s="121">
        <f>AF202-AG202</f>
        <v>0</v>
      </c>
      <c r="AI202" s="159" t="s">
        <v>1664</v>
      </c>
      <c r="AJ202" s="206"/>
      <c r="AK202" s="206"/>
      <c r="AL202" s="161"/>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c r="BQ202" s="45"/>
      <c r="BR202" s="159"/>
      <c r="BS202" s="159"/>
      <c r="BT202" s="159"/>
      <c r="BU202" s="159"/>
      <c r="BV202" s="159"/>
      <c r="BW202" s="156">
        <v>0</v>
      </c>
      <c r="BX202" s="156">
        <v>0</v>
      </c>
      <c r="BY202" s="156">
        <v>0</v>
      </c>
      <c r="BZ202" s="156">
        <v>0</v>
      </c>
      <c r="CA202" s="156">
        <v>0</v>
      </c>
      <c r="CB202" s="156">
        <v>0</v>
      </c>
      <c r="CC202" s="156">
        <v>0</v>
      </c>
      <c r="CD202" s="156">
        <v>0</v>
      </c>
      <c r="CE202" s="156">
        <v>0</v>
      </c>
      <c r="CF202" s="156">
        <f>SUM(BT202:CE202)</f>
        <v>0</v>
      </c>
      <c r="CG202" s="156">
        <f>$CF202-$AF202</f>
        <v>0</v>
      </c>
      <c r="CH202" s="160" t="s">
        <v>289</v>
      </c>
      <c r="CI202" s="160" t="s">
        <v>290</v>
      </c>
      <c r="CJ202" s="158" t="s">
        <v>277</v>
      </c>
      <c r="CK202" s="160" t="s">
        <v>290</v>
      </c>
      <c r="CL202" s="158" t="s">
        <v>277</v>
      </c>
      <c r="CM202" s="158" t="s">
        <v>277</v>
      </c>
      <c r="CN202" s="160" t="s">
        <v>290</v>
      </c>
      <c r="CO202" s="158" t="s">
        <v>277</v>
      </c>
      <c r="CP202" s="158" t="s">
        <v>277</v>
      </c>
      <c r="CQ202" s="158" t="s">
        <v>277</v>
      </c>
      <c r="CR202" s="158" t="s">
        <v>293</v>
      </c>
      <c r="CS202" s="158" t="s">
        <v>322</v>
      </c>
      <c r="CT202" s="158" t="s">
        <v>295</v>
      </c>
      <c r="CU202" s="158" t="s">
        <v>296</v>
      </c>
      <c r="CV202" s="158" t="s">
        <v>323</v>
      </c>
      <c r="CW202" s="158" t="s">
        <v>277</v>
      </c>
      <c r="CX202" s="158" t="s">
        <v>277</v>
      </c>
      <c r="CY202" s="158" t="s">
        <v>277</v>
      </c>
      <c r="CZ202" s="158" t="s">
        <v>277</v>
      </c>
      <c r="DA202" s="158" t="s">
        <v>277</v>
      </c>
      <c r="DB202" s="158" t="s">
        <v>277</v>
      </c>
      <c r="DC202" s="158" t="s">
        <v>277</v>
      </c>
      <c r="DD202" s="159"/>
      <c r="DE202" s="159"/>
      <c r="DF202" s="159"/>
      <c r="DG202" s="159"/>
      <c r="DH202" s="159"/>
      <c r="DI202" s="159"/>
      <c r="DJ202" s="159"/>
      <c r="DK202" s="159"/>
      <c r="DL202" s="159"/>
      <c r="DM202" s="159"/>
      <c r="DN202" s="159"/>
      <c r="DO202" s="159"/>
      <c r="DP202" s="159"/>
      <c r="DQ202" s="159"/>
      <c r="DR202" s="159"/>
      <c r="DS202" s="159"/>
      <c r="DT202" s="159"/>
      <c r="DU202" s="159"/>
      <c r="DV202" s="159"/>
      <c r="DW202" s="159"/>
      <c r="DX202" s="159"/>
      <c r="DY202" s="159"/>
      <c r="DZ202" s="159"/>
      <c r="EA202" s="159"/>
      <c r="EB202" s="159"/>
      <c r="EC202" s="159"/>
      <c r="ED202" s="159"/>
    </row>
    <row r="203" spans="1:134" ht="30">
      <c r="B203" s="159"/>
      <c r="C203" s="160" t="s">
        <v>269</v>
      </c>
      <c r="D203" s="160" t="s">
        <v>270</v>
      </c>
      <c r="E203" s="160"/>
      <c r="F203" s="160" t="s">
        <v>272</v>
      </c>
      <c r="G203" s="160" t="s">
        <v>273</v>
      </c>
      <c r="H203" s="160" t="s">
        <v>151</v>
      </c>
      <c r="I203" s="160" t="s">
        <v>326</v>
      </c>
      <c r="J203" s="160" t="s">
        <v>447</v>
      </c>
      <c r="K203" s="160" t="s">
        <v>277</v>
      </c>
      <c r="L203" s="160" t="s">
        <v>277</v>
      </c>
      <c r="M203" s="160" t="s">
        <v>277</v>
      </c>
      <c r="N203" s="160" t="s">
        <v>277</v>
      </c>
      <c r="O203" s="160" t="s">
        <v>3</v>
      </c>
      <c r="P203" s="160" t="s">
        <v>14</v>
      </c>
      <c r="Q203" s="160" t="s">
        <v>16</v>
      </c>
      <c r="R203" s="158" t="s">
        <v>276</v>
      </c>
      <c r="S203" s="159" t="s">
        <v>277</v>
      </c>
      <c r="T203" s="159" t="s">
        <v>277</v>
      </c>
      <c r="U203" s="160" t="s">
        <v>277</v>
      </c>
      <c r="V203" s="159" t="s">
        <v>277</v>
      </c>
      <c r="W203" s="159" t="s">
        <v>277</v>
      </c>
      <c r="X203" s="161" t="s">
        <v>1665</v>
      </c>
      <c r="Y203" s="159"/>
      <c r="Z203" s="159"/>
      <c r="AA203" s="159"/>
      <c r="AB203" s="159"/>
      <c r="AC203" s="159"/>
      <c r="AD203" s="159"/>
      <c r="AE203" s="155">
        <v>0</v>
      </c>
      <c r="AF203" s="155">
        <v>0</v>
      </c>
      <c r="AG203" s="155"/>
      <c r="AH203" s="121">
        <f>AF203-AG203</f>
        <v>0</v>
      </c>
      <c r="AI203" s="159" t="s">
        <v>1664</v>
      </c>
      <c r="AJ203" s="206"/>
      <c r="AK203" s="206"/>
      <c r="AL203" s="161"/>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c r="BR203" s="159"/>
      <c r="BS203" s="159"/>
      <c r="BT203" s="159"/>
      <c r="BU203" s="159"/>
      <c r="BV203" s="159"/>
      <c r="BW203" s="156">
        <v>0</v>
      </c>
      <c r="BX203" s="156">
        <v>0</v>
      </c>
      <c r="BY203" s="156">
        <v>0</v>
      </c>
      <c r="BZ203" s="156">
        <v>0</v>
      </c>
      <c r="CA203" s="156">
        <v>0</v>
      </c>
      <c r="CB203" s="156">
        <v>0</v>
      </c>
      <c r="CC203" s="156">
        <v>0</v>
      </c>
      <c r="CD203" s="156">
        <v>0</v>
      </c>
      <c r="CE203" s="156">
        <v>0</v>
      </c>
      <c r="CF203" s="156">
        <f>SUM(BT203:CE203)</f>
        <v>0</v>
      </c>
      <c r="CG203" s="156">
        <f>$CF203-$AF203</f>
        <v>0</v>
      </c>
      <c r="CH203" s="160" t="s">
        <v>289</v>
      </c>
      <c r="CI203" s="160" t="s">
        <v>290</v>
      </c>
      <c r="CJ203" s="158" t="s">
        <v>277</v>
      </c>
      <c r="CK203" s="160" t="s">
        <v>290</v>
      </c>
      <c r="CL203" s="158" t="s">
        <v>277</v>
      </c>
      <c r="CM203" s="158" t="s">
        <v>277</v>
      </c>
      <c r="CN203" s="160" t="s">
        <v>290</v>
      </c>
      <c r="CO203" s="158" t="s">
        <v>277</v>
      </c>
      <c r="CP203" s="158" t="s">
        <v>277</v>
      </c>
      <c r="CQ203" s="158" t="s">
        <v>277</v>
      </c>
      <c r="CR203" s="158" t="s">
        <v>293</v>
      </c>
      <c r="CS203" s="158" t="s">
        <v>322</v>
      </c>
      <c r="CT203" s="158" t="s">
        <v>295</v>
      </c>
      <c r="CU203" s="158" t="s">
        <v>296</v>
      </c>
      <c r="CV203" s="158" t="s">
        <v>323</v>
      </c>
      <c r="CW203" s="158" t="s">
        <v>277</v>
      </c>
      <c r="CX203" s="158" t="s">
        <v>277</v>
      </c>
      <c r="CY203" s="158" t="s">
        <v>277</v>
      </c>
      <c r="CZ203" s="158" t="s">
        <v>277</v>
      </c>
      <c r="DA203" s="158" t="s">
        <v>277</v>
      </c>
      <c r="DB203" s="158" t="s">
        <v>277</v>
      </c>
      <c r="DC203" s="158" t="s">
        <v>277</v>
      </c>
      <c r="DD203" s="159"/>
      <c r="DE203" s="159"/>
      <c r="DF203" s="159"/>
      <c r="DG203" s="159"/>
      <c r="DH203" s="159"/>
      <c r="DI203" s="159"/>
      <c r="DJ203" s="159"/>
      <c r="DK203" s="159"/>
      <c r="DL203" s="159"/>
      <c r="DM203" s="159"/>
      <c r="DN203" s="159"/>
      <c r="DO203" s="159"/>
      <c r="DP203" s="159"/>
      <c r="DQ203" s="159"/>
      <c r="DR203" s="159"/>
      <c r="DS203" s="159"/>
      <c r="DT203" s="159"/>
      <c r="DU203" s="159"/>
      <c r="DV203" s="159"/>
      <c r="DW203" s="159"/>
      <c r="DX203" s="159"/>
      <c r="DY203" s="159"/>
      <c r="DZ203" s="159"/>
      <c r="EA203" s="159"/>
      <c r="EB203" s="159"/>
      <c r="EC203" s="159"/>
      <c r="ED203" s="159"/>
    </row>
    <row r="204" spans="1:134" ht="30">
      <c r="B204" s="159"/>
      <c r="C204" s="160" t="s">
        <v>269</v>
      </c>
      <c r="D204" s="160" t="s">
        <v>270</v>
      </c>
      <c r="E204" s="160"/>
      <c r="F204" s="160" t="s">
        <v>272</v>
      </c>
      <c r="G204" s="160" t="s">
        <v>273</v>
      </c>
      <c r="H204" s="160" t="s">
        <v>151</v>
      </c>
      <c r="I204" s="160" t="s">
        <v>326</v>
      </c>
      <c r="J204" s="160" t="s">
        <v>447</v>
      </c>
      <c r="K204" s="160" t="s">
        <v>277</v>
      </c>
      <c r="L204" s="160" t="s">
        <v>277</v>
      </c>
      <c r="M204" s="160" t="s">
        <v>277</v>
      </c>
      <c r="N204" s="160" t="s">
        <v>277</v>
      </c>
      <c r="O204" s="160" t="s">
        <v>3</v>
      </c>
      <c r="P204" s="160" t="s">
        <v>14</v>
      </c>
      <c r="Q204" s="160" t="s">
        <v>16</v>
      </c>
      <c r="R204" s="158" t="s">
        <v>276</v>
      </c>
      <c r="S204" s="159" t="s">
        <v>277</v>
      </c>
      <c r="T204" s="159" t="s">
        <v>277</v>
      </c>
      <c r="U204" s="160" t="s">
        <v>277</v>
      </c>
      <c r="V204" s="159" t="s">
        <v>277</v>
      </c>
      <c r="W204" s="159" t="s">
        <v>277</v>
      </c>
      <c r="X204" s="161" t="s">
        <v>1666</v>
      </c>
      <c r="Y204" s="159"/>
      <c r="Z204" s="159"/>
      <c r="AA204" s="159"/>
      <c r="AB204" s="159"/>
      <c r="AC204" s="159"/>
      <c r="AD204" s="159"/>
      <c r="AE204" s="155">
        <v>0</v>
      </c>
      <c r="AF204" s="155">
        <v>0</v>
      </c>
      <c r="AG204" s="155"/>
      <c r="AH204" s="121">
        <f>AF204-AG204</f>
        <v>0</v>
      </c>
      <c r="AI204" s="159" t="s">
        <v>1664</v>
      </c>
      <c r="AJ204" s="206"/>
      <c r="AK204" s="206"/>
      <c r="AL204" s="161"/>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5"/>
      <c r="BQ204" s="45"/>
      <c r="BR204" s="159"/>
      <c r="BS204" s="159"/>
      <c r="BT204" s="159"/>
      <c r="BU204" s="159"/>
      <c r="BV204" s="159"/>
      <c r="BW204" s="156">
        <v>0</v>
      </c>
      <c r="BX204" s="156">
        <v>0</v>
      </c>
      <c r="BY204" s="156">
        <v>0</v>
      </c>
      <c r="BZ204" s="156">
        <v>0</v>
      </c>
      <c r="CA204" s="156">
        <v>0</v>
      </c>
      <c r="CB204" s="156">
        <v>0</v>
      </c>
      <c r="CC204" s="156">
        <v>0</v>
      </c>
      <c r="CD204" s="156">
        <v>0</v>
      </c>
      <c r="CE204" s="156">
        <v>0</v>
      </c>
      <c r="CF204" s="156">
        <f>SUM(BT204:CE204)</f>
        <v>0</v>
      </c>
      <c r="CG204" s="156">
        <f>$CF204-$AF204</f>
        <v>0</v>
      </c>
      <c r="CH204" s="160" t="s">
        <v>289</v>
      </c>
      <c r="CI204" s="160" t="s">
        <v>290</v>
      </c>
      <c r="CJ204" s="158" t="s">
        <v>277</v>
      </c>
      <c r="CK204" s="160" t="s">
        <v>290</v>
      </c>
      <c r="CL204" s="158" t="s">
        <v>277</v>
      </c>
      <c r="CM204" s="158" t="s">
        <v>277</v>
      </c>
      <c r="CN204" s="160" t="s">
        <v>290</v>
      </c>
      <c r="CO204" s="158" t="s">
        <v>277</v>
      </c>
      <c r="CP204" s="158" t="s">
        <v>277</v>
      </c>
      <c r="CQ204" s="158" t="s">
        <v>277</v>
      </c>
      <c r="CR204" s="158" t="s">
        <v>293</v>
      </c>
      <c r="CS204" s="158" t="s">
        <v>322</v>
      </c>
      <c r="CT204" s="158" t="s">
        <v>295</v>
      </c>
      <c r="CU204" s="158" t="s">
        <v>296</v>
      </c>
      <c r="CV204" s="158" t="s">
        <v>323</v>
      </c>
      <c r="CW204" s="158" t="s">
        <v>277</v>
      </c>
      <c r="CX204" s="158" t="s">
        <v>277</v>
      </c>
      <c r="CY204" s="158" t="s">
        <v>277</v>
      </c>
      <c r="CZ204" s="158" t="s">
        <v>277</v>
      </c>
      <c r="DA204" s="158" t="s">
        <v>277</v>
      </c>
      <c r="DB204" s="158" t="s">
        <v>277</v>
      </c>
      <c r="DC204" s="158" t="s">
        <v>277</v>
      </c>
      <c r="DD204" s="159"/>
      <c r="DE204" s="159"/>
      <c r="DF204" s="159"/>
      <c r="DG204" s="159"/>
      <c r="DH204" s="159"/>
      <c r="DI204" s="159"/>
      <c r="DJ204" s="159"/>
      <c r="DK204" s="159"/>
      <c r="DL204" s="159"/>
      <c r="DM204" s="159"/>
      <c r="DN204" s="159"/>
      <c r="DO204" s="159"/>
      <c r="DP204" s="159"/>
      <c r="DQ204" s="159"/>
      <c r="DR204" s="159"/>
      <c r="DS204" s="159"/>
      <c r="DT204" s="159"/>
      <c r="DU204" s="159"/>
      <c r="DV204" s="159"/>
      <c r="DW204" s="159"/>
      <c r="DX204" s="159"/>
      <c r="DY204" s="159"/>
      <c r="DZ204" s="159"/>
      <c r="EA204" s="159"/>
      <c r="EB204" s="159"/>
      <c r="EC204" s="159"/>
      <c r="ED204" s="159"/>
    </row>
    <row r="205" spans="1:134" ht="30">
      <c r="B205" s="159"/>
      <c r="C205" s="160" t="s">
        <v>269</v>
      </c>
      <c r="D205" s="160" t="s">
        <v>270</v>
      </c>
      <c r="E205" s="160"/>
      <c r="F205" s="160" t="s">
        <v>272</v>
      </c>
      <c r="G205" s="160" t="s">
        <v>273</v>
      </c>
      <c r="H205" s="160" t="s">
        <v>151</v>
      </c>
      <c r="I205" s="160" t="s">
        <v>326</v>
      </c>
      <c r="J205" s="160" t="s">
        <v>447</v>
      </c>
      <c r="K205" s="160" t="s">
        <v>277</v>
      </c>
      <c r="L205" s="160" t="s">
        <v>277</v>
      </c>
      <c r="M205" s="160" t="s">
        <v>277</v>
      </c>
      <c r="N205" s="160" t="s">
        <v>277</v>
      </c>
      <c r="O205" s="160" t="s">
        <v>3</v>
      </c>
      <c r="P205" s="160" t="s">
        <v>14</v>
      </c>
      <c r="Q205" s="160" t="s">
        <v>16</v>
      </c>
      <c r="R205" s="158" t="s">
        <v>276</v>
      </c>
      <c r="S205" s="159" t="s">
        <v>277</v>
      </c>
      <c r="T205" s="159" t="s">
        <v>277</v>
      </c>
      <c r="U205" s="160" t="s">
        <v>277</v>
      </c>
      <c r="V205" s="159" t="s">
        <v>277</v>
      </c>
      <c r="W205" s="159" t="s">
        <v>277</v>
      </c>
      <c r="X205" s="161" t="s">
        <v>1667</v>
      </c>
      <c r="Y205" s="159"/>
      <c r="Z205" s="159"/>
      <c r="AA205" s="159"/>
      <c r="AB205" s="159"/>
      <c r="AC205" s="159"/>
      <c r="AD205" s="159"/>
      <c r="AE205" s="155">
        <v>0</v>
      </c>
      <c r="AF205" s="155">
        <v>0</v>
      </c>
      <c r="AG205" s="155"/>
      <c r="AH205" s="121">
        <f>AF205-AG205</f>
        <v>0</v>
      </c>
      <c r="AI205" s="159" t="s">
        <v>603</v>
      </c>
      <c r="AJ205" s="206"/>
      <c r="AK205" s="206"/>
      <c r="AL205" s="161"/>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c r="BR205" s="159"/>
      <c r="BS205" s="159"/>
      <c r="BT205" s="159"/>
      <c r="BU205" s="159"/>
      <c r="BV205" s="159"/>
      <c r="BW205" s="156">
        <v>0</v>
      </c>
      <c r="BX205" s="156">
        <v>0</v>
      </c>
      <c r="BY205" s="156">
        <v>0</v>
      </c>
      <c r="BZ205" s="156">
        <v>0</v>
      </c>
      <c r="CA205" s="156">
        <v>0</v>
      </c>
      <c r="CB205" s="156">
        <v>0</v>
      </c>
      <c r="CC205" s="156">
        <v>0</v>
      </c>
      <c r="CD205" s="156">
        <v>0</v>
      </c>
      <c r="CE205" s="156">
        <v>0</v>
      </c>
      <c r="CF205" s="156">
        <f>SUM(BT205:CE205)</f>
        <v>0</v>
      </c>
      <c r="CG205" s="156">
        <f>$CF205-$AF205</f>
        <v>0</v>
      </c>
      <c r="CH205" s="160" t="s">
        <v>289</v>
      </c>
      <c r="CI205" s="160" t="s">
        <v>290</v>
      </c>
      <c r="CJ205" s="158" t="s">
        <v>277</v>
      </c>
      <c r="CK205" s="160" t="s">
        <v>290</v>
      </c>
      <c r="CL205" s="158" t="s">
        <v>277</v>
      </c>
      <c r="CM205" s="158" t="s">
        <v>277</v>
      </c>
      <c r="CN205" s="160" t="s">
        <v>290</v>
      </c>
      <c r="CO205" s="158" t="s">
        <v>277</v>
      </c>
      <c r="CP205" s="158" t="s">
        <v>277</v>
      </c>
      <c r="CQ205" s="158" t="s">
        <v>277</v>
      </c>
      <c r="CR205" s="158" t="s">
        <v>293</v>
      </c>
      <c r="CS205" s="158" t="s">
        <v>322</v>
      </c>
      <c r="CT205" s="158" t="s">
        <v>295</v>
      </c>
      <c r="CU205" s="158" t="s">
        <v>296</v>
      </c>
      <c r="CV205" s="158" t="s">
        <v>323</v>
      </c>
      <c r="CW205" s="158" t="s">
        <v>277</v>
      </c>
      <c r="CX205" s="158" t="s">
        <v>277</v>
      </c>
      <c r="CY205" s="158" t="s">
        <v>277</v>
      </c>
      <c r="CZ205" s="158" t="s">
        <v>277</v>
      </c>
      <c r="DA205" s="158" t="s">
        <v>277</v>
      </c>
      <c r="DB205" s="158" t="s">
        <v>277</v>
      </c>
      <c r="DC205" s="158" t="s">
        <v>277</v>
      </c>
      <c r="DD205" s="159"/>
      <c r="DE205" s="159"/>
      <c r="DF205" s="159"/>
      <c r="DG205" s="159"/>
      <c r="DH205" s="159"/>
      <c r="DI205" s="159"/>
      <c r="DJ205" s="159"/>
      <c r="DK205" s="159"/>
      <c r="DL205" s="159"/>
      <c r="DM205" s="159"/>
      <c r="DN205" s="159"/>
      <c r="DO205" s="159"/>
      <c r="DP205" s="159"/>
      <c r="DQ205" s="159"/>
      <c r="DR205" s="159"/>
      <c r="DS205" s="159"/>
      <c r="DT205" s="159"/>
      <c r="DU205" s="159"/>
      <c r="DV205" s="159"/>
      <c r="DW205" s="159"/>
      <c r="DX205" s="159"/>
      <c r="DY205" s="159"/>
      <c r="DZ205" s="159"/>
      <c r="EA205" s="159"/>
      <c r="EB205" s="159"/>
      <c r="EC205" s="159"/>
      <c r="ED205" s="159"/>
    </row>
    <row r="206" spans="1:134" ht="30">
      <c r="B206" s="159"/>
      <c r="C206" s="160" t="s">
        <v>269</v>
      </c>
      <c r="D206" s="160" t="s">
        <v>270</v>
      </c>
      <c r="E206" s="160"/>
      <c r="F206" s="160" t="s">
        <v>272</v>
      </c>
      <c r="G206" s="160" t="s">
        <v>273</v>
      </c>
      <c r="H206" s="160" t="s">
        <v>151</v>
      </c>
      <c r="I206" s="160" t="s">
        <v>326</v>
      </c>
      <c r="J206" s="160" t="s">
        <v>447</v>
      </c>
      <c r="K206" s="160" t="s">
        <v>277</v>
      </c>
      <c r="L206" s="160" t="s">
        <v>277</v>
      </c>
      <c r="M206" s="160" t="s">
        <v>277</v>
      </c>
      <c r="N206" s="160" t="s">
        <v>277</v>
      </c>
      <c r="O206" s="160" t="s">
        <v>3</v>
      </c>
      <c r="P206" s="160" t="s">
        <v>14</v>
      </c>
      <c r="Q206" s="160" t="s">
        <v>16</v>
      </c>
      <c r="R206" s="158" t="s">
        <v>276</v>
      </c>
      <c r="S206" s="159" t="s">
        <v>277</v>
      </c>
      <c r="T206" s="159" t="s">
        <v>277</v>
      </c>
      <c r="U206" s="160" t="s">
        <v>277</v>
      </c>
      <c r="V206" s="159" t="s">
        <v>277</v>
      </c>
      <c r="W206" s="159" t="s">
        <v>277</v>
      </c>
      <c r="X206" s="161" t="s">
        <v>1668</v>
      </c>
      <c r="Y206" s="159"/>
      <c r="Z206" s="159"/>
      <c r="AA206" s="159"/>
      <c r="AB206" s="159"/>
      <c r="AC206" s="159"/>
      <c r="AD206" s="159"/>
      <c r="AE206" s="155">
        <v>0</v>
      </c>
      <c r="AF206" s="155">
        <v>0</v>
      </c>
      <c r="AG206" s="155"/>
      <c r="AH206" s="121">
        <f>AF206-AG206</f>
        <v>0</v>
      </c>
      <c r="AI206" s="159" t="s">
        <v>603</v>
      </c>
      <c r="AJ206" s="206"/>
      <c r="AK206" s="206"/>
      <c r="AL206" s="161"/>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c r="BQ206" s="45"/>
      <c r="BR206" s="159"/>
      <c r="BS206" s="159"/>
      <c r="BT206" s="159"/>
      <c r="BU206" s="159"/>
      <c r="BV206" s="159"/>
      <c r="BW206" s="156">
        <v>0</v>
      </c>
      <c r="BX206" s="156">
        <v>0</v>
      </c>
      <c r="BY206" s="156">
        <v>0</v>
      </c>
      <c r="BZ206" s="156">
        <v>0</v>
      </c>
      <c r="CA206" s="156">
        <v>0</v>
      </c>
      <c r="CB206" s="156">
        <v>0</v>
      </c>
      <c r="CC206" s="156">
        <v>0</v>
      </c>
      <c r="CD206" s="156">
        <v>0</v>
      </c>
      <c r="CE206" s="156">
        <v>0</v>
      </c>
      <c r="CF206" s="156">
        <f>SUM(BT206:CE206)</f>
        <v>0</v>
      </c>
      <c r="CG206" s="156">
        <f>$CF206-$AF206</f>
        <v>0</v>
      </c>
      <c r="CH206" s="160" t="s">
        <v>289</v>
      </c>
      <c r="CI206" s="160" t="s">
        <v>290</v>
      </c>
      <c r="CJ206" s="158" t="s">
        <v>277</v>
      </c>
      <c r="CK206" s="160" t="s">
        <v>290</v>
      </c>
      <c r="CL206" s="158" t="s">
        <v>277</v>
      </c>
      <c r="CM206" s="158" t="s">
        <v>277</v>
      </c>
      <c r="CN206" s="160" t="s">
        <v>290</v>
      </c>
      <c r="CO206" s="158" t="s">
        <v>277</v>
      </c>
      <c r="CP206" s="158" t="s">
        <v>277</v>
      </c>
      <c r="CQ206" s="158" t="s">
        <v>277</v>
      </c>
      <c r="CR206" s="158" t="s">
        <v>293</v>
      </c>
      <c r="CS206" s="158" t="s">
        <v>322</v>
      </c>
      <c r="CT206" s="158" t="s">
        <v>295</v>
      </c>
      <c r="CU206" s="158" t="s">
        <v>296</v>
      </c>
      <c r="CV206" s="158" t="s">
        <v>323</v>
      </c>
      <c r="CW206" s="158" t="s">
        <v>277</v>
      </c>
      <c r="CX206" s="158" t="s">
        <v>277</v>
      </c>
      <c r="CY206" s="158" t="s">
        <v>277</v>
      </c>
      <c r="CZ206" s="158" t="s">
        <v>277</v>
      </c>
      <c r="DA206" s="158" t="s">
        <v>277</v>
      </c>
      <c r="DB206" s="158" t="s">
        <v>277</v>
      </c>
      <c r="DC206" s="158" t="s">
        <v>277</v>
      </c>
      <c r="DD206" s="159"/>
      <c r="DE206" s="159"/>
      <c r="DF206" s="159"/>
      <c r="DG206" s="159"/>
      <c r="DH206" s="159"/>
      <c r="DI206" s="159"/>
      <c r="DJ206" s="159"/>
      <c r="DK206" s="159"/>
      <c r="DL206" s="159"/>
      <c r="DM206" s="159"/>
      <c r="DN206" s="159"/>
      <c r="DO206" s="159"/>
      <c r="DP206" s="159"/>
      <c r="DQ206" s="159"/>
      <c r="DR206" s="159"/>
      <c r="DS206" s="159"/>
      <c r="DT206" s="159"/>
      <c r="DU206" s="159"/>
      <c r="DV206" s="159"/>
      <c r="DW206" s="159"/>
      <c r="DX206" s="159"/>
      <c r="DY206" s="159"/>
      <c r="DZ206" s="159"/>
      <c r="EA206" s="159"/>
      <c r="EB206" s="159"/>
      <c r="EC206" s="159"/>
      <c r="ED206" s="159"/>
    </row>
    <row r="207" spans="1:134" ht="30">
      <c r="B207" s="159"/>
      <c r="C207" s="160" t="s">
        <v>269</v>
      </c>
      <c r="D207" s="160" t="s">
        <v>270</v>
      </c>
      <c r="E207" s="160"/>
      <c r="F207" s="160" t="s">
        <v>272</v>
      </c>
      <c r="G207" s="160" t="s">
        <v>273</v>
      </c>
      <c r="H207" s="160" t="s">
        <v>151</v>
      </c>
      <c r="I207" s="160" t="s">
        <v>326</v>
      </c>
      <c r="J207" s="160" t="s">
        <v>447</v>
      </c>
      <c r="K207" s="160" t="s">
        <v>277</v>
      </c>
      <c r="L207" s="160" t="s">
        <v>277</v>
      </c>
      <c r="M207" s="160" t="s">
        <v>277</v>
      </c>
      <c r="N207" s="160" t="s">
        <v>277</v>
      </c>
      <c r="O207" s="160" t="s">
        <v>3</v>
      </c>
      <c r="P207" s="160" t="s">
        <v>14</v>
      </c>
      <c r="Q207" s="160" t="s">
        <v>16</v>
      </c>
      <c r="R207" s="158" t="s">
        <v>276</v>
      </c>
      <c r="S207" s="159" t="s">
        <v>277</v>
      </c>
      <c r="T207" s="159" t="s">
        <v>277</v>
      </c>
      <c r="U207" s="160" t="s">
        <v>277</v>
      </c>
      <c r="V207" s="159" t="s">
        <v>277</v>
      </c>
      <c r="W207" s="159" t="s">
        <v>277</v>
      </c>
      <c r="X207" s="161" t="s">
        <v>1669</v>
      </c>
      <c r="Y207" s="159"/>
      <c r="Z207" s="159"/>
      <c r="AA207" s="159"/>
      <c r="AB207" s="159"/>
      <c r="AC207" s="159"/>
      <c r="AD207" s="159"/>
      <c r="AE207" s="155">
        <v>0</v>
      </c>
      <c r="AF207" s="155">
        <v>0</v>
      </c>
      <c r="AG207" s="155"/>
      <c r="AH207" s="121">
        <f>AF207-AG207</f>
        <v>0</v>
      </c>
      <c r="AI207" s="159" t="s">
        <v>603</v>
      </c>
      <c r="AJ207" s="206"/>
      <c r="AK207" s="206"/>
      <c r="AL207" s="161"/>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c r="BQ207" s="45"/>
      <c r="BR207" s="159"/>
      <c r="BS207" s="159"/>
      <c r="BT207" s="159"/>
      <c r="BU207" s="159"/>
      <c r="BV207" s="159"/>
      <c r="BW207" s="156">
        <v>0</v>
      </c>
      <c r="BX207" s="156">
        <v>0</v>
      </c>
      <c r="BY207" s="156">
        <v>0</v>
      </c>
      <c r="BZ207" s="156">
        <v>0</v>
      </c>
      <c r="CA207" s="156">
        <v>0</v>
      </c>
      <c r="CB207" s="156">
        <v>0</v>
      </c>
      <c r="CC207" s="156">
        <v>0</v>
      </c>
      <c r="CD207" s="156">
        <v>0</v>
      </c>
      <c r="CE207" s="156">
        <v>0</v>
      </c>
      <c r="CF207" s="156">
        <f>SUM(BT207:CE207)</f>
        <v>0</v>
      </c>
      <c r="CG207" s="156">
        <f>$CF207-$AF207</f>
        <v>0</v>
      </c>
      <c r="CH207" s="160" t="s">
        <v>289</v>
      </c>
      <c r="CI207" s="160" t="s">
        <v>290</v>
      </c>
      <c r="CJ207" s="158" t="s">
        <v>277</v>
      </c>
      <c r="CK207" s="160" t="s">
        <v>290</v>
      </c>
      <c r="CL207" s="158" t="s">
        <v>277</v>
      </c>
      <c r="CM207" s="158" t="s">
        <v>277</v>
      </c>
      <c r="CN207" s="160" t="s">
        <v>290</v>
      </c>
      <c r="CO207" s="158" t="s">
        <v>277</v>
      </c>
      <c r="CP207" s="158" t="s">
        <v>277</v>
      </c>
      <c r="CQ207" s="158" t="s">
        <v>277</v>
      </c>
      <c r="CR207" s="158" t="s">
        <v>293</v>
      </c>
      <c r="CS207" s="158" t="s">
        <v>322</v>
      </c>
      <c r="CT207" s="158" t="s">
        <v>295</v>
      </c>
      <c r="CU207" s="158" t="s">
        <v>296</v>
      </c>
      <c r="CV207" s="158" t="s">
        <v>323</v>
      </c>
      <c r="CW207" s="158" t="s">
        <v>277</v>
      </c>
      <c r="CX207" s="158" t="s">
        <v>277</v>
      </c>
      <c r="CY207" s="158" t="s">
        <v>277</v>
      </c>
      <c r="CZ207" s="158" t="s">
        <v>277</v>
      </c>
      <c r="DA207" s="158" t="s">
        <v>277</v>
      </c>
      <c r="DB207" s="158" t="s">
        <v>277</v>
      </c>
      <c r="DC207" s="158" t="s">
        <v>277</v>
      </c>
      <c r="DD207" s="159"/>
      <c r="DE207" s="159"/>
      <c r="DF207" s="159"/>
      <c r="DG207" s="159"/>
      <c r="DH207" s="159"/>
      <c r="DI207" s="159"/>
      <c r="DJ207" s="159"/>
      <c r="DK207" s="159"/>
      <c r="DL207" s="159"/>
      <c r="DM207" s="159"/>
      <c r="DN207" s="159"/>
      <c r="DO207" s="159"/>
      <c r="DP207" s="159"/>
      <c r="DQ207" s="159"/>
      <c r="DR207" s="159"/>
      <c r="DS207" s="159"/>
      <c r="DT207" s="159"/>
      <c r="DU207" s="159"/>
      <c r="DV207" s="159"/>
      <c r="DW207" s="159"/>
      <c r="DX207" s="159"/>
      <c r="DY207" s="159"/>
      <c r="DZ207" s="159"/>
      <c r="EA207" s="159"/>
      <c r="EB207" s="159"/>
      <c r="EC207" s="159"/>
      <c r="ED207" s="159"/>
    </row>
    <row r="208" spans="1:134" ht="30">
      <c r="B208" s="159"/>
      <c r="C208" s="160" t="s">
        <v>269</v>
      </c>
      <c r="D208" s="160" t="s">
        <v>270</v>
      </c>
      <c r="E208" s="160"/>
      <c r="F208" s="160" t="s">
        <v>272</v>
      </c>
      <c r="G208" s="160" t="s">
        <v>273</v>
      </c>
      <c r="H208" s="160" t="s">
        <v>151</v>
      </c>
      <c r="I208" s="160" t="s">
        <v>674</v>
      </c>
      <c r="J208" s="160" t="s">
        <v>675</v>
      </c>
      <c r="K208" s="160" t="s">
        <v>277</v>
      </c>
      <c r="L208" s="160" t="s">
        <v>277</v>
      </c>
      <c r="M208" s="160" t="s">
        <v>277</v>
      </c>
      <c r="N208" s="160" t="s">
        <v>277</v>
      </c>
      <c r="O208" s="160" t="s">
        <v>3</v>
      </c>
      <c r="P208" s="160" t="s">
        <v>14</v>
      </c>
      <c r="Q208" s="160" t="s">
        <v>27</v>
      </c>
      <c r="R208" s="158" t="s">
        <v>276</v>
      </c>
      <c r="S208" s="159" t="s">
        <v>277</v>
      </c>
      <c r="T208" s="159" t="s">
        <v>277</v>
      </c>
      <c r="U208" s="160" t="s">
        <v>277</v>
      </c>
      <c r="V208" s="159" t="s">
        <v>277</v>
      </c>
      <c r="W208" s="159" t="s">
        <v>277</v>
      </c>
      <c r="X208" s="161" t="s">
        <v>1670</v>
      </c>
      <c r="Y208" s="159"/>
      <c r="Z208" s="159"/>
      <c r="AA208" s="159"/>
      <c r="AB208" s="159"/>
      <c r="AC208" s="159"/>
      <c r="AD208" s="159"/>
      <c r="AE208" s="155">
        <v>0</v>
      </c>
      <c r="AF208" s="155">
        <v>0</v>
      </c>
      <c r="AG208" s="155"/>
      <c r="AH208" s="121">
        <f>AF208-AG208</f>
        <v>0</v>
      </c>
      <c r="AI208" s="159" t="s">
        <v>603</v>
      </c>
      <c r="AJ208" s="206"/>
      <c r="AK208" s="206"/>
      <c r="AL208" s="161"/>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c r="BR208" s="159"/>
      <c r="BS208" s="159"/>
      <c r="BT208" s="159"/>
      <c r="BU208" s="159"/>
      <c r="BV208" s="159"/>
      <c r="BW208" s="155">
        <v>0</v>
      </c>
      <c r="BX208" s="155">
        <v>0</v>
      </c>
      <c r="BY208" s="155">
        <v>0</v>
      </c>
      <c r="BZ208" s="155">
        <v>0</v>
      </c>
      <c r="CA208" s="155">
        <v>0</v>
      </c>
      <c r="CB208" s="155">
        <v>0</v>
      </c>
      <c r="CC208" s="155">
        <v>0</v>
      </c>
      <c r="CD208" s="155">
        <v>0</v>
      </c>
      <c r="CE208" s="155">
        <v>0</v>
      </c>
      <c r="CF208" s="156">
        <f>SUM(BT208:CE208)</f>
        <v>0</v>
      </c>
      <c r="CG208" s="156">
        <f>$CF208-$AF208</f>
        <v>0</v>
      </c>
      <c r="CH208" s="160" t="s">
        <v>289</v>
      </c>
      <c r="CI208" s="160" t="s">
        <v>290</v>
      </c>
      <c r="CJ208" s="158" t="s">
        <v>277</v>
      </c>
      <c r="CK208" s="158" t="s">
        <v>290</v>
      </c>
      <c r="CL208" s="158" t="s">
        <v>277</v>
      </c>
      <c r="CM208" s="158" t="s">
        <v>277</v>
      </c>
      <c r="CN208" s="160" t="s">
        <v>290</v>
      </c>
      <c r="CO208" s="160" t="s">
        <v>290</v>
      </c>
      <c r="CP208" s="160" t="s">
        <v>290</v>
      </c>
      <c r="CQ208" s="160" t="s">
        <v>290</v>
      </c>
      <c r="CR208" s="158" t="s">
        <v>293</v>
      </c>
      <c r="CS208" s="158" t="s">
        <v>322</v>
      </c>
      <c r="CT208" s="158" t="s">
        <v>295</v>
      </c>
      <c r="CU208" s="158" t="s">
        <v>296</v>
      </c>
      <c r="CV208" s="158" t="s">
        <v>323</v>
      </c>
      <c r="CW208" s="158" t="s">
        <v>277</v>
      </c>
      <c r="CX208" s="158" t="s">
        <v>277</v>
      </c>
      <c r="CY208" s="158" t="s">
        <v>277</v>
      </c>
      <c r="CZ208" s="158" t="s">
        <v>277</v>
      </c>
      <c r="DA208" s="158" t="s">
        <v>277</v>
      </c>
      <c r="DB208" s="158" t="s">
        <v>277</v>
      </c>
      <c r="DC208" s="158" t="s">
        <v>277</v>
      </c>
      <c r="DD208" s="159"/>
      <c r="DE208" s="159"/>
      <c r="DF208" s="159"/>
      <c r="DG208" s="159"/>
      <c r="DH208" s="159"/>
      <c r="DI208" s="159"/>
      <c r="DJ208" s="159"/>
      <c r="DK208" s="159"/>
      <c r="DL208" s="159"/>
      <c r="DM208" s="159"/>
      <c r="DN208" s="159"/>
      <c r="DO208" s="159"/>
      <c r="DP208" s="159"/>
      <c r="DQ208" s="159"/>
      <c r="DR208" s="159"/>
      <c r="DS208" s="159"/>
      <c r="DT208" s="159"/>
      <c r="DU208" s="159"/>
      <c r="DV208" s="159"/>
      <c r="DW208" s="159"/>
      <c r="DX208" s="159"/>
      <c r="DY208" s="159"/>
      <c r="DZ208" s="159"/>
      <c r="EA208" s="159"/>
      <c r="EB208" s="159"/>
      <c r="EC208" s="159"/>
      <c r="ED208" s="159"/>
    </row>
    <row r="209" spans="1:134" ht="30">
      <c r="B209" s="159"/>
      <c r="C209" s="160" t="s">
        <v>269</v>
      </c>
      <c r="D209" s="160" t="s">
        <v>270</v>
      </c>
      <c r="E209" s="160"/>
      <c r="F209" s="160" t="s">
        <v>272</v>
      </c>
      <c r="G209" s="160" t="s">
        <v>273</v>
      </c>
      <c r="H209" s="160" t="s">
        <v>151</v>
      </c>
      <c r="I209" s="160" t="s">
        <v>674</v>
      </c>
      <c r="J209" s="160" t="s">
        <v>675</v>
      </c>
      <c r="K209" s="160" t="s">
        <v>277</v>
      </c>
      <c r="L209" s="160" t="s">
        <v>277</v>
      </c>
      <c r="M209" s="160" t="s">
        <v>277</v>
      </c>
      <c r="N209" s="160" t="s">
        <v>277</v>
      </c>
      <c r="O209" s="160" t="s">
        <v>3</v>
      </c>
      <c r="P209" s="160" t="s">
        <v>14</v>
      </c>
      <c r="Q209" s="160" t="s">
        <v>27</v>
      </c>
      <c r="R209" s="158" t="s">
        <v>276</v>
      </c>
      <c r="S209" s="159" t="s">
        <v>277</v>
      </c>
      <c r="T209" s="159" t="s">
        <v>277</v>
      </c>
      <c r="U209" s="160" t="s">
        <v>277</v>
      </c>
      <c r="V209" s="159" t="s">
        <v>277</v>
      </c>
      <c r="W209" s="159" t="s">
        <v>277</v>
      </c>
      <c r="X209" s="161" t="s">
        <v>1671</v>
      </c>
      <c r="Y209" s="159"/>
      <c r="Z209" s="159"/>
      <c r="AA209" s="159"/>
      <c r="AB209" s="159"/>
      <c r="AC209" s="159"/>
      <c r="AD209" s="159"/>
      <c r="AE209" s="155">
        <v>0</v>
      </c>
      <c r="AF209" s="155">
        <v>0</v>
      </c>
      <c r="AG209" s="155"/>
      <c r="AH209" s="121">
        <f>AF209-AG209</f>
        <v>0</v>
      </c>
      <c r="AI209" s="159" t="s">
        <v>603</v>
      </c>
      <c r="AJ209" s="206"/>
      <c r="AK209" s="206"/>
      <c r="AL209" s="161"/>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c r="BR209" s="159"/>
      <c r="BS209" s="159"/>
      <c r="BT209" s="159"/>
      <c r="BU209" s="159"/>
      <c r="BV209" s="159"/>
      <c r="BW209" s="155">
        <v>0</v>
      </c>
      <c r="BX209" s="155">
        <v>0</v>
      </c>
      <c r="BY209" s="155">
        <v>0</v>
      </c>
      <c r="BZ209" s="155">
        <v>0</v>
      </c>
      <c r="CA209" s="155">
        <v>0</v>
      </c>
      <c r="CB209" s="155">
        <v>0</v>
      </c>
      <c r="CC209" s="155">
        <v>0</v>
      </c>
      <c r="CD209" s="155">
        <v>0</v>
      </c>
      <c r="CE209" s="155">
        <v>0</v>
      </c>
      <c r="CF209" s="156">
        <f>SUM(BT209:CE209)</f>
        <v>0</v>
      </c>
      <c r="CG209" s="156">
        <f>$CF209-$AF209</f>
        <v>0</v>
      </c>
      <c r="CH209" s="160" t="s">
        <v>289</v>
      </c>
      <c r="CI209" s="160" t="s">
        <v>290</v>
      </c>
      <c r="CJ209" s="158" t="s">
        <v>277</v>
      </c>
      <c r="CK209" s="158" t="s">
        <v>290</v>
      </c>
      <c r="CL209" s="158" t="s">
        <v>277</v>
      </c>
      <c r="CM209" s="158" t="s">
        <v>277</v>
      </c>
      <c r="CN209" s="160" t="s">
        <v>290</v>
      </c>
      <c r="CO209" s="160" t="s">
        <v>290</v>
      </c>
      <c r="CP209" s="160" t="s">
        <v>290</v>
      </c>
      <c r="CQ209" s="160" t="s">
        <v>290</v>
      </c>
      <c r="CR209" s="158" t="s">
        <v>293</v>
      </c>
      <c r="CS209" s="158" t="s">
        <v>322</v>
      </c>
      <c r="CT209" s="158" t="s">
        <v>295</v>
      </c>
      <c r="CU209" s="158" t="s">
        <v>296</v>
      </c>
      <c r="CV209" s="158" t="s">
        <v>323</v>
      </c>
      <c r="CW209" s="158" t="s">
        <v>277</v>
      </c>
      <c r="CX209" s="158" t="s">
        <v>277</v>
      </c>
      <c r="CY209" s="158" t="s">
        <v>277</v>
      </c>
      <c r="CZ209" s="158" t="s">
        <v>277</v>
      </c>
      <c r="DA209" s="158" t="s">
        <v>277</v>
      </c>
      <c r="DB209" s="158" t="s">
        <v>277</v>
      </c>
      <c r="DC209" s="158" t="s">
        <v>277</v>
      </c>
      <c r="DD209" s="159"/>
      <c r="DE209" s="159"/>
      <c r="DF209" s="159"/>
      <c r="DG209" s="159"/>
      <c r="DH209" s="159"/>
      <c r="DI209" s="159"/>
      <c r="DJ209" s="159"/>
      <c r="DK209" s="159"/>
      <c r="DL209" s="159"/>
      <c r="DM209" s="159"/>
      <c r="DN209" s="159"/>
      <c r="DO209" s="159"/>
      <c r="DP209" s="159"/>
      <c r="DQ209" s="159"/>
      <c r="DR209" s="159"/>
      <c r="DS209" s="159"/>
      <c r="DT209" s="159"/>
      <c r="DU209" s="159"/>
      <c r="DV209" s="159"/>
      <c r="DW209" s="159"/>
      <c r="DX209" s="159"/>
      <c r="DY209" s="159"/>
      <c r="DZ209" s="159"/>
      <c r="EA209" s="159"/>
      <c r="EB209" s="159"/>
      <c r="EC209" s="159"/>
      <c r="ED209" s="159"/>
    </row>
    <row r="210" spans="1:134" ht="60">
      <c r="A210" s="74"/>
      <c r="B210" s="50">
        <v>168</v>
      </c>
      <c r="C210" s="50" t="s">
        <v>269</v>
      </c>
      <c r="D210" s="50" t="s">
        <v>297</v>
      </c>
      <c r="E210" s="50"/>
      <c r="F210" s="50" t="s">
        <v>272</v>
      </c>
      <c r="G210" s="50" t="s">
        <v>273</v>
      </c>
      <c r="H210" s="37" t="s">
        <v>151</v>
      </c>
      <c r="I210" s="37" t="s">
        <v>274</v>
      </c>
      <c r="J210" s="92" t="s">
        <v>1529</v>
      </c>
      <c r="K210" s="50" t="s">
        <v>3</v>
      </c>
      <c r="L210" s="50" t="s">
        <v>14</v>
      </c>
      <c r="M210" s="50" t="s">
        <v>16</v>
      </c>
      <c r="N210" s="50" t="s">
        <v>276</v>
      </c>
      <c r="O210" s="37" t="s">
        <v>3</v>
      </c>
      <c r="P210" s="37" t="s">
        <v>14</v>
      </c>
      <c r="Q210" s="37" t="s">
        <v>16</v>
      </c>
      <c r="R210" s="37" t="s">
        <v>276</v>
      </c>
      <c r="S210" s="50" t="s">
        <v>277</v>
      </c>
      <c r="T210" s="50">
        <v>23</v>
      </c>
      <c r="U210" s="50" t="s">
        <v>1672</v>
      </c>
      <c r="V210" s="84" t="s">
        <v>1673</v>
      </c>
      <c r="W210" s="84" t="s">
        <v>1673</v>
      </c>
      <c r="X210" s="82" t="s">
        <v>1673</v>
      </c>
      <c r="Y210" s="60">
        <v>0</v>
      </c>
      <c r="Z210" s="60">
        <v>0</v>
      </c>
      <c r="AA210" s="60"/>
      <c r="AB210" s="60"/>
      <c r="AC210" s="61"/>
      <c r="AD210" s="61"/>
      <c r="AE210" s="109">
        <v>0</v>
      </c>
      <c r="AF210" s="109">
        <v>0</v>
      </c>
      <c r="AG210" s="108">
        <f>$AR210+$AZ210+$BQ210+$BT210+$BU210+$BV210</f>
        <v>0</v>
      </c>
      <c r="AH210" s="121">
        <f>AF210-AG210</f>
        <v>0</v>
      </c>
      <c r="AI210" s="106" t="s">
        <v>643</v>
      </c>
      <c r="AJ210" s="207"/>
      <c r="AK210" s="207"/>
      <c r="AL210" s="130"/>
      <c r="AM210" s="68"/>
      <c r="AN210" s="68"/>
      <c r="AO210" s="68"/>
      <c r="AP210" s="68"/>
      <c r="AQ210" s="68"/>
      <c r="AR210" s="68"/>
      <c r="AS210" s="68"/>
      <c r="AT210" s="68"/>
      <c r="AU210" s="69"/>
      <c r="AV210" s="69"/>
      <c r="AW210" s="69"/>
      <c r="AX210" s="69"/>
      <c r="AY210" s="68"/>
      <c r="AZ210" s="68"/>
      <c r="BA210" s="68"/>
      <c r="BB210" s="68"/>
      <c r="BC210" s="69"/>
      <c r="BD210" s="69"/>
      <c r="BE210" s="56" t="s">
        <v>277</v>
      </c>
      <c r="BF210" s="56" t="s">
        <v>277</v>
      </c>
      <c r="BG210" s="56" t="s">
        <v>277</v>
      </c>
      <c r="BH210" s="56" t="s">
        <v>277</v>
      </c>
      <c r="BI210" s="69">
        <v>0</v>
      </c>
      <c r="BJ210" s="69">
        <v>0</v>
      </c>
      <c r="BK210" s="69">
        <v>0</v>
      </c>
      <c r="BL210" s="69">
        <v>0</v>
      </c>
      <c r="BM210" s="69">
        <v>0</v>
      </c>
      <c r="BN210" s="69">
        <v>0</v>
      </c>
      <c r="BO210" s="69">
        <v>0</v>
      </c>
      <c r="BP210" s="69">
        <v>0</v>
      </c>
      <c r="BQ210" s="69">
        <f>$BJ210</f>
        <v>0</v>
      </c>
      <c r="BR210" s="69" t="s">
        <v>643</v>
      </c>
      <c r="BS210" s="69" t="s">
        <v>798</v>
      </c>
      <c r="BT210" s="68">
        <v>0</v>
      </c>
      <c r="BU210" s="68">
        <v>0</v>
      </c>
      <c r="BV210" s="68">
        <v>0</v>
      </c>
      <c r="BW210" s="94">
        <v>0</v>
      </c>
      <c r="BX210" s="94">
        <v>0</v>
      </c>
      <c r="BY210" s="94">
        <v>0</v>
      </c>
      <c r="BZ210" s="94">
        <v>0</v>
      </c>
      <c r="CA210" s="94">
        <v>0</v>
      </c>
      <c r="CB210" s="94">
        <v>0</v>
      </c>
      <c r="CC210" s="94">
        <v>0</v>
      </c>
      <c r="CD210" s="94">
        <v>0</v>
      </c>
      <c r="CE210" s="94">
        <v>0</v>
      </c>
      <c r="CF210" s="108">
        <f>SUM(BT210:CE210)</f>
        <v>0</v>
      </c>
      <c r="CG210" s="108">
        <f>$CF210-$AF210</f>
        <v>0</v>
      </c>
      <c r="CH210" s="87" t="s">
        <v>277</v>
      </c>
      <c r="CI210" s="37" t="s">
        <v>277</v>
      </c>
      <c r="CJ210" s="37" t="s">
        <v>277</v>
      </c>
      <c r="CK210" s="37" t="s">
        <v>290</v>
      </c>
      <c r="CL210" s="37" t="s">
        <v>277</v>
      </c>
      <c r="CM210" s="37" t="s">
        <v>277</v>
      </c>
      <c r="CN210" s="37" t="s">
        <v>290</v>
      </c>
      <c r="CO210" s="37" t="s">
        <v>277</v>
      </c>
      <c r="CP210" s="37" t="s">
        <v>277</v>
      </c>
      <c r="CQ210" s="37" t="s">
        <v>277</v>
      </c>
      <c r="CR210" s="37" t="s">
        <v>277</v>
      </c>
      <c r="CS210" s="37" t="s">
        <v>277</v>
      </c>
      <c r="CT210" s="37" t="s">
        <v>277</v>
      </c>
      <c r="CU210" s="37" t="s">
        <v>277</v>
      </c>
      <c r="CV210" s="37" t="s">
        <v>643</v>
      </c>
      <c r="CW210" s="87" t="s">
        <v>277</v>
      </c>
      <c r="CX210" s="87" t="s">
        <v>277</v>
      </c>
      <c r="CY210" s="87" t="s">
        <v>277</v>
      </c>
      <c r="CZ210" s="87" t="s">
        <v>277</v>
      </c>
      <c r="DA210" s="87" t="s">
        <v>277</v>
      </c>
      <c r="DB210" s="87" t="s">
        <v>277</v>
      </c>
      <c r="DC210" s="87" t="s">
        <v>277</v>
      </c>
      <c r="DD210" s="68"/>
      <c r="DE210" s="68"/>
      <c r="DF210" s="68"/>
      <c r="DG210" s="68"/>
      <c r="DH210" s="68"/>
      <c r="DI210" s="68"/>
      <c r="DJ210" s="68"/>
      <c r="DK210" s="68"/>
      <c r="DL210" s="68"/>
      <c r="DM210" s="68"/>
      <c r="DN210" s="68"/>
      <c r="DO210" s="68"/>
      <c r="DP210" s="68">
        <f>SUM(DD210:DO210)</f>
        <v>0</v>
      </c>
      <c r="DQ210" s="68">
        <f>DP210-AB210</f>
        <v>0</v>
      </c>
      <c r="DR210" s="68">
        <f>$DD210</f>
        <v>0</v>
      </c>
      <c r="DS210" s="68">
        <f>DR210+DE210</f>
        <v>0</v>
      </c>
      <c r="DT210" s="68">
        <f>DS210+DF210</f>
        <v>0</v>
      </c>
      <c r="DU210" s="68">
        <f>DT210+DG210</f>
        <v>0</v>
      </c>
      <c r="DV210" s="68">
        <f>DU210+DH210</f>
        <v>0</v>
      </c>
      <c r="DW210" s="68">
        <f>DV210+DI210</f>
        <v>0</v>
      </c>
      <c r="DX210" s="68">
        <f>DW210+DJ210</f>
        <v>0</v>
      </c>
      <c r="DY210" s="68">
        <f>DX210+DK210</f>
        <v>0</v>
      </c>
      <c r="DZ210" s="68">
        <f>DY210+DL210</f>
        <v>0</v>
      </c>
      <c r="EA210" s="68">
        <f>DZ210+DM210</f>
        <v>0</v>
      </c>
      <c r="EB210" s="68">
        <f>EA210+DN210</f>
        <v>0</v>
      </c>
      <c r="EC210" s="68">
        <f>EB210+DO210</f>
        <v>0</v>
      </c>
      <c r="ED210" s="68">
        <f>$EC210-$AB210</f>
        <v>0</v>
      </c>
    </row>
    <row r="211" spans="1:134" ht="30">
      <c r="A211" s="74"/>
      <c r="B211" s="50">
        <v>169</v>
      </c>
      <c r="C211" s="50" t="s">
        <v>269</v>
      </c>
      <c r="D211" s="50" t="s">
        <v>297</v>
      </c>
      <c r="E211" s="50"/>
      <c r="F211" s="50" t="s">
        <v>272</v>
      </c>
      <c r="G211" s="50" t="s">
        <v>273</v>
      </c>
      <c r="H211" s="37" t="s">
        <v>151</v>
      </c>
      <c r="I211" s="37" t="s">
        <v>277</v>
      </c>
      <c r="J211" s="93" t="s">
        <v>1529</v>
      </c>
      <c r="K211" s="50" t="s">
        <v>3</v>
      </c>
      <c r="L211" s="50" t="s">
        <v>14</v>
      </c>
      <c r="M211" s="50" t="s">
        <v>16</v>
      </c>
      <c r="N211" s="50" t="s">
        <v>276</v>
      </c>
      <c r="O211" s="37" t="s">
        <v>3</v>
      </c>
      <c r="P211" s="37" t="s">
        <v>14</v>
      </c>
      <c r="Q211" s="37" t="s">
        <v>16</v>
      </c>
      <c r="R211" s="37" t="s">
        <v>276</v>
      </c>
      <c r="S211" s="50" t="s">
        <v>277</v>
      </c>
      <c r="T211" s="50">
        <v>25</v>
      </c>
      <c r="U211" s="50" t="s">
        <v>1674</v>
      </c>
      <c r="V211" s="84" t="s">
        <v>1675</v>
      </c>
      <c r="W211" s="84" t="s">
        <v>1675</v>
      </c>
      <c r="X211" s="82" t="s">
        <v>1675</v>
      </c>
      <c r="Y211" s="60"/>
      <c r="Z211" s="60"/>
      <c r="AA211" s="60"/>
      <c r="AB211" s="60"/>
      <c r="AC211" s="61"/>
      <c r="AD211" s="61"/>
      <c r="AE211" s="109">
        <v>0</v>
      </c>
      <c r="AF211" s="109">
        <v>0</v>
      </c>
      <c r="AG211" s="108">
        <f>$AR211+$AZ211+$BQ211+$BT211+$BU211+$BV211</f>
        <v>0</v>
      </c>
      <c r="AH211" s="121">
        <f>AF211-AG211</f>
        <v>0</v>
      </c>
      <c r="AI211" s="39" t="s">
        <v>1529</v>
      </c>
      <c r="AJ211" s="200"/>
      <c r="AK211" s="200"/>
      <c r="AL211" s="39"/>
      <c r="AM211" s="68"/>
      <c r="AN211" s="68"/>
      <c r="AO211" s="68"/>
      <c r="AP211" s="68"/>
      <c r="AQ211" s="68"/>
      <c r="AR211" s="68"/>
      <c r="AS211" s="68"/>
      <c r="AT211" s="68"/>
      <c r="AU211" s="69"/>
      <c r="AV211" s="69"/>
      <c r="AW211" s="69"/>
      <c r="AX211" s="69"/>
      <c r="AY211" s="68"/>
      <c r="AZ211" s="68"/>
      <c r="BA211" s="68"/>
      <c r="BB211" s="68"/>
      <c r="BC211" s="69"/>
      <c r="BD211" s="69"/>
      <c r="BE211" s="56" t="s">
        <v>277</v>
      </c>
      <c r="BF211" s="56" t="s">
        <v>277</v>
      </c>
      <c r="BG211" s="56" t="s">
        <v>277</v>
      </c>
      <c r="BH211" s="56" t="s">
        <v>277</v>
      </c>
      <c r="BI211" s="69">
        <v>0</v>
      </c>
      <c r="BJ211" s="69">
        <v>0</v>
      </c>
      <c r="BK211" s="69">
        <v>0</v>
      </c>
      <c r="BL211" s="69">
        <v>0</v>
      </c>
      <c r="BM211" s="69">
        <v>0</v>
      </c>
      <c r="BN211" s="69">
        <v>0</v>
      </c>
      <c r="BO211" s="69">
        <v>0</v>
      </c>
      <c r="BP211" s="69">
        <v>0</v>
      </c>
      <c r="BQ211" s="69">
        <f>$BJ211</f>
        <v>0</v>
      </c>
      <c r="BR211" s="69" t="s">
        <v>643</v>
      </c>
      <c r="BS211" s="69" t="s">
        <v>798</v>
      </c>
      <c r="BT211" s="68">
        <v>0</v>
      </c>
      <c r="BU211" s="68">
        <v>0</v>
      </c>
      <c r="BV211" s="68">
        <v>0</v>
      </c>
      <c r="BW211" s="94">
        <v>0</v>
      </c>
      <c r="BX211" s="94">
        <v>0</v>
      </c>
      <c r="BY211" s="94">
        <v>0</v>
      </c>
      <c r="BZ211" s="94">
        <v>0</v>
      </c>
      <c r="CA211" s="94">
        <v>0</v>
      </c>
      <c r="CB211" s="94">
        <v>0</v>
      </c>
      <c r="CC211" s="94">
        <v>0</v>
      </c>
      <c r="CD211" s="94">
        <v>0</v>
      </c>
      <c r="CE211" s="94">
        <v>0</v>
      </c>
      <c r="CF211" s="108">
        <f>SUM(BT211:CE211)</f>
        <v>0</v>
      </c>
      <c r="CG211" s="108">
        <f>$CF211-$AF211</f>
        <v>0</v>
      </c>
      <c r="CH211" s="87" t="s">
        <v>277</v>
      </c>
      <c r="CI211" s="37" t="s">
        <v>277</v>
      </c>
      <c r="CJ211" s="37" t="s">
        <v>277</v>
      </c>
      <c r="CK211" s="37" t="s">
        <v>290</v>
      </c>
      <c r="CL211" s="37" t="s">
        <v>277</v>
      </c>
      <c r="CM211" s="37" t="s">
        <v>277</v>
      </c>
      <c r="CN211" s="37" t="s">
        <v>290</v>
      </c>
      <c r="CO211" s="37" t="s">
        <v>277</v>
      </c>
      <c r="CP211" s="87" t="s">
        <v>277</v>
      </c>
      <c r="CQ211" s="87" t="s">
        <v>277</v>
      </c>
      <c r="CR211" s="87" t="s">
        <v>277</v>
      </c>
      <c r="CS211" s="37" t="s">
        <v>277</v>
      </c>
      <c r="CT211" s="37" t="s">
        <v>277</v>
      </c>
      <c r="CU211" s="37" t="s">
        <v>277</v>
      </c>
      <c r="CV211" s="37" t="s">
        <v>643</v>
      </c>
      <c r="CW211" s="87" t="s">
        <v>277</v>
      </c>
      <c r="CX211" s="87" t="s">
        <v>277</v>
      </c>
      <c r="CY211" s="87" t="s">
        <v>277</v>
      </c>
      <c r="CZ211" s="87" t="s">
        <v>277</v>
      </c>
      <c r="DA211" s="87" t="s">
        <v>277</v>
      </c>
      <c r="DB211" s="87" t="s">
        <v>277</v>
      </c>
      <c r="DC211" s="87" t="s">
        <v>277</v>
      </c>
      <c r="DD211" s="68"/>
      <c r="DE211" s="68"/>
      <c r="DF211" s="68"/>
      <c r="DG211" s="68"/>
      <c r="DH211" s="68"/>
      <c r="DI211" s="68"/>
      <c r="DJ211" s="68"/>
      <c r="DK211" s="68"/>
      <c r="DL211" s="68"/>
      <c r="DM211" s="68"/>
      <c r="DN211" s="68"/>
      <c r="DO211" s="68"/>
      <c r="DP211" s="68">
        <f>SUM(DD211:DO211)</f>
        <v>0</v>
      </c>
      <c r="DQ211" s="68">
        <f>DP211-AB211</f>
        <v>0</v>
      </c>
      <c r="DR211" s="68">
        <f>$DD211</f>
        <v>0</v>
      </c>
      <c r="DS211" s="68">
        <f>DR211+DE211</f>
        <v>0</v>
      </c>
      <c r="DT211" s="68">
        <f>DS211+DF211</f>
        <v>0</v>
      </c>
      <c r="DU211" s="68">
        <f>DT211+DG211</f>
        <v>0</v>
      </c>
      <c r="DV211" s="68">
        <f>DU211+DH211</f>
        <v>0</v>
      </c>
      <c r="DW211" s="68">
        <f>DV211+DI211</f>
        <v>0</v>
      </c>
      <c r="DX211" s="68">
        <f>DW211+DJ211</f>
        <v>0</v>
      </c>
      <c r="DY211" s="68">
        <f>DX211+DK211</f>
        <v>0</v>
      </c>
      <c r="DZ211" s="68">
        <f>DY211+DL211</f>
        <v>0</v>
      </c>
      <c r="EA211" s="68">
        <f>DZ211+DM211</f>
        <v>0</v>
      </c>
      <c r="EB211" s="68">
        <f>EA211+DN211</f>
        <v>0</v>
      </c>
      <c r="EC211" s="68">
        <f>EB211+DO211</f>
        <v>0</v>
      </c>
      <c r="ED211" s="68">
        <f>$EC211-$AB211</f>
        <v>0</v>
      </c>
    </row>
    <row r="212" spans="1:134" ht="30">
      <c r="A212" s="74"/>
      <c r="B212" s="50">
        <v>172</v>
      </c>
      <c r="C212" s="50" t="s">
        <v>269</v>
      </c>
      <c r="D212" s="50" t="s">
        <v>297</v>
      </c>
      <c r="E212" s="50"/>
      <c r="F212" s="50" t="s">
        <v>272</v>
      </c>
      <c r="G212" s="50" t="s">
        <v>273</v>
      </c>
      <c r="H212" s="37" t="s">
        <v>151</v>
      </c>
      <c r="I212" s="37" t="s">
        <v>277</v>
      </c>
      <c r="J212" s="92" t="s">
        <v>1529</v>
      </c>
      <c r="K212" s="50" t="s">
        <v>3</v>
      </c>
      <c r="L212" s="50" t="s">
        <v>14</v>
      </c>
      <c r="M212" s="50" t="s">
        <v>16</v>
      </c>
      <c r="N212" s="50" t="s">
        <v>276</v>
      </c>
      <c r="O212" s="37" t="s">
        <v>3</v>
      </c>
      <c r="P212" s="37" t="s">
        <v>14</v>
      </c>
      <c r="Q212" s="37" t="s">
        <v>16</v>
      </c>
      <c r="R212" s="37" t="s">
        <v>276</v>
      </c>
      <c r="S212" s="50" t="s">
        <v>277</v>
      </c>
      <c r="T212" s="50"/>
      <c r="U212" s="50" t="s">
        <v>1676</v>
      </c>
      <c r="V212" s="84" t="s">
        <v>1677</v>
      </c>
      <c r="W212" s="84" t="s">
        <v>1677</v>
      </c>
      <c r="X212" s="82" t="s">
        <v>1677</v>
      </c>
      <c r="Y212" s="60"/>
      <c r="Z212" s="60"/>
      <c r="AA212" s="60"/>
      <c r="AB212" s="60"/>
      <c r="AC212" s="61"/>
      <c r="AD212" s="61"/>
      <c r="AE212" s="109">
        <v>0</v>
      </c>
      <c r="AF212" s="109">
        <v>0</v>
      </c>
      <c r="AG212" s="108">
        <f>$AR212+$AZ212+$BQ212+$BT212+$BU212+$BV212</f>
        <v>0</v>
      </c>
      <c r="AH212" s="121">
        <f>AF212-AG212</f>
        <v>0</v>
      </c>
      <c r="AI212" s="39" t="s">
        <v>1678</v>
      </c>
      <c r="AJ212" s="200"/>
      <c r="AK212" s="200"/>
      <c r="AL212" s="39"/>
      <c r="AM212" s="68"/>
      <c r="AN212" s="68"/>
      <c r="AO212" s="68"/>
      <c r="AP212" s="68"/>
      <c r="AQ212" s="68"/>
      <c r="AR212" s="68"/>
      <c r="AS212" s="68"/>
      <c r="AT212" s="68"/>
      <c r="AU212" s="69"/>
      <c r="AV212" s="69"/>
      <c r="AW212" s="69"/>
      <c r="AX212" s="69"/>
      <c r="AY212" s="68"/>
      <c r="AZ212" s="68"/>
      <c r="BA212" s="68"/>
      <c r="BB212" s="68"/>
      <c r="BC212" s="69"/>
      <c r="BD212" s="69"/>
      <c r="BE212" s="56" t="s">
        <v>277</v>
      </c>
      <c r="BF212" s="56" t="s">
        <v>277</v>
      </c>
      <c r="BG212" s="56" t="s">
        <v>277</v>
      </c>
      <c r="BH212" s="56" t="s">
        <v>277</v>
      </c>
      <c r="BI212" s="69">
        <v>0</v>
      </c>
      <c r="BJ212" s="69">
        <v>0</v>
      </c>
      <c r="BK212" s="69">
        <v>0</v>
      </c>
      <c r="BL212" s="69">
        <v>0</v>
      </c>
      <c r="BM212" s="69">
        <v>0</v>
      </c>
      <c r="BN212" s="69">
        <v>0</v>
      </c>
      <c r="BO212" s="69">
        <v>0</v>
      </c>
      <c r="BP212" s="69">
        <v>0</v>
      </c>
      <c r="BQ212" s="69"/>
      <c r="BR212" s="69" t="s">
        <v>643</v>
      </c>
      <c r="BS212" s="69" t="s">
        <v>798</v>
      </c>
      <c r="BT212" s="68">
        <v>0</v>
      </c>
      <c r="BU212" s="68">
        <v>0</v>
      </c>
      <c r="BV212" s="68">
        <v>0</v>
      </c>
      <c r="BW212" s="94">
        <v>0</v>
      </c>
      <c r="BX212" s="94">
        <v>0</v>
      </c>
      <c r="BY212" s="94">
        <v>0</v>
      </c>
      <c r="BZ212" s="94">
        <v>0</v>
      </c>
      <c r="CA212" s="94">
        <v>0</v>
      </c>
      <c r="CB212" s="109">
        <v>0</v>
      </c>
      <c r="CC212" s="109">
        <v>0</v>
      </c>
      <c r="CD212" s="109">
        <v>0</v>
      </c>
      <c r="CE212" s="109">
        <v>0</v>
      </c>
      <c r="CF212" s="108">
        <f>SUM(BT212:CE212)</f>
        <v>0</v>
      </c>
      <c r="CG212" s="108">
        <f>$CF212-$AF212</f>
        <v>0</v>
      </c>
      <c r="CH212" s="87" t="s">
        <v>277</v>
      </c>
      <c r="CI212" s="37" t="s">
        <v>277</v>
      </c>
      <c r="CJ212" s="37" t="s">
        <v>277</v>
      </c>
      <c r="CK212" s="37" t="s">
        <v>290</v>
      </c>
      <c r="CL212" s="37" t="s">
        <v>277</v>
      </c>
      <c r="CM212" s="37" t="s">
        <v>277</v>
      </c>
      <c r="CN212" s="37" t="s">
        <v>290</v>
      </c>
      <c r="CO212" s="37" t="s">
        <v>277</v>
      </c>
      <c r="CP212" s="87" t="s">
        <v>277</v>
      </c>
      <c r="CQ212" s="87" t="s">
        <v>277</v>
      </c>
      <c r="CR212" s="87" t="s">
        <v>277</v>
      </c>
      <c r="CS212" s="37" t="s">
        <v>277</v>
      </c>
      <c r="CT212" s="37" t="s">
        <v>277</v>
      </c>
      <c r="CU212" s="37" t="s">
        <v>277</v>
      </c>
      <c r="CV212" s="37" t="s">
        <v>643</v>
      </c>
      <c r="CW212" s="37" t="s">
        <v>277</v>
      </c>
      <c r="CX212" s="37" t="s">
        <v>277</v>
      </c>
      <c r="CY212" s="37" t="s">
        <v>277</v>
      </c>
      <c r="CZ212" s="87" t="s">
        <v>277</v>
      </c>
      <c r="DA212" s="87" t="s">
        <v>277</v>
      </c>
      <c r="DB212" s="37" t="s">
        <v>277</v>
      </c>
      <c r="DC212" s="37" t="s">
        <v>277</v>
      </c>
      <c r="DD212" s="68"/>
      <c r="DE212" s="68"/>
      <c r="DF212" s="68"/>
      <c r="DG212" s="68"/>
      <c r="DH212" s="68"/>
      <c r="DI212" s="68"/>
      <c r="DJ212" s="68"/>
      <c r="DK212" s="68"/>
      <c r="DL212" s="68"/>
      <c r="DM212" s="68"/>
      <c r="DN212" s="68"/>
      <c r="DO212" s="68"/>
      <c r="DP212" s="68">
        <f>SUM(DD212:DO212)</f>
        <v>0</v>
      </c>
      <c r="DQ212" s="68">
        <f>DP212-AB212</f>
        <v>0</v>
      </c>
      <c r="DR212" s="68">
        <f>$DD212</f>
        <v>0</v>
      </c>
      <c r="DS212" s="68">
        <f>DR212+DE212</f>
        <v>0</v>
      </c>
      <c r="DT212" s="68">
        <f>DS212+DF212</f>
        <v>0</v>
      </c>
      <c r="DU212" s="68">
        <f>DT212+DG212</f>
        <v>0</v>
      </c>
      <c r="DV212" s="68">
        <f>DU212+DH212</f>
        <v>0</v>
      </c>
      <c r="DW212" s="68">
        <f>DV212+DI212</f>
        <v>0</v>
      </c>
      <c r="DX212" s="68">
        <f>DW212+DJ212</f>
        <v>0</v>
      </c>
      <c r="DY212" s="68">
        <f>DX212+DK212</f>
        <v>0</v>
      </c>
      <c r="DZ212" s="68">
        <f>DY212+DL212</f>
        <v>0</v>
      </c>
      <c r="EA212" s="68">
        <f>DZ212+DM212</f>
        <v>0</v>
      </c>
      <c r="EB212" s="68">
        <f>EA212+DN212</f>
        <v>0</v>
      </c>
      <c r="EC212" s="68">
        <f>EB212+DO212</f>
        <v>0</v>
      </c>
      <c r="ED212" s="68">
        <f>$EC212-$AB212</f>
        <v>0</v>
      </c>
    </row>
    <row r="213" spans="1:134" ht="30">
      <c r="A213" s="74"/>
      <c r="B213" s="50">
        <v>173</v>
      </c>
      <c r="C213" s="50" t="s">
        <v>269</v>
      </c>
      <c r="D213" s="50" t="s">
        <v>297</v>
      </c>
      <c r="E213" s="50"/>
      <c r="F213" s="50" t="s">
        <v>272</v>
      </c>
      <c r="G213" s="50" t="s">
        <v>273</v>
      </c>
      <c r="H213" s="37" t="s">
        <v>151</v>
      </c>
      <c r="I213" s="37" t="s">
        <v>277</v>
      </c>
      <c r="J213" s="92" t="s">
        <v>1529</v>
      </c>
      <c r="K213" s="50" t="s">
        <v>3</v>
      </c>
      <c r="L213" s="50" t="s">
        <v>14</v>
      </c>
      <c r="M213" s="50" t="s">
        <v>16</v>
      </c>
      <c r="N213" s="50" t="s">
        <v>276</v>
      </c>
      <c r="O213" s="37" t="s">
        <v>3</v>
      </c>
      <c r="P213" s="37" t="s">
        <v>14</v>
      </c>
      <c r="Q213" s="37" t="s">
        <v>16</v>
      </c>
      <c r="R213" s="37" t="s">
        <v>276</v>
      </c>
      <c r="S213" s="50" t="s">
        <v>277</v>
      </c>
      <c r="T213" s="50"/>
      <c r="U213" s="50" t="s">
        <v>1679</v>
      </c>
      <c r="V213" s="84" t="s">
        <v>1680</v>
      </c>
      <c r="W213" s="84" t="s">
        <v>1680</v>
      </c>
      <c r="X213" s="82" t="s">
        <v>1680</v>
      </c>
      <c r="Y213" s="60"/>
      <c r="Z213" s="60"/>
      <c r="AA213" s="60"/>
      <c r="AB213" s="60"/>
      <c r="AC213" s="61"/>
      <c r="AD213" s="61"/>
      <c r="AE213" s="109">
        <v>0</v>
      </c>
      <c r="AF213" s="109">
        <v>0</v>
      </c>
      <c r="AG213" s="108">
        <f>$AR213+$AZ213+$BQ213+$BT213+$BU213+$BV213</f>
        <v>0</v>
      </c>
      <c r="AH213" s="121">
        <f>AF213-AG213</f>
        <v>0</v>
      </c>
      <c r="AI213" s="85" t="s">
        <v>1529</v>
      </c>
      <c r="AJ213" s="208"/>
      <c r="AK213" s="208"/>
      <c r="AL213" s="85"/>
      <c r="AM213" s="68"/>
      <c r="AN213" s="68"/>
      <c r="AO213" s="68"/>
      <c r="AP213" s="68"/>
      <c r="AQ213" s="68"/>
      <c r="AR213" s="68"/>
      <c r="AS213" s="68"/>
      <c r="AT213" s="68"/>
      <c r="AU213" s="69"/>
      <c r="AV213" s="69"/>
      <c r="AW213" s="69"/>
      <c r="AX213" s="69"/>
      <c r="AY213" s="68"/>
      <c r="AZ213" s="68"/>
      <c r="BA213" s="68"/>
      <c r="BB213" s="68"/>
      <c r="BC213" s="69"/>
      <c r="BD213" s="69"/>
      <c r="BE213" s="56" t="s">
        <v>277</v>
      </c>
      <c r="BF213" s="56" t="s">
        <v>277</v>
      </c>
      <c r="BG213" s="56" t="s">
        <v>277</v>
      </c>
      <c r="BH213" s="56" t="s">
        <v>277</v>
      </c>
      <c r="BI213" s="69">
        <v>0</v>
      </c>
      <c r="BJ213" s="69">
        <v>0</v>
      </c>
      <c r="BK213" s="69">
        <v>0</v>
      </c>
      <c r="BL213" s="69">
        <v>0</v>
      </c>
      <c r="BM213" s="69">
        <v>0</v>
      </c>
      <c r="BN213" s="69">
        <v>0</v>
      </c>
      <c r="BO213" s="69">
        <v>0</v>
      </c>
      <c r="BP213" s="69">
        <v>0</v>
      </c>
      <c r="BQ213" s="69"/>
      <c r="BR213" s="103" t="s">
        <v>643</v>
      </c>
      <c r="BS213" s="69" t="s">
        <v>798</v>
      </c>
      <c r="BT213" s="68">
        <v>0</v>
      </c>
      <c r="BU213" s="68">
        <v>0</v>
      </c>
      <c r="BV213" s="68">
        <v>0</v>
      </c>
      <c r="BW213" s="94">
        <v>0</v>
      </c>
      <c r="BX213" s="94">
        <v>0</v>
      </c>
      <c r="BY213" s="94">
        <v>0</v>
      </c>
      <c r="BZ213" s="94">
        <v>0</v>
      </c>
      <c r="CA213" s="94">
        <v>0</v>
      </c>
      <c r="CB213" s="94">
        <v>0</v>
      </c>
      <c r="CC213" s="94">
        <v>0</v>
      </c>
      <c r="CD213" s="94">
        <v>0</v>
      </c>
      <c r="CE213" s="94">
        <v>0</v>
      </c>
      <c r="CF213" s="108">
        <f>SUM(BT213:CE213)</f>
        <v>0</v>
      </c>
      <c r="CG213" s="108">
        <f>$CF213-$AF213</f>
        <v>0</v>
      </c>
      <c r="CH213" s="87" t="s">
        <v>277</v>
      </c>
      <c r="CI213" s="37" t="s">
        <v>277</v>
      </c>
      <c r="CJ213" s="37" t="s">
        <v>277</v>
      </c>
      <c r="CK213" s="37" t="s">
        <v>290</v>
      </c>
      <c r="CL213" s="37" t="s">
        <v>277</v>
      </c>
      <c r="CM213" s="37" t="s">
        <v>277</v>
      </c>
      <c r="CN213" s="37" t="s">
        <v>290</v>
      </c>
      <c r="CO213" s="37" t="s">
        <v>277</v>
      </c>
      <c r="CP213" s="87" t="s">
        <v>277</v>
      </c>
      <c r="CQ213" s="87" t="s">
        <v>277</v>
      </c>
      <c r="CR213" s="87" t="s">
        <v>277</v>
      </c>
      <c r="CS213" s="37" t="s">
        <v>277</v>
      </c>
      <c r="CT213" s="37" t="s">
        <v>277</v>
      </c>
      <c r="CU213" s="37" t="s">
        <v>277</v>
      </c>
      <c r="CV213" s="37" t="s">
        <v>643</v>
      </c>
      <c r="CW213" s="37" t="s">
        <v>277</v>
      </c>
      <c r="CX213" s="37" t="s">
        <v>277</v>
      </c>
      <c r="CY213" s="37" t="s">
        <v>277</v>
      </c>
      <c r="CZ213" s="87" t="s">
        <v>277</v>
      </c>
      <c r="DA213" s="87" t="s">
        <v>277</v>
      </c>
      <c r="DB213" s="37" t="s">
        <v>277</v>
      </c>
      <c r="DC213" s="37" t="s">
        <v>277</v>
      </c>
      <c r="DD213" s="68"/>
      <c r="DE213" s="68"/>
      <c r="DF213" s="68"/>
      <c r="DG213" s="68"/>
      <c r="DH213" s="68"/>
      <c r="DI213" s="68"/>
      <c r="DJ213" s="68"/>
      <c r="DK213" s="68"/>
      <c r="DL213" s="68"/>
      <c r="DM213" s="68"/>
      <c r="DN213" s="68"/>
      <c r="DO213" s="68"/>
      <c r="DP213" s="68">
        <f>SUM(DD213:DO213)</f>
        <v>0</v>
      </c>
      <c r="DQ213" s="68">
        <f>DP213-AB213</f>
        <v>0</v>
      </c>
      <c r="DR213" s="68">
        <f>$DD213</f>
        <v>0</v>
      </c>
      <c r="DS213" s="68">
        <f>DR213+DE213</f>
        <v>0</v>
      </c>
      <c r="DT213" s="68">
        <f>DS213+DF213</f>
        <v>0</v>
      </c>
      <c r="DU213" s="68">
        <f>DT213+DG213</f>
        <v>0</v>
      </c>
      <c r="DV213" s="68">
        <f>DU213+DH213</f>
        <v>0</v>
      </c>
      <c r="DW213" s="68">
        <f>DV213+DI213</f>
        <v>0</v>
      </c>
      <c r="DX213" s="68">
        <f>DW213+DJ213</f>
        <v>0</v>
      </c>
      <c r="DY213" s="68">
        <f>DX213+DK213</f>
        <v>0</v>
      </c>
      <c r="DZ213" s="68">
        <f>DY213+DL213</f>
        <v>0</v>
      </c>
      <c r="EA213" s="68">
        <f>DZ213+DM213</f>
        <v>0</v>
      </c>
      <c r="EB213" s="68">
        <f>EA213+DN213</f>
        <v>0</v>
      </c>
      <c r="EC213" s="68">
        <f>EB213+DO213</f>
        <v>0</v>
      </c>
      <c r="ED213" s="68">
        <f>$EC213-$AB213</f>
        <v>0</v>
      </c>
    </row>
    <row r="214" spans="1:134" ht="30">
      <c r="A214" s="74"/>
      <c r="B214" s="50">
        <v>156</v>
      </c>
      <c r="C214" s="50" t="s">
        <v>269</v>
      </c>
      <c r="D214" s="50" t="s">
        <v>270</v>
      </c>
      <c r="E214" s="50" t="s">
        <v>1681</v>
      </c>
      <c r="F214" s="50" t="s">
        <v>272</v>
      </c>
      <c r="G214" s="50" t="s">
        <v>273</v>
      </c>
      <c r="H214" s="37" t="s">
        <v>151</v>
      </c>
      <c r="I214" s="37" t="s">
        <v>326</v>
      </c>
      <c r="J214" s="92" t="s">
        <v>327</v>
      </c>
      <c r="K214" s="50" t="s">
        <v>3</v>
      </c>
      <c r="L214" s="50" t="s">
        <v>14</v>
      </c>
      <c r="M214" s="50" t="s">
        <v>16</v>
      </c>
      <c r="N214" s="50" t="s">
        <v>276</v>
      </c>
      <c r="O214" s="37" t="s">
        <v>3</v>
      </c>
      <c r="P214" s="37" t="s">
        <v>14</v>
      </c>
      <c r="Q214" s="37" t="s">
        <v>16</v>
      </c>
      <c r="R214" s="37" t="s">
        <v>276</v>
      </c>
      <c r="S214" s="50" t="s">
        <v>277</v>
      </c>
      <c r="T214" s="50">
        <v>142</v>
      </c>
      <c r="U214" s="50" t="s">
        <v>1682</v>
      </c>
      <c r="V214" s="56" t="s">
        <v>277</v>
      </c>
      <c r="W214" s="84" t="s">
        <v>1683</v>
      </c>
      <c r="X214" s="82" t="s">
        <v>1683</v>
      </c>
      <c r="Y214" s="60"/>
      <c r="Z214" s="60"/>
      <c r="AA214" s="60"/>
      <c r="AB214" s="60"/>
      <c r="AC214" s="183"/>
      <c r="AD214" s="61"/>
      <c r="AE214" s="112">
        <v>0</v>
      </c>
      <c r="AF214" s="112">
        <v>0</v>
      </c>
      <c r="AG214" s="110">
        <f>$AR214+$AZ214+$BQ214+$BT214+$BU214+$BV214</f>
        <v>0</v>
      </c>
      <c r="AH214" s="121">
        <f>AF214-AG214</f>
        <v>0</v>
      </c>
      <c r="AI214" s="99" t="s">
        <v>1684</v>
      </c>
      <c r="AJ214" s="209"/>
      <c r="AK214" s="209"/>
      <c r="AL214" s="98"/>
      <c r="AM214" s="68"/>
      <c r="AN214" s="68"/>
      <c r="AO214" s="68"/>
      <c r="AP214" s="68"/>
      <c r="AQ214" s="68">
        <v>0</v>
      </c>
      <c r="AR214" s="68">
        <v>0</v>
      </c>
      <c r="AS214" s="68" t="s">
        <v>307</v>
      </c>
      <c r="AT214" s="68"/>
      <c r="AU214" s="69"/>
      <c r="AV214" s="69"/>
      <c r="AW214" s="69"/>
      <c r="AX214" s="69"/>
      <c r="AY214" s="68">
        <v>0</v>
      </c>
      <c r="AZ214" s="68">
        <v>0</v>
      </c>
      <c r="BA214" s="68" t="s">
        <v>307</v>
      </c>
      <c r="BB214" s="68"/>
      <c r="BC214" s="69"/>
      <c r="BD214" s="69"/>
      <c r="BE214" s="56" t="s">
        <v>277</v>
      </c>
      <c r="BF214" s="56" t="s">
        <v>277</v>
      </c>
      <c r="BG214" s="56" t="s">
        <v>277</v>
      </c>
      <c r="BH214" s="56" t="s">
        <v>277</v>
      </c>
      <c r="BI214" s="69">
        <v>0</v>
      </c>
      <c r="BJ214" s="69">
        <v>0</v>
      </c>
      <c r="BK214" s="69">
        <v>0</v>
      </c>
      <c r="BL214" s="69">
        <v>0</v>
      </c>
      <c r="BM214" s="69">
        <v>0</v>
      </c>
      <c r="BN214" s="69">
        <v>0</v>
      </c>
      <c r="BO214" s="69">
        <v>0</v>
      </c>
      <c r="BP214" s="69">
        <v>0</v>
      </c>
      <c r="BQ214" s="69"/>
      <c r="BR214" s="69" t="s">
        <v>156</v>
      </c>
      <c r="BS214" s="69" t="s">
        <v>1685</v>
      </c>
      <c r="BT214" s="68">
        <v>0</v>
      </c>
      <c r="BU214" s="68">
        <v>0</v>
      </c>
      <c r="BV214" s="68">
        <v>0</v>
      </c>
      <c r="BW214" s="94">
        <v>0</v>
      </c>
      <c r="BX214" s="94">
        <v>0</v>
      </c>
      <c r="BY214" s="94">
        <v>0</v>
      </c>
      <c r="BZ214" s="94">
        <v>0</v>
      </c>
      <c r="CA214" s="94">
        <v>0</v>
      </c>
      <c r="CB214" s="94">
        <v>0</v>
      </c>
      <c r="CC214" s="94">
        <v>0</v>
      </c>
      <c r="CD214" s="94">
        <v>0</v>
      </c>
      <c r="CE214" s="94">
        <v>0</v>
      </c>
      <c r="CF214" s="108">
        <f>SUM(BT214:CE214)</f>
        <v>0</v>
      </c>
      <c r="CG214" s="108">
        <f>$CF214-$AF214</f>
        <v>0</v>
      </c>
      <c r="CH214" s="87" t="s">
        <v>277</v>
      </c>
      <c r="CI214" s="87" t="s">
        <v>277</v>
      </c>
      <c r="CJ214" s="87" t="s">
        <v>277</v>
      </c>
      <c r="CK214" s="87" t="s">
        <v>290</v>
      </c>
      <c r="CL214" s="87" t="s">
        <v>277</v>
      </c>
      <c r="CM214" s="87" t="s">
        <v>277</v>
      </c>
      <c r="CN214" s="87" t="s">
        <v>290</v>
      </c>
      <c r="CO214" s="87" t="s">
        <v>277</v>
      </c>
      <c r="CP214" s="87" t="s">
        <v>277</v>
      </c>
      <c r="CQ214" s="87" t="s">
        <v>277</v>
      </c>
      <c r="CR214" s="37" t="s">
        <v>293</v>
      </c>
      <c r="CS214" s="37" t="s">
        <v>322</v>
      </c>
      <c r="CT214" s="37" t="s">
        <v>295</v>
      </c>
      <c r="CU214" s="37" t="s">
        <v>296</v>
      </c>
      <c r="CV214" s="37" t="s">
        <v>643</v>
      </c>
      <c r="CW214" s="37" t="s">
        <v>277</v>
      </c>
      <c r="CX214" s="37" t="s">
        <v>277</v>
      </c>
      <c r="CY214" s="37" t="s">
        <v>277</v>
      </c>
      <c r="CZ214" s="87" t="s">
        <v>277</v>
      </c>
      <c r="DA214" s="87" t="s">
        <v>277</v>
      </c>
      <c r="DB214" s="37" t="s">
        <v>277</v>
      </c>
      <c r="DC214" s="37" t="s">
        <v>277</v>
      </c>
      <c r="DD214" s="68"/>
      <c r="DE214" s="68"/>
      <c r="DF214" s="68"/>
      <c r="DG214" s="68"/>
      <c r="DH214" s="68"/>
      <c r="DI214" s="68"/>
      <c r="DJ214" s="68"/>
      <c r="DK214" s="68"/>
      <c r="DL214" s="68"/>
      <c r="DM214" s="68"/>
      <c r="DN214" s="68"/>
      <c r="DO214" s="68"/>
      <c r="DP214" s="68">
        <f>SUM(DD214:DO214)</f>
        <v>0</v>
      </c>
      <c r="DQ214" s="68">
        <f>DP214-AB214</f>
        <v>0</v>
      </c>
      <c r="DR214" s="68">
        <f>$DD214</f>
        <v>0</v>
      </c>
      <c r="DS214" s="68">
        <f>DR214+DE214</f>
        <v>0</v>
      </c>
      <c r="DT214" s="68">
        <f>DS214+DF214</f>
        <v>0</v>
      </c>
      <c r="DU214" s="68">
        <f>DT214+DG214</f>
        <v>0</v>
      </c>
      <c r="DV214" s="68">
        <f>DU214+DH214</f>
        <v>0</v>
      </c>
      <c r="DW214" s="68">
        <f>DV214+DI214</f>
        <v>0</v>
      </c>
      <c r="DX214" s="68">
        <f>DW214+DJ214</f>
        <v>0</v>
      </c>
      <c r="DY214" s="68">
        <f>DX214+DK214</f>
        <v>0</v>
      </c>
      <c r="DZ214" s="68">
        <f>DY214+DL214</f>
        <v>0</v>
      </c>
      <c r="EA214" s="68">
        <f>DZ214+DM214</f>
        <v>0</v>
      </c>
      <c r="EB214" s="68">
        <f>EA214+DN214</f>
        <v>0</v>
      </c>
      <c r="EC214" s="68">
        <f>EB214+DO214</f>
        <v>0</v>
      </c>
      <c r="ED214" s="68">
        <f>$EC214-$AB214</f>
        <v>0</v>
      </c>
    </row>
    <row r="215" spans="1:134" ht="30">
      <c r="A215" s="74"/>
      <c r="B215" s="50">
        <v>179</v>
      </c>
      <c r="C215" s="50" t="s">
        <v>269</v>
      </c>
      <c r="D215" s="50" t="s">
        <v>297</v>
      </c>
      <c r="E215" s="50"/>
      <c r="F215" s="50"/>
      <c r="G215" s="50"/>
      <c r="H215" s="37" t="s">
        <v>151</v>
      </c>
      <c r="I215" s="37" t="s">
        <v>274</v>
      </c>
      <c r="J215" s="92" t="s">
        <v>275</v>
      </c>
      <c r="K215" s="50"/>
      <c r="L215" s="50"/>
      <c r="M215" s="50"/>
      <c r="N215" s="50" t="s">
        <v>276</v>
      </c>
      <c r="O215" s="37" t="s">
        <v>3</v>
      </c>
      <c r="P215" s="37" t="s">
        <v>25</v>
      </c>
      <c r="Q215" s="37" t="s">
        <v>52</v>
      </c>
      <c r="R215" s="37" t="s">
        <v>512</v>
      </c>
      <c r="S215" s="50"/>
      <c r="T215" s="50"/>
      <c r="U215" s="50" t="s">
        <v>1686</v>
      </c>
      <c r="V215" s="84" t="s">
        <v>1687</v>
      </c>
      <c r="W215" s="84" t="s">
        <v>1687</v>
      </c>
      <c r="X215" s="82" t="s">
        <v>1687</v>
      </c>
      <c r="Y215" s="60"/>
      <c r="Z215" s="60"/>
      <c r="AA215" s="60"/>
      <c r="AB215" s="60"/>
      <c r="AC215" s="61"/>
      <c r="AD215" s="61"/>
      <c r="AE215" s="109">
        <v>0</v>
      </c>
      <c r="AF215" s="109">
        <v>0</v>
      </c>
      <c r="AG215" s="108">
        <f>$AR215+$AZ215+$BQ215+$BT215+$BU215+$BV215</f>
        <v>0</v>
      </c>
      <c r="AH215" s="121">
        <f>AF215-AG215</f>
        <v>0</v>
      </c>
      <c r="AI215" s="106" t="s">
        <v>643</v>
      </c>
      <c r="AJ215" s="207"/>
      <c r="AK215" s="207"/>
      <c r="AL215" s="130"/>
      <c r="AM215" s="68"/>
      <c r="AN215" s="68"/>
      <c r="AO215" s="68"/>
      <c r="AP215" s="68"/>
      <c r="AQ215" s="68"/>
      <c r="AR215" s="68"/>
      <c r="AS215" s="68"/>
      <c r="AT215" s="68"/>
      <c r="AU215" s="69"/>
      <c r="AV215" s="69"/>
      <c r="AW215" s="69"/>
      <c r="AX215" s="69"/>
      <c r="AY215" s="68"/>
      <c r="AZ215" s="68"/>
      <c r="BA215" s="68"/>
      <c r="BB215" s="68"/>
      <c r="BC215" s="69"/>
      <c r="BD215" s="69"/>
      <c r="BE215" s="56" t="s">
        <v>277</v>
      </c>
      <c r="BF215" s="56" t="s">
        <v>277</v>
      </c>
      <c r="BG215" s="56" t="s">
        <v>277</v>
      </c>
      <c r="BH215" s="56" t="s">
        <v>277</v>
      </c>
      <c r="BI215" s="69">
        <v>0</v>
      </c>
      <c r="BJ215" s="69">
        <v>0</v>
      </c>
      <c r="BK215" s="69">
        <v>0</v>
      </c>
      <c r="BL215" s="69">
        <v>0</v>
      </c>
      <c r="BM215" s="69">
        <v>0</v>
      </c>
      <c r="BN215" s="69">
        <v>0</v>
      </c>
      <c r="BO215" s="69">
        <v>0</v>
      </c>
      <c r="BP215" s="69">
        <v>0</v>
      </c>
      <c r="BQ215" s="69"/>
      <c r="BR215" s="69" t="s">
        <v>643</v>
      </c>
      <c r="BS215" s="69" t="s">
        <v>798</v>
      </c>
      <c r="BT215" s="68">
        <v>0</v>
      </c>
      <c r="BU215" s="68">
        <v>0</v>
      </c>
      <c r="BV215" s="68">
        <v>0</v>
      </c>
      <c r="BW215" s="94">
        <v>0</v>
      </c>
      <c r="BX215" s="94">
        <v>0</v>
      </c>
      <c r="BY215" s="94">
        <v>0</v>
      </c>
      <c r="BZ215" s="94">
        <v>0</v>
      </c>
      <c r="CA215" s="94">
        <v>0</v>
      </c>
      <c r="CB215" s="94">
        <v>0</v>
      </c>
      <c r="CC215" s="94">
        <v>0</v>
      </c>
      <c r="CD215" s="94">
        <v>0</v>
      </c>
      <c r="CE215" s="109">
        <v>0</v>
      </c>
      <c r="CF215" s="108">
        <f>SUM(BT215:CE215)</f>
        <v>0</v>
      </c>
      <c r="CG215" s="108">
        <f>$CF215-$AF215</f>
        <v>0</v>
      </c>
      <c r="CH215" s="87" t="s">
        <v>277</v>
      </c>
      <c r="CI215" s="37" t="s">
        <v>277</v>
      </c>
      <c r="CJ215" s="37" t="s">
        <v>277</v>
      </c>
      <c r="CK215" s="37" t="s">
        <v>290</v>
      </c>
      <c r="CL215" s="37" t="s">
        <v>277</v>
      </c>
      <c r="CM215" s="37" t="s">
        <v>277</v>
      </c>
      <c r="CN215" s="37" t="s">
        <v>290</v>
      </c>
      <c r="CO215" s="37" t="s">
        <v>277</v>
      </c>
      <c r="CP215" s="87" t="s">
        <v>277</v>
      </c>
      <c r="CQ215" s="87" t="s">
        <v>277</v>
      </c>
      <c r="CR215" s="87" t="s">
        <v>277</v>
      </c>
      <c r="CS215" s="37" t="s">
        <v>277</v>
      </c>
      <c r="CT215" s="37" t="s">
        <v>277</v>
      </c>
      <c r="CU215" s="37" t="s">
        <v>277</v>
      </c>
      <c r="CV215" s="37" t="s">
        <v>643</v>
      </c>
      <c r="CW215" s="37" t="s">
        <v>277</v>
      </c>
      <c r="CX215" s="37" t="s">
        <v>277</v>
      </c>
      <c r="CY215" s="37" t="s">
        <v>277</v>
      </c>
      <c r="CZ215" s="87" t="s">
        <v>277</v>
      </c>
      <c r="DA215" s="87" t="s">
        <v>277</v>
      </c>
      <c r="DB215" s="37" t="s">
        <v>277</v>
      </c>
      <c r="DC215" s="37" t="s">
        <v>277</v>
      </c>
      <c r="DD215" s="68"/>
      <c r="DE215" s="68"/>
      <c r="DF215" s="68"/>
      <c r="DG215" s="68"/>
      <c r="DH215" s="68"/>
      <c r="DI215" s="68"/>
      <c r="DJ215" s="68"/>
      <c r="DK215" s="68"/>
      <c r="DL215" s="68"/>
      <c r="DM215" s="68"/>
      <c r="DN215" s="68"/>
      <c r="DO215" s="68"/>
      <c r="DP215" s="68">
        <f>SUM(DD215:DO215)</f>
        <v>0</v>
      </c>
      <c r="DQ215" s="68">
        <f>DP215-AB215</f>
        <v>0</v>
      </c>
      <c r="DR215" s="68">
        <f>$DD215</f>
        <v>0</v>
      </c>
      <c r="DS215" s="68">
        <f>DR215+DE215</f>
        <v>0</v>
      </c>
      <c r="DT215" s="68">
        <f>DS215+DF215</f>
        <v>0</v>
      </c>
      <c r="DU215" s="68">
        <f>DT215+DG215</f>
        <v>0</v>
      </c>
      <c r="DV215" s="68">
        <f>DU215+DH215</f>
        <v>0</v>
      </c>
      <c r="DW215" s="68">
        <f>DV215+DI215</f>
        <v>0</v>
      </c>
      <c r="DX215" s="68">
        <f>DW215+DJ215</f>
        <v>0</v>
      </c>
      <c r="DY215" s="68">
        <f>DX215+DK215</f>
        <v>0</v>
      </c>
      <c r="DZ215" s="68">
        <f>DY215+DL215</f>
        <v>0</v>
      </c>
      <c r="EA215" s="68">
        <f>DZ215+DM215</f>
        <v>0</v>
      </c>
      <c r="EB215" s="68">
        <f>EA215+DN215</f>
        <v>0</v>
      </c>
      <c r="EC215" s="68">
        <f>EB215+DO215</f>
        <v>0</v>
      </c>
      <c r="ED215" s="68">
        <f>$EC215-$AB215</f>
        <v>0</v>
      </c>
    </row>
    <row r="216" spans="1:134" ht="30">
      <c r="A216" s="74"/>
      <c r="B216" s="50">
        <v>181</v>
      </c>
      <c r="C216" s="50" t="s">
        <v>269</v>
      </c>
      <c r="D216" s="50" t="s">
        <v>270</v>
      </c>
      <c r="E216" s="51" t="s">
        <v>1688</v>
      </c>
      <c r="F216" s="50"/>
      <c r="G216" s="50"/>
      <c r="H216" s="37" t="s">
        <v>151</v>
      </c>
      <c r="I216" s="37" t="s">
        <v>274</v>
      </c>
      <c r="J216" s="92" t="s">
        <v>1529</v>
      </c>
      <c r="K216" s="50"/>
      <c r="L216" s="50"/>
      <c r="M216" s="50"/>
      <c r="N216" s="50" t="s">
        <v>276</v>
      </c>
      <c r="O216" s="37" t="s">
        <v>3</v>
      </c>
      <c r="P216" s="37" t="s">
        <v>25</v>
      </c>
      <c r="Q216" s="37" t="s">
        <v>52</v>
      </c>
      <c r="R216" s="37" t="s">
        <v>512</v>
      </c>
      <c r="S216" s="50"/>
      <c r="T216" s="50"/>
      <c r="U216" s="50" t="s">
        <v>1689</v>
      </c>
      <c r="V216" s="84" t="s">
        <v>277</v>
      </c>
      <c r="W216" s="84" t="s">
        <v>1690</v>
      </c>
      <c r="X216" s="82" t="s">
        <v>1690</v>
      </c>
      <c r="Y216" s="60"/>
      <c r="Z216" s="60"/>
      <c r="AA216" s="60"/>
      <c r="AB216" s="60"/>
      <c r="AC216" s="61"/>
      <c r="AD216" s="61"/>
      <c r="AE216" s="109">
        <v>0</v>
      </c>
      <c r="AF216" s="109">
        <v>0</v>
      </c>
      <c r="AG216" s="108">
        <f>$AR216+$AZ216+$BQ216+$BT216+$BU216+$BV216</f>
        <v>0</v>
      </c>
      <c r="AH216" s="121">
        <f>AF216-AG216</f>
        <v>0</v>
      </c>
      <c r="AI216" s="106" t="s">
        <v>1691</v>
      </c>
      <c r="AJ216" s="210"/>
      <c r="AK216" s="210"/>
      <c r="AL216" s="106"/>
      <c r="AM216" s="68"/>
      <c r="AN216" s="68"/>
      <c r="AO216" s="68"/>
      <c r="AP216" s="68"/>
      <c r="AQ216" s="68"/>
      <c r="AR216" s="68"/>
      <c r="AS216" s="68"/>
      <c r="AT216" s="68"/>
      <c r="AU216" s="69"/>
      <c r="AV216" s="69"/>
      <c r="AW216" s="69"/>
      <c r="AX216" s="69"/>
      <c r="AY216" s="68"/>
      <c r="AZ216" s="68"/>
      <c r="BA216" s="68"/>
      <c r="BB216" s="68"/>
      <c r="BC216" s="69"/>
      <c r="BD216" s="69"/>
      <c r="BE216" s="56" t="s">
        <v>277</v>
      </c>
      <c r="BF216" s="56" t="s">
        <v>277</v>
      </c>
      <c r="BG216" s="56" t="s">
        <v>277</v>
      </c>
      <c r="BH216" s="56" t="s">
        <v>277</v>
      </c>
      <c r="BI216" s="69">
        <v>0</v>
      </c>
      <c r="BJ216" s="69">
        <v>0</v>
      </c>
      <c r="BK216" s="69">
        <v>0</v>
      </c>
      <c r="BL216" s="69">
        <v>0</v>
      </c>
      <c r="BM216" s="69">
        <v>0</v>
      </c>
      <c r="BN216" s="69">
        <v>0</v>
      </c>
      <c r="BO216" s="69">
        <v>0</v>
      </c>
      <c r="BP216" s="69">
        <v>0</v>
      </c>
      <c r="BQ216" s="69"/>
      <c r="BR216" s="69" t="s">
        <v>382</v>
      </c>
      <c r="BS216" s="69" t="s">
        <v>440</v>
      </c>
      <c r="BT216" s="68">
        <v>0</v>
      </c>
      <c r="BU216" s="68">
        <v>0</v>
      </c>
      <c r="BV216" s="68">
        <v>0</v>
      </c>
      <c r="BW216" s="94">
        <v>0</v>
      </c>
      <c r="BX216" s="94">
        <v>0</v>
      </c>
      <c r="BY216" s="94">
        <v>0</v>
      </c>
      <c r="BZ216" s="94">
        <v>0</v>
      </c>
      <c r="CA216" s="94">
        <v>0</v>
      </c>
      <c r="CB216" s="94">
        <v>0</v>
      </c>
      <c r="CC216" s="94">
        <v>0</v>
      </c>
      <c r="CD216" s="94">
        <v>0</v>
      </c>
      <c r="CE216" s="94">
        <v>0</v>
      </c>
      <c r="CF216" s="108">
        <f>SUM(BT216:CE216)</f>
        <v>0</v>
      </c>
      <c r="CG216" s="108">
        <f>$CF216-$AF216</f>
        <v>0</v>
      </c>
      <c r="CH216" s="87" t="s">
        <v>277</v>
      </c>
      <c r="CI216" s="37" t="s">
        <v>277</v>
      </c>
      <c r="CJ216" s="37" t="s">
        <v>277</v>
      </c>
      <c r="CK216" s="37" t="s">
        <v>290</v>
      </c>
      <c r="CL216" s="37" t="s">
        <v>277</v>
      </c>
      <c r="CM216" s="37" t="s">
        <v>277</v>
      </c>
      <c r="CN216" s="37" t="s">
        <v>290</v>
      </c>
      <c r="CO216" s="37" t="s">
        <v>277</v>
      </c>
      <c r="CP216" s="87" t="s">
        <v>277</v>
      </c>
      <c r="CQ216" s="87" t="s">
        <v>277</v>
      </c>
      <c r="CR216" s="87" t="s">
        <v>277</v>
      </c>
      <c r="CS216" s="37" t="s">
        <v>277</v>
      </c>
      <c r="CT216" s="37" t="s">
        <v>277</v>
      </c>
      <c r="CU216" s="37" t="s">
        <v>277</v>
      </c>
      <c r="CV216" s="37" t="s">
        <v>643</v>
      </c>
      <c r="CW216" s="37" t="s">
        <v>277</v>
      </c>
      <c r="CX216" s="37" t="s">
        <v>277</v>
      </c>
      <c r="CY216" s="37" t="s">
        <v>277</v>
      </c>
      <c r="CZ216" s="87" t="s">
        <v>277</v>
      </c>
      <c r="DA216" s="87" t="s">
        <v>277</v>
      </c>
      <c r="DB216" s="37" t="s">
        <v>277</v>
      </c>
      <c r="DC216" s="37" t="s">
        <v>277</v>
      </c>
      <c r="DD216" s="68"/>
      <c r="DE216" s="68"/>
      <c r="DF216" s="68"/>
      <c r="DG216" s="68"/>
      <c r="DH216" s="68"/>
      <c r="DI216" s="68"/>
      <c r="DJ216" s="68"/>
      <c r="DK216" s="68"/>
      <c r="DL216" s="68"/>
      <c r="DM216" s="68"/>
      <c r="DN216" s="68"/>
      <c r="DO216" s="68"/>
      <c r="DP216" s="68">
        <f>SUM(DD216:DO216)</f>
        <v>0</v>
      </c>
      <c r="DQ216" s="68">
        <f>DP216-AB216</f>
        <v>0</v>
      </c>
      <c r="DR216" s="68">
        <f>$DD216</f>
        <v>0</v>
      </c>
      <c r="DS216" s="68">
        <f>DR216+DE216</f>
        <v>0</v>
      </c>
      <c r="DT216" s="68">
        <f>DS216+DF216</f>
        <v>0</v>
      </c>
      <c r="DU216" s="68">
        <f>DT216+DG216</f>
        <v>0</v>
      </c>
      <c r="DV216" s="68">
        <f>DU216+DH216</f>
        <v>0</v>
      </c>
      <c r="DW216" s="68">
        <f>DV216+DI216</f>
        <v>0</v>
      </c>
      <c r="DX216" s="68">
        <f>DW216+DJ216</f>
        <v>0</v>
      </c>
      <c r="DY216" s="68">
        <f>DX216+DK216</f>
        <v>0</v>
      </c>
      <c r="DZ216" s="68">
        <f>DY216+DL216</f>
        <v>0</v>
      </c>
      <c r="EA216" s="68">
        <f>DZ216+DM216</f>
        <v>0</v>
      </c>
      <c r="EB216" s="68">
        <f>EA216+DN216</f>
        <v>0</v>
      </c>
      <c r="EC216" s="68">
        <f>EB216+DO216</f>
        <v>0</v>
      </c>
      <c r="ED216" s="68">
        <f>$EC216-$AB216</f>
        <v>0</v>
      </c>
    </row>
    <row r="217" spans="1:134">
      <c r="A217" s="74"/>
      <c r="B217" s="50">
        <v>74</v>
      </c>
      <c r="C217" s="50" t="s">
        <v>269</v>
      </c>
      <c r="D217" s="50" t="s">
        <v>297</v>
      </c>
      <c r="E217" s="50"/>
      <c r="F217" s="50" t="s">
        <v>272</v>
      </c>
      <c r="G217" s="50" t="s">
        <v>273</v>
      </c>
      <c r="H217" s="37" t="s">
        <v>151</v>
      </c>
      <c r="I217" s="37" t="s">
        <v>732</v>
      </c>
      <c r="J217" s="92" t="s">
        <v>1692</v>
      </c>
      <c r="K217" s="50" t="s">
        <v>3</v>
      </c>
      <c r="L217" s="50" t="s">
        <v>14</v>
      </c>
      <c r="M217" s="50" t="s">
        <v>16</v>
      </c>
      <c r="N217" s="50" t="s">
        <v>276</v>
      </c>
      <c r="O217" s="37" t="s">
        <v>3</v>
      </c>
      <c r="P217" s="37" t="s">
        <v>14</v>
      </c>
      <c r="Q217" s="37" t="s">
        <v>16</v>
      </c>
      <c r="R217" s="37" t="s">
        <v>276</v>
      </c>
      <c r="S217" s="50" t="s">
        <v>1693</v>
      </c>
      <c r="T217" s="50" t="s">
        <v>1694</v>
      </c>
      <c r="U217" s="50" t="s">
        <v>1695</v>
      </c>
      <c r="V217" s="84" t="s">
        <v>1696</v>
      </c>
      <c r="W217" s="84" t="s">
        <v>1696</v>
      </c>
      <c r="X217" s="82" t="s">
        <v>1696</v>
      </c>
      <c r="Y217" s="60">
        <v>7968828145</v>
      </c>
      <c r="Z217" s="60">
        <v>1123557207</v>
      </c>
      <c r="AA217" s="60">
        <v>-1123557207</v>
      </c>
      <c r="AB217" s="60">
        <f>Z217+AA217</f>
        <v>0</v>
      </c>
      <c r="AC217" s="61" t="s">
        <v>414</v>
      </c>
      <c r="AD217" s="61" t="s">
        <v>1697</v>
      </c>
      <c r="AE217" s="107">
        <v>0</v>
      </c>
      <c r="AF217" s="107">
        <v>0</v>
      </c>
      <c r="AG217" s="110">
        <f>$AR217+$AZ217+$BQ217+$BT217+$BU217+$BV217</f>
        <v>0</v>
      </c>
      <c r="AH217" s="121">
        <f>AF217-AG217</f>
        <v>0</v>
      </c>
      <c r="AI217" s="99" t="s">
        <v>1698</v>
      </c>
      <c r="AJ217" s="209"/>
      <c r="AK217" s="209"/>
      <c r="AL217" s="98"/>
      <c r="AM217" s="68"/>
      <c r="AN217" s="68"/>
      <c r="AO217" s="68"/>
      <c r="AP217" s="68"/>
      <c r="AQ217" s="68">
        <v>0</v>
      </c>
      <c r="AR217" s="68">
        <v>0</v>
      </c>
      <c r="AS217" s="68" t="s">
        <v>307</v>
      </c>
      <c r="AT217" s="68"/>
      <c r="AU217" s="69" t="s">
        <v>277</v>
      </c>
      <c r="AV217" s="69" t="s">
        <v>277</v>
      </c>
      <c r="AW217" s="69" t="s">
        <v>277</v>
      </c>
      <c r="AX217" s="69"/>
      <c r="AY217" s="68">
        <v>0</v>
      </c>
      <c r="AZ217" s="68">
        <v>0</v>
      </c>
      <c r="BA217" s="68" t="s">
        <v>307</v>
      </c>
      <c r="BB217" s="68"/>
      <c r="BC217" s="69" t="s">
        <v>277</v>
      </c>
      <c r="BD217" s="69" t="s">
        <v>277</v>
      </c>
      <c r="BE217" s="56" t="s">
        <v>277</v>
      </c>
      <c r="BF217" s="56" t="s">
        <v>277</v>
      </c>
      <c r="BG217" s="56" t="s">
        <v>277</v>
      </c>
      <c r="BH217" s="56" t="s">
        <v>277</v>
      </c>
      <c r="BI217" s="69">
        <v>0</v>
      </c>
      <c r="BJ217" s="69">
        <v>0</v>
      </c>
      <c r="BK217" s="69">
        <v>0</v>
      </c>
      <c r="BL217" s="69">
        <v>0</v>
      </c>
      <c r="BM217" s="69">
        <v>0</v>
      </c>
      <c r="BN217" s="69">
        <v>0</v>
      </c>
      <c r="BO217" s="69">
        <v>0</v>
      </c>
      <c r="BP217" s="69">
        <v>0</v>
      </c>
      <c r="BQ217" s="69"/>
      <c r="BR217" s="69" t="s">
        <v>643</v>
      </c>
      <c r="BS217" s="69" t="s">
        <v>1699</v>
      </c>
      <c r="BT217" s="68">
        <v>0</v>
      </c>
      <c r="BU217" s="68">
        <v>0</v>
      </c>
      <c r="BV217" s="68">
        <v>0</v>
      </c>
      <c r="BW217" s="94">
        <v>0</v>
      </c>
      <c r="BX217" s="94">
        <v>0</v>
      </c>
      <c r="BY217" s="94">
        <v>0</v>
      </c>
      <c r="BZ217" s="94">
        <v>0</v>
      </c>
      <c r="CA217" s="94">
        <v>0</v>
      </c>
      <c r="CB217" s="94">
        <v>0</v>
      </c>
      <c r="CC217" s="94">
        <v>0</v>
      </c>
      <c r="CD217" s="94">
        <v>0</v>
      </c>
      <c r="CE217" s="94">
        <v>0</v>
      </c>
      <c r="CF217" s="108">
        <f>SUM(BT217:CE217)</f>
        <v>0</v>
      </c>
      <c r="CG217" s="108">
        <f>$CF217-$AF217</f>
        <v>0</v>
      </c>
      <c r="CH217" s="37" t="s">
        <v>318</v>
      </c>
      <c r="CI217" s="37" t="s">
        <v>291</v>
      </c>
      <c r="CJ217" s="37" t="s">
        <v>277</v>
      </c>
      <c r="CK217" s="37" t="s">
        <v>290</v>
      </c>
      <c r="CL217" s="37" t="s">
        <v>277</v>
      </c>
      <c r="CM217" s="37" t="s">
        <v>277</v>
      </c>
      <c r="CN217" s="37" t="s">
        <v>290</v>
      </c>
      <c r="CO217" s="37" t="s">
        <v>902</v>
      </c>
      <c r="CP217" s="41">
        <v>46023</v>
      </c>
      <c r="CQ217" s="41">
        <v>46387</v>
      </c>
      <c r="CR217" s="37" t="s">
        <v>293</v>
      </c>
      <c r="CS217" s="37" t="s">
        <v>294</v>
      </c>
      <c r="CT217" s="37" t="s">
        <v>295</v>
      </c>
      <c r="CU217" s="37" t="s">
        <v>341</v>
      </c>
      <c r="CV217" s="37" t="s">
        <v>157</v>
      </c>
      <c r="CW217" s="37" t="s">
        <v>277</v>
      </c>
      <c r="CX217" s="37" t="s">
        <v>277</v>
      </c>
      <c r="CY217" s="37">
        <v>0</v>
      </c>
      <c r="CZ217" s="123" t="s">
        <v>277</v>
      </c>
      <c r="DA217" s="123" t="s">
        <v>277</v>
      </c>
      <c r="DB217" s="37" t="s">
        <v>277</v>
      </c>
      <c r="DC217" s="37" t="s">
        <v>455</v>
      </c>
      <c r="DD217" s="68">
        <v>0</v>
      </c>
      <c r="DE217" s="68">
        <v>0</v>
      </c>
      <c r="DF217" s="68">
        <v>0</v>
      </c>
      <c r="DG217" s="68">
        <v>0</v>
      </c>
      <c r="DH217" s="68">
        <v>0</v>
      </c>
      <c r="DI217" s="68">
        <v>0</v>
      </c>
      <c r="DJ217" s="68">
        <v>0</v>
      </c>
      <c r="DK217" s="68">
        <v>0</v>
      </c>
      <c r="DL217" s="68">
        <v>0</v>
      </c>
      <c r="DM217" s="68">
        <v>0</v>
      </c>
      <c r="DN217" s="68">
        <v>0</v>
      </c>
      <c r="DO217" s="68">
        <f>1123557207-1123557207</f>
        <v>0</v>
      </c>
      <c r="DP217" s="68">
        <f>SUM(DD217:DO217)</f>
        <v>0</v>
      </c>
      <c r="DQ217" s="68">
        <f>DP217-AB217</f>
        <v>0</v>
      </c>
      <c r="DR217" s="68">
        <f>$DD217</f>
        <v>0</v>
      </c>
      <c r="DS217" s="68">
        <f>DR217+DE217</f>
        <v>0</v>
      </c>
      <c r="DT217" s="68">
        <f>DS217+DF217</f>
        <v>0</v>
      </c>
      <c r="DU217" s="68">
        <f>DT217+DG217</f>
        <v>0</v>
      </c>
      <c r="DV217" s="68">
        <f>DU217+DH217</f>
        <v>0</v>
      </c>
      <c r="DW217" s="68">
        <f>DV217+DI217</f>
        <v>0</v>
      </c>
      <c r="DX217" s="68">
        <f>DW217+DJ217</f>
        <v>0</v>
      </c>
      <c r="DY217" s="68">
        <f>DX217+DK217</f>
        <v>0</v>
      </c>
      <c r="DZ217" s="68">
        <f>DY217+DL217</f>
        <v>0</v>
      </c>
      <c r="EA217" s="68">
        <f>DZ217+DM217</f>
        <v>0</v>
      </c>
      <c r="EB217" s="68">
        <f>EA217+DN217</f>
        <v>0</v>
      </c>
      <c r="EC217" s="68">
        <f>EB217+DO217</f>
        <v>0</v>
      </c>
      <c r="ED217" s="68">
        <f>$EC217-$AB217</f>
        <v>0</v>
      </c>
    </row>
    <row r="218" spans="1:134" ht="45">
      <c r="A218" s="74"/>
      <c r="B218" s="50">
        <v>77</v>
      </c>
      <c r="C218" s="50" t="s">
        <v>269</v>
      </c>
      <c r="D218" s="50" t="s">
        <v>297</v>
      </c>
      <c r="E218" s="50"/>
      <c r="F218" s="50" t="s">
        <v>272</v>
      </c>
      <c r="G218" s="50" t="s">
        <v>273</v>
      </c>
      <c r="H218" s="37" t="s">
        <v>151</v>
      </c>
      <c r="I218" s="37" t="s">
        <v>277</v>
      </c>
      <c r="J218" s="92" t="s">
        <v>1529</v>
      </c>
      <c r="K218" s="50" t="s">
        <v>3</v>
      </c>
      <c r="L218" s="50" t="s">
        <v>14</v>
      </c>
      <c r="M218" s="50" t="s">
        <v>16</v>
      </c>
      <c r="N218" s="50" t="s">
        <v>276</v>
      </c>
      <c r="O218" s="37" t="s">
        <v>3</v>
      </c>
      <c r="P218" s="37" t="s">
        <v>14</v>
      </c>
      <c r="Q218" s="37" t="s">
        <v>16</v>
      </c>
      <c r="R218" s="37" t="s">
        <v>276</v>
      </c>
      <c r="S218" s="50" t="s">
        <v>277</v>
      </c>
      <c r="T218" s="50" t="s">
        <v>1700</v>
      </c>
      <c r="U218" s="50" t="s">
        <v>1701</v>
      </c>
      <c r="V218" s="84" t="s">
        <v>277</v>
      </c>
      <c r="W218" s="84" t="s">
        <v>1702</v>
      </c>
      <c r="X218" s="82" t="s">
        <v>1702</v>
      </c>
      <c r="Y218" s="60">
        <v>9601500</v>
      </c>
      <c r="Z218" s="60">
        <v>0</v>
      </c>
      <c r="AA218" s="60"/>
      <c r="AB218" s="60">
        <f>Z218+AA218</f>
        <v>0</v>
      </c>
      <c r="AC218" s="61"/>
      <c r="AD218" s="61"/>
      <c r="AE218" s="109">
        <v>9601500</v>
      </c>
      <c r="AF218" s="109">
        <v>0</v>
      </c>
      <c r="AG218" s="108">
        <f>$AR218+$AZ218+$BQ218+$BT218+$BU218+$BV218</f>
        <v>0</v>
      </c>
      <c r="AH218" s="121">
        <f>AF218-AG218</f>
        <v>0</v>
      </c>
      <c r="AI218" s="106" t="s">
        <v>643</v>
      </c>
      <c r="AJ218" s="207"/>
      <c r="AK218" s="207"/>
      <c r="AL218" s="130"/>
      <c r="AM218" s="68"/>
      <c r="AN218" s="68"/>
      <c r="AO218" s="68"/>
      <c r="AP218" s="68"/>
      <c r="AQ218" s="68">
        <v>0</v>
      </c>
      <c r="AR218" s="68">
        <v>0</v>
      </c>
      <c r="AS218" s="68" t="s">
        <v>307</v>
      </c>
      <c r="AT218" s="68"/>
      <c r="AU218" s="69" t="s">
        <v>277</v>
      </c>
      <c r="AV218" s="69" t="s">
        <v>277</v>
      </c>
      <c r="AW218" s="69" t="s">
        <v>277</v>
      </c>
      <c r="AX218" s="69"/>
      <c r="AY218" s="68">
        <v>0</v>
      </c>
      <c r="AZ218" s="68">
        <v>0</v>
      </c>
      <c r="BA218" s="68" t="s">
        <v>307</v>
      </c>
      <c r="BB218" s="68"/>
      <c r="BC218" s="69" t="s">
        <v>277</v>
      </c>
      <c r="BD218" s="69" t="s">
        <v>277</v>
      </c>
      <c r="BE218" s="56" t="s">
        <v>277</v>
      </c>
      <c r="BF218" s="56" t="s">
        <v>277</v>
      </c>
      <c r="BG218" s="56" t="s">
        <v>277</v>
      </c>
      <c r="BH218" s="56" t="s">
        <v>277</v>
      </c>
      <c r="BI218" s="69">
        <v>0</v>
      </c>
      <c r="BJ218" s="69">
        <v>0</v>
      </c>
      <c r="BK218" s="69">
        <v>0</v>
      </c>
      <c r="BL218" s="69">
        <v>0</v>
      </c>
      <c r="BM218" s="69">
        <v>0</v>
      </c>
      <c r="BN218" s="69">
        <v>0</v>
      </c>
      <c r="BO218" s="69">
        <v>0</v>
      </c>
      <c r="BP218" s="69">
        <v>0</v>
      </c>
      <c r="BQ218" s="69"/>
      <c r="BR218" s="69" t="s">
        <v>156</v>
      </c>
      <c r="BS218" s="69" t="s">
        <v>798</v>
      </c>
      <c r="BT218" s="68">
        <v>0</v>
      </c>
      <c r="BU218" s="68">
        <v>0</v>
      </c>
      <c r="BV218" s="68">
        <v>0</v>
      </c>
      <c r="BW218" s="94">
        <v>0</v>
      </c>
      <c r="BX218" s="94">
        <v>0</v>
      </c>
      <c r="BY218" s="94">
        <v>0</v>
      </c>
      <c r="BZ218" s="94">
        <v>0</v>
      </c>
      <c r="CA218" s="94">
        <v>0</v>
      </c>
      <c r="CB218" s="94">
        <v>0</v>
      </c>
      <c r="CC218" s="94">
        <v>0</v>
      </c>
      <c r="CD218" s="94">
        <v>0</v>
      </c>
      <c r="CE218" s="94">
        <v>0</v>
      </c>
      <c r="CF218" s="108">
        <f>SUM(BT218:CE218)</f>
        <v>0</v>
      </c>
      <c r="CG218" s="108">
        <f>$CF218-$AF218</f>
        <v>0</v>
      </c>
      <c r="CH218" s="37" t="s">
        <v>318</v>
      </c>
      <c r="CI218" s="37" t="s">
        <v>290</v>
      </c>
      <c r="CJ218" s="37" t="s">
        <v>277</v>
      </c>
      <c r="CK218" s="37" t="s">
        <v>290</v>
      </c>
      <c r="CL218" s="37" t="s">
        <v>277</v>
      </c>
      <c r="CM218" s="37" t="s">
        <v>277</v>
      </c>
      <c r="CN218" s="37" t="s">
        <v>290</v>
      </c>
      <c r="CO218" s="37" t="s">
        <v>277</v>
      </c>
      <c r="CP218" s="41">
        <v>46023</v>
      </c>
      <c r="CQ218" s="41">
        <v>46357</v>
      </c>
      <c r="CR218" s="37" t="s">
        <v>293</v>
      </c>
      <c r="CS218" s="37" t="s">
        <v>454</v>
      </c>
      <c r="CT218" s="37" t="s">
        <v>295</v>
      </c>
      <c r="CU218" s="37" t="s">
        <v>296</v>
      </c>
      <c r="CV218" s="37" t="s">
        <v>323</v>
      </c>
      <c r="CW218" s="37">
        <v>0</v>
      </c>
      <c r="CX218" s="37" t="s">
        <v>277</v>
      </c>
      <c r="CY218" s="37" t="s">
        <v>277</v>
      </c>
      <c r="CZ218" s="123" t="s">
        <v>277</v>
      </c>
      <c r="DA218" s="123" t="s">
        <v>277</v>
      </c>
      <c r="DB218" s="37" t="s">
        <v>1703</v>
      </c>
      <c r="DC218" s="37" t="s">
        <v>277</v>
      </c>
      <c r="DD218" s="68">
        <v>0</v>
      </c>
      <c r="DE218" s="68">
        <v>0</v>
      </c>
      <c r="DF218" s="68">
        <v>0</v>
      </c>
      <c r="DG218" s="68">
        <v>0</v>
      </c>
      <c r="DH218" s="68">
        <v>0</v>
      </c>
      <c r="DI218" s="68">
        <v>0</v>
      </c>
      <c r="DJ218" s="68">
        <v>0</v>
      </c>
      <c r="DK218" s="68">
        <v>0</v>
      </c>
      <c r="DL218" s="68">
        <v>0</v>
      </c>
      <c r="DM218" s="68">
        <v>0</v>
      </c>
      <c r="DN218" s="68">
        <v>0</v>
      </c>
      <c r="DO218" s="68">
        <v>0</v>
      </c>
      <c r="DP218" s="68">
        <f>SUM(DD218:DO218)</f>
        <v>0</v>
      </c>
      <c r="DQ218" s="68">
        <f>DP218-AB218</f>
        <v>0</v>
      </c>
      <c r="DR218" s="68">
        <f>$DD218</f>
        <v>0</v>
      </c>
      <c r="DS218" s="68">
        <f>DR218+DE218</f>
        <v>0</v>
      </c>
      <c r="DT218" s="68">
        <f>DS218+DF218</f>
        <v>0</v>
      </c>
      <c r="DU218" s="68">
        <f>DT218+DG218</f>
        <v>0</v>
      </c>
      <c r="DV218" s="68">
        <f>DU218+DH218</f>
        <v>0</v>
      </c>
      <c r="DW218" s="68">
        <f>DV218+DI218</f>
        <v>0</v>
      </c>
      <c r="DX218" s="68">
        <f>DW218+DJ218</f>
        <v>0</v>
      </c>
      <c r="DY218" s="68">
        <f>DX218+DK218</f>
        <v>0</v>
      </c>
      <c r="DZ218" s="68">
        <f>DY218+DL218</f>
        <v>0</v>
      </c>
      <c r="EA218" s="68">
        <f>DZ218+DM218</f>
        <v>0</v>
      </c>
      <c r="EB218" s="68">
        <f>EA218+DN218</f>
        <v>0</v>
      </c>
      <c r="EC218" s="68">
        <f>EB218+DO218</f>
        <v>0</v>
      </c>
      <c r="ED218" s="68">
        <f>$EC218-$AB218</f>
        <v>0</v>
      </c>
    </row>
    <row r="219" spans="1:134" ht="60">
      <c r="A219" s="74"/>
      <c r="B219" s="50">
        <v>97</v>
      </c>
      <c r="C219" s="50" t="s">
        <v>269</v>
      </c>
      <c r="D219" s="50" t="s">
        <v>297</v>
      </c>
      <c r="E219" s="50"/>
      <c r="F219" s="50" t="s">
        <v>272</v>
      </c>
      <c r="G219" s="50" t="s">
        <v>273</v>
      </c>
      <c r="H219" s="37" t="s">
        <v>151</v>
      </c>
      <c r="I219" s="37" t="s">
        <v>274</v>
      </c>
      <c r="J219" s="37" t="s">
        <v>275</v>
      </c>
      <c r="K219" s="50" t="s">
        <v>3</v>
      </c>
      <c r="L219" s="50" t="s">
        <v>14</v>
      </c>
      <c r="M219" s="50" t="s">
        <v>16</v>
      </c>
      <c r="N219" s="50" t="s">
        <v>276</v>
      </c>
      <c r="O219" s="37" t="s">
        <v>3</v>
      </c>
      <c r="P219" s="37" t="s">
        <v>14</v>
      </c>
      <c r="Q219" s="37" t="s">
        <v>16</v>
      </c>
      <c r="R219" s="37" t="s">
        <v>276</v>
      </c>
      <c r="S219" s="50" t="s">
        <v>1110</v>
      </c>
      <c r="T219" s="50" t="s">
        <v>1704</v>
      </c>
      <c r="U219" s="50" t="s">
        <v>1705</v>
      </c>
      <c r="V219" s="56" t="s">
        <v>1706</v>
      </c>
      <c r="W219" s="84" t="s">
        <v>1706</v>
      </c>
      <c r="X219" s="82" t="s">
        <v>1706</v>
      </c>
      <c r="Y219" s="60">
        <v>39503342554</v>
      </c>
      <c r="Z219" s="60">
        <v>34171897287</v>
      </c>
      <c r="AA219" s="60">
        <f>-4140215741</f>
        <v>-4140215741</v>
      </c>
      <c r="AB219" s="60">
        <f>Z219+AA219</f>
        <v>30031681546</v>
      </c>
      <c r="AC219" s="61" t="s">
        <v>414</v>
      </c>
      <c r="AD219" s="61" t="s">
        <v>1707</v>
      </c>
      <c r="AE219" s="107">
        <v>0</v>
      </c>
      <c r="AF219" s="107">
        <v>0</v>
      </c>
      <c r="AG219" s="110">
        <f>$AR219+$AZ219+$BQ219+$BT219+$BU219+$BV219</f>
        <v>0</v>
      </c>
      <c r="AH219" s="121">
        <f>AF219-AG219</f>
        <v>0</v>
      </c>
      <c r="AI219" s="85" t="s">
        <v>1691</v>
      </c>
      <c r="AJ219" s="199"/>
      <c r="AK219" s="199"/>
      <c r="AL219" s="86"/>
      <c r="AM219" s="68"/>
      <c r="AN219" s="68"/>
      <c r="AO219" s="68"/>
      <c r="AP219" s="68"/>
      <c r="AQ219" s="68">
        <v>0</v>
      </c>
      <c r="AR219" s="68">
        <v>0</v>
      </c>
      <c r="AS219" s="68" t="s">
        <v>307</v>
      </c>
      <c r="AT219" s="68"/>
      <c r="AU219" s="69" t="s">
        <v>1708</v>
      </c>
      <c r="AV219" s="69" t="s">
        <v>1709</v>
      </c>
      <c r="AW219" s="69" t="s">
        <v>310</v>
      </c>
      <c r="AX219" s="69"/>
      <c r="AY219" s="68">
        <v>33577841171</v>
      </c>
      <c r="AZ219" s="68">
        <v>0</v>
      </c>
      <c r="BA219" s="68" t="s">
        <v>311</v>
      </c>
      <c r="BB219" s="68" t="s">
        <v>1710</v>
      </c>
      <c r="BC219" s="69" t="s">
        <v>277</v>
      </c>
      <c r="BD219" s="69" t="s">
        <v>277</v>
      </c>
      <c r="BE219" s="56" t="s">
        <v>1711</v>
      </c>
      <c r="BF219" s="56" t="s">
        <v>1712</v>
      </c>
      <c r="BG219" s="56" t="s">
        <v>1713</v>
      </c>
      <c r="BH219" s="56" t="s">
        <v>296</v>
      </c>
      <c r="BI219" s="69">
        <v>176197237500</v>
      </c>
      <c r="BJ219" s="69">
        <v>34171897287</v>
      </c>
      <c r="BK219" s="69">
        <v>115595754588</v>
      </c>
      <c r="BL219" s="69">
        <v>5285917125</v>
      </c>
      <c r="BM219" s="69">
        <v>5285917125</v>
      </c>
      <c r="BN219" s="69">
        <v>5285917125</v>
      </c>
      <c r="BO219" s="69">
        <v>5285917125</v>
      </c>
      <c r="BP219" s="69">
        <v>5285917125</v>
      </c>
      <c r="BQ219" s="69"/>
      <c r="BR219" s="69" t="s">
        <v>156</v>
      </c>
      <c r="BS219" s="69" t="s">
        <v>317</v>
      </c>
      <c r="BT219" s="68">
        <v>0</v>
      </c>
      <c r="BU219" s="68">
        <v>0</v>
      </c>
      <c r="BV219" s="68">
        <v>0</v>
      </c>
      <c r="BW219" s="94">
        <v>0</v>
      </c>
      <c r="BX219" s="94">
        <v>0</v>
      </c>
      <c r="BY219" s="94">
        <v>0</v>
      </c>
      <c r="BZ219" s="94">
        <v>0</v>
      </c>
      <c r="CA219" s="94">
        <v>0</v>
      </c>
      <c r="CB219" s="109">
        <v>0</v>
      </c>
      <c r="CC219" s="109">
        <v>0</v>
      </c>
      <c r="CD219" s="109">
        <v>0</v>
      </c>
      <c r="CE219" s="109">
        <v>0</v>
      </c>
      <c r="CF219" s="108">
        <f>SUM(BT219:CE219)</f>
        <v>0</v>
      </c>
      <c r="CG219" s="108">
        <f>$CF219-$AF219</f>
        <v>0</v>
      </c>
      <c r="CH219" s="37" t="s">
        <v>318</v>
      </c>
      <c r="CI219" s="37" t="s">
        <v>291</v>
      </c>
      <c r="CJ219" s="37" t="s">
        <v>319</v>
      </c>
      <c r="CK219" s="37" t="s">
        <v>290</v>
      </c>
      <c r="CL219" s="37" t="s">
        <v>320</v>
      </c>
      <c r="CM219" s="37" t="s">
        <v>321</v>
      </c>
      <c r="CN219" s="37" t="s">
        <v>290</v>
      </c>
      <c r="CO219" s="37" t="s">
        <v>277</v>
      </c>
      <c r="CP219" s="41">
        <v>46023</v>
      </c>
      <c r="CQ219" s="41">
        <v>48183</v>
      </c>
      <c r="CR219" s="37" t="s">
        <v>293</v>
      </c>
      <c r="CS219" s="37" t="s">
        <v>322</v>
      </c>
      <c r="CT219" s="37" t="s">
        <v>295</v>
      </c>
      <c r="CU219" s="37" t="s">
        <v>296</v>
      </c>
      <c r="CV219" s="37" t="s">
        <v>323</v>
      </c>
      <c r="CW219" s="37">
        <v>0</v>
      </c>
      <c r="CX219" s="37">
        <v>0</v>
      </c>
      <c r="CY219" s="37">
        <v>0</v>
      </c>
      <c r="CZ219" s="123" t="s">
        <v>277</v>
      </c>
      <c r="DA219" s="123" t="s">
        <v>277</v>
      </c>
      <c r="DB219" s="37" t="s">
        <v>1714</v>
      </c>
      <c r="DC219" s="37" t="s">
        <v>1715</v>
      </c>
      <c r="DD219" s="68">
        <v>0</v>
      </c>
      <c r="DE219" s="68">
        <v>0</v>
      </c>
      <c r="DF219" s="68">
        <v>0</v>
      </c>
      <c r="DG219" s="68">
        <f>34171897287-4140215741</f>
        <v>30031681546</v>
      </c>
      <c r="DH219" s="68">
        <v>0</v>
      </c>
      <c r="DI219" s="68">
        <v>0</v>
      </c>
      <c r="DJ219" s="68">
        <v>0</v>
      </c>
      <c r="DK219" s="68">
        <v>0</v>
      </c>
      <c r="DL219" s="68">
        <v>0</v>
      </c>
      <c r="DM219" s="68">
        <v>0</v>
      </c>
      <c r="DN219" s="68">
        <v>0</v>
      </c>
      <c r="DO219" s="68">
        <v>0</v>
      </c>
      <c r="DP219" s="68">
        <f>SUM(DD219:DO219)</f>
        <v>30031681546</v>
      </c>
      <c r="DQ219" s="68">
        <f>DP219-AB219</f>
        <v>0</v>
      </c>
      <c r="DR219" s="68">
        <f>$DD219</f>
        <v>0</v>
      </c>
      <c r="DS219" s="68">
        <f>DR219+DE219</f>
        <v>0</v>
      </c>
      <c r="DT219" s="68">
        <f>DS219+DF219</f>
        <v>0</v>
      </c>
      <c r="DU219" s="68">
        <f>DT219+DG219</f>
        <v>30031681546</v>
      </c>
      <c r="DV219" s="68">
        <f>DU219+DH219</f>
        <v>30031681546</v>
      </c>
      <c r="DW219" s="68">
        <f>DV219+DI219</f>
        <v>30031681546</v>
      </c>
      <c r="DX219" s="68">
        <f>DW219+DJ219</f>
        <v>30031681546</v>
      </c>
      <c r="DY219" s="68">
        <f>DX219+DK219</f>
        <v>30031681546</v>
      </c>
      <c r="DZ219" s="68">
        <f>DY219+DL219</f>
        <v>30031681546</v>
      </c>
      <c r="EA219" s="68">
        <f>DZ219+DM219</f>
        <v>30031681546</v>
      </c>
      <c r="EB219" s="68">
        <f>EA219+DN219</f>
        <v>30031681546</v>
      </c>
      <c r="EC219" s="68">
        <f>EB219+DO219</f>
        <v>30031681546</v>
      </c>
      <c r="ED219" s="68">
        <f>$EC219-$AB219</f>
        <v>0</v>
      </c>
    </row>
    <row r="220" spans="1:134" ht="75">
      <c r="A220" s="74"/>
      <c r="B220" s="50">
        <v>102</v>
      </c>
      <c r="C220" s="50" t="s">
        <v>269</v>
      </c>
      <c r="D220" s="50" t="s">
        <v>297</v>
      </c>
      <c r="E220" s="50"/>
      <c r="F220" s="50" t="s">
        <v>272</v>
      </c>
      <c r="G220" s="50" t="s">
        <v>273</v>
      </c>
      <c r="H220" s="37" t="s">
        <v>151</v>
      </c>
      <c r="I220" s="37" t="s">
        <v>274</v>
      </c>
      <c r="J220" s="92" t="s">
        <v>298</v>
      </c>
      <c r="K220" s="50" t="s">
        <v>3</v>
      </c>
      <c r="L220" s="50" t="s">
        <v>14</v>
      </c>
      <c r="M220" s="50" t="s">
        <v>16</v>
      </c>
      <c r="N220" s="50" t="s">
        <v>276</v>
      </c>
      <c r="O220" s="37" t="s">
        <v>3</v>
      </c>
      <c r="P220" s="37" t="s">
        <v>14</v>
      </c>
      <c r="Q220" s="37" t="s">
        <v>16</v>
      </c>
      <c r="R220" s="37" t="s">
        <v>276</v>
      </c>
      <c r="S220" s="50" t="s">
        <v>1537</v>
      </c>
      <c r="T220" s="50" t="s">
        <v>1716</v>
      </c>
      <c r="U220" s="50" t="s">
        <v>1717</v>
      </c>
      <c r="V220" s="84" t="s">
        <v>1718</v>
      </c>
      <c r="W220" s="84" t="s">
        <v>1718</v>
      </c>
      <c r="X220" s="82" t="s">
        <v>1718</v>
      </c>
      <c r="Y220" s="60">
        <v>208492136519</v>
      </c>
      <c r="Z220" s="60">
        <v>58377798226</v>
      </c>
      <c r="AA220" s="60">
        <f>-5793955533-52583842693</f>
        <v>-58377798226</v>
      </c>
      <c r="AB220" s="60">
        <f>Z220+AA220</f>
        <v>0</v>
      </c>
      <c r="AC220" s="183" t="s">
        <v>1719</v>
      </c>
      <c r="AD220" s="183" t="s">
        <v>1720</v>
      </c>
      <c r="AE220" s="115">
        <v>0</v>
      </c>
      <c r="AF220" s="115">
        <v>0</v>
      </c>
      <c r="AG220" s="116">
        <f>$AR220+$AZ220+$BQ220+$BT220+$BU220+$BV220</f>
        <v>0</v>
      </c>
      <c r="AH220" s="121">
        <f>AF220-AG220</f>
        <v>0</v>
      </c>
      <c r="AI220" s="216" t="s">
        <v>1721</v>
      </c>
      <c r="AJ220" s="211"/>
      <c r="AK220" s="211"/>
      <c r="AL220" s="44"/>
      <c r="AM220" s="68"/>
      <c r="AN220" s="68"/>
      <c r="AO220" s="68"/>
      <c r="AP220" s="68"/>
      <c r="AQ220" s="68">
        <v>0</v>
      </c>
      <c r="AR220" s="68">
        <v>0</v>
      </c>
      <c r="AS220" s="68" t="s">
        <v>307</v>
      </c>
      <c r="AT220" s="68"/>
      <c r="AU220" s="69" t="s">
        <v>277</v>
      </c>
      <c r="AV220" s="69" t="s">
        <v>277</v>
      </c>
      <c r="AW220" s="69" t="s">
        <v>277</v>
      </c>
      <c r="AX220" s="69"/>
      <c r="AY220" s="68">
        <v>0</v>
      </c>
      <c r="AZ220" s="68">
        <v>0</v>
      </c>
      <c r="BA220" s="68" t="s">
        <v>307</v>
      </c>
      <c r="BB220" s="68"/>
      <c r="BC220" s="69" t="s">
        <v>277</v>
      </c>
      <c r="BD220" s="69" t="s">
        <v>277</v>
      </c>
      <c r="BE220" s="56" t="s">
        <v>277</v>
      </c>
      <c r="BF220" s="56" t="s">
        <v>277</v>
      </c>
      <c r="BG220" s="56" t="s">
        <v>277</v>
      </c>
      <c r="BH220" s="56" t="s">
        <v>277</v>
      </c>
      <c r="BI220" s="69">
        <v>0</v>
      </c>
      <c r="BJ220" s="69">
        <v>0</v>
      </c>
      <c r="BK220" s="69">
        <v>0</v>
      </c>
      <c r="BL220" s="69">
        <v>0</v>
      </c>
      <c r="BM220" s="69">
        <v>0</v>
      </c>
      <c r="BN220" s="69">
        <v>0</v>
      </c>
      <c r="BO220" s="69">
        <v>0</v>
      </c>
      <c r="BP220" s="69">
        <v>0</v>
      </c>
      <c r="BQ220" s="69"/>
      <c r="BR220" s="69" t="s">
        <v>323</v>
      </c>
      <c r="BS220" s="69" t="s">
        <v>1522</v>
      </c>
      <c r="BT220" s="68">
        <v>0</v>
      </c>
      <c r="BU220" s="68">
        <v>0</v>
      </c>
      <c r="BV220" s="68">
        <v>0</v>
      </c>
      <c r="BW220" s="94">
        <v>0</v>
      </c>
      <c r="BX220" s="94">
        <v>0</v>
      </c>
      <c r="BY220" s="94">
        <v>0</v>
      </c>
      <c r="BZ220" s="94">
        <v>0</v>
      </c>
      <c r="CA220" s="94">
        <v>0</v>
      </c>
      <c r="CB220" s="94">
        <v>0</v>
      </c>
      <c r="CC220" s="94">
        <v>0</v>
      </c>
      <c r="CD220" s="94">
        <v>0</v>
      </c>
      <c r="CE220" s="94">
        <v>0</v>
      </c>
      <c r="CF220" s="108">
        <f>SUM(BT220:CE220)</f>
        <v>0</v>
      </c>
      <c r="CG220" s="108">
        <f>$CF220-$AF220</f>
        <v>0</v>
      </c>
      <c r="CH220" s="37" t="s">
        <v>318</v>
      </c>
      <c r="CI220" s="37" t="s">
        <v>291</v>
      </c>
      <c r="CJ220" s="37" t="s">
        <v>319</v>
      </c>
      <c r="CK220" s="37" t="s">
        <v>290</v>
      </c>
      <c r="CL220" s="37" t="s">
        <v>320</v>
      </c>
      <c r="CM220" s="37" t="s">
        <v>321</v>
      </c>
      <c r="CN220" s="37" t="s">
        <v>290</v>
      </c>
      <c r="CO220" s="37" t="s">
        <v>277</v>
      </c>
      <c r="CP220" s="41">
        <v>46023</v>
      </c>
      <c r="CQ220" s="41">
        <v>48183</v>
      </c>
      <c r="CR220" s="37" t="s">
        <v>293</v>
      </c>
      <c r="CS220" s="37" t="s">
        <v>322</v>
      </c>
      <c r="CT220" s="37" t="s">
        <v>295</v>
      </c>
      <c r="CU220" s="37" t="s">
        <v>296</v>
      </c>
      <c r="CV220" s="37" t="s">
        <v>323</v>
      </c>
      <c r="CW220" s="37" t="s">
        <v>277</v>
      </c>
      <c r="CX220" s="37" t="s">
        <v>277</v>
      </c>
      <c r="CY220" s="37">
        <v>0</v>
      </c>
      <c r="CZ220" s="123" t="s">
        <v>277</v>
      </c>
      <c r="DA220" s="123" t="s">
        <v>277</v>
      </c>
      <c r="DB220" s="37" t="s">
        <v>399</v>
      </c>
      <c r="DC220" s="37" t="s">
        <v>1722</v>
      </c>
      <c r="DD220" s="68">
        <v>0</v>
      </c>
      <c r="DE220" s="68">
        <v>0</v>
      </c>
      <c r="DF220" s="68">
        <v>0</v>
      </c>
      <c r="DG220" s="68">
        <v>0</v>
      </c>
      <c r="DH220" s="68">
        <v>0</v>
      </c>
      <c r="DI220" s="68">
        <v>0</v>
      </c>
      <c r="DJ220" s="68">
        <f>58377798226-5793955533-52583842693</f>
        <v>0</v>
      </c>
      <c r="DK220" s="68">
        <v>0</v>
      </c>
      <c r="DL220" s="68">
        <v>0</v>
      </c>
      <c r="DM220" s="68">
        <v>0</v>
      </c>
      <c r="DN220" s="68">
        <v>0</v>
      </c>
      <c r="DO220" s="68">
        <v>0</v>
      </c>
      <c r="DP220" s="68">
        <f>SUM(DD220:DO220)</f>
        <v>0</v>
      </c>
      <c r="DQ220" s="68">
        <f>DP220-AB220</f>
        <v>0</v>
      </c>
      <c r="DR220" s="68">
        <f>$DD220</f>
        <v>0</v>
      </c>
      <c r="DS220" s="68">
        <f>DR220+DE220</f>
        <v>0</v>
      </c>
      <c r="DT220" s="68">
        <f>DS220+DF220</f>
        <v>0</v>
      </c>
      <c r="DU220" s="68">
        <f>DT220+DG220</f>
        <v>0</v>
      </c>
      <c r="DV220" s="68">
        <f>DU220+DH220</f>
        <v>0</v>
      </c>
      <c r="DW220" s="68">
        <f>DV220+DI220</f>
        <v>0</v>
      </c>
      <c r="DX220" s="68">
        <f>DW220+DJ220</f>
        <v>0</v>
      </c>
      <c r="DY220" s="68">
        <f>DX220+DK220</f>
        <v>0</v>
      </c>
      <c r="DZ220" s="68">
        <f>DY220+DL220</f>
        <v>0</v>
      </c>
      <c r="EA220" s="68">
        <f>DZ220+DM220</f>
        <v>0</v>
      </c>
      <c r="EB220" s="68">
        <f>EA220+DN220</f>
        <v>0</v>
      </c>
      <c r="EC220" s="68">
        <f>EB220+DO220</f>
        <v>0</v>
      </c>
      <c r="ED220" s="68">
        <f>$EC220-$AB220</f>
        <v>0</v>
      </c>
    </row>
    <row r="221" spans="1:134" ht="60">
      <c r="A221" s="74"/>
      <c r="B221" s="50">
        <v>109</v>
      </c>
      <c r="C221" s="50" t="s">
        <v>269</v>
      </c>
      <c r="D221" s="50" t="s">
        <v>297</v>
      </c>
      <c r="E221" s="50"/>
      <c r="F221" s="50" t="s">
        <v>272</v>
      </c>
      <c r="G221" s="50" t="s">
        <v>273</v>
      </c>
      <c r="H221" s="37" t="s">
        <v>151</v>
      </c>
      <c r="I221" s="37" t="s">
        <v>274</v>
      </c>
      <c r="J221" s="92" t="s">
        <v>447</v>
      </c>
      <c r="K221" s="50" t="s">
        <v>3</v>
      </c>
      <c r="L221" s="50" t="s">
        <v>14</v>
      </c>
      <c r="M221" s="50" t="s">
        <v>16</v>
      </c>
      <c r="N221" s="50" t="s">
        <v>276</v>
      </c>
      <c r="O221" s="37" t="s">
        <v>3</v>
      </c>
      <c r="P221" s="37" t="s">
        <v>14</v>
      </c>
      <c r="Q221" s="37" t="s">
        <v>16</v>
      </c>
      <c r="R221" s="37" t="s">
        <v>276</v>
      </c>
      <c r="S221" s="50" t="s">
        <v>1723</v>
      </c>
      <c r="T221" s="50" t="s">
        <v>1724</v>
      </c>
      <c r="U221" s="50" t="s">
        <v>1725</v>
      </c>
      <c r="V221" s="84" t="s">
        <v>1726</v>
      </c>
      <c r="W221" s="84" t="s">
        <v>1726</v>
      </c>
      <c r="X221" s="82" t="s">
        <v>1726</v>
      </c>
      <c r="Y221" s="60">
        <v>45970861446</v>
      </c>
      <c r="Z221" s="60">
        <v>9010288844</v>
      </c>
      <c r="AA221" s="60">
        <v>-9010288844</v>
      </c>
      <c r="AB221" s="60">
        <f>Z221+AA221</f>
        <v>0</v>
      </c>
      <c r="AC221" s="61" t="s">
        <v>414</v>
      </c>
      <c r="AD221" s="61" t="s">
        <v>1727</v>
      </c>
      <c r="AE221" s="112">
        <v>0</v>
      </c>
      <c r="AF221" s="112">
        <v>0</v>
      </c>
      <c r="AG221" s="110">
        <f>$AR221+$AZ221+$BQ221+$BT221+$BU221+$BV221</f>
        <v>0</v>
      </c>
      <c r="AH221" s="121">
        <f>AF221-AG221</f>
        <v>0</v>
      </c>
      <c r="AI221" s="39" t="s">
        <v>1728</v>
      </c>
      <c r="AJ221" s="198"/>
      <c r="AK221" s="198"/>
      <c r="AL221" s="42"/>
      <c r="AM221" s="68"/>
      <c r="AN221" s="68"/>
      <c r="AO221" s="68"/>
      <c r="AP221" s="68"/>
      <c r="AQ221" s="68">
        <v>0</v>
      </c>
      <c r="AR221" s="68">
        <v>0</v>
      </c>
      <c r="AS221" s="68" t="s">
        <v>307</v>
      </c>
      <c r="AT221" s="68"/>
      <c r="AU221" s="69" t="s">
        <v>277</v>
      </c>
      <c r="AV221" s="69" t="s">
        <v>277</v>
      </c>
      <c r="AW221" s="69" t="s">
        <v>277</v>
      </c>
      <c r="AX221" s="69"/>
      <c r="AY221" s="68">
        <v>0</v>
      </c>
      <c r="AZ221" s="68">
        <v>0</v>
      </c>
      <c r="BA221" s="68" t="s">
        <v>307</v>
      </c>
      <c r="BB221" s="68"/>
      <c r="BC221" s="69" t="s">
        <v>277</v>
      </c>
      <c r="BD221" s="69" t="s">
        <v>277</v>
      </c>
      <c r="BE221" s="56" t="s">
        <v>277</v>
      </c>
      <c r="BF221" s="56" t="s">
        <v>277</v>
      </c>
      <c r="BG221" s="56" t="s">
        <v>277</v>
      </c>
      <c r="BH221" s="56" t="s">
        <v>277</v>
      </c>
      <c r="BI221" s="69">
        <v>0</v>
      </c>
      <c r="BJ221" s="69">
        <v>0</v>
      </c>
      <c r="BK221" s="69">
        <v>0</v>
      </c>
      <c r="BL221" s="69">
        <v>0</v>
      </c>
      <c r="BM221" s="69">
        <v>0</v>
      </c>
      <c r="BN221" s="69">
        <v>0</v>
      </c>
      <c r="BO221" s="69">
        <v>0</v>
      </c>
      <c r="BP221" s="69">
        <v>0</v>
      </c>
      <c r="BQ221" s="69"/>
      <c r="BR221" s="69" t="s">
        <v>156</v>
      </c>
      <c r="BS221" s="69" t="s">
        <v>1729</v>
      </c>
      <c r="BT221" s="68">
        <v>0</v>
      </c>
      <c r="BU221" s="68">
        <v>0</v>
      </c>
      <c r="BV221" s="68">
        <v>0</v>
      </c>
      <c r="BW221" s="94">
        <v>0</v>
      </c>
      <c r="BX221" s="94">
        <v>0</v>
      </c>
      <c r="BY221" s="94">
        <v>0</v>
      </c>
      <c r="BZ221" s="94">
        <v>0</v>
      </c>
      <c r="CA221" s="94">
        <v>0</v>
      </c>
      <c r="CB221" s="94">
        <v>0</v>
      </c>
      <c r="CC221" s="94">
        <v>0</v>
      </c>
      <c r="CD221" s="94">
        <v>0</v>
      </c>
      <c r="CE221" s="94">
        <v>0</v>
      </c>
      <c r="CF221" s="108">
        <f>SUM(BT221:CE221)</f>
        <v>0</v>
      </c>
      <c r="CG221" s="108">
        <f>$CF221-$AF221</f>
        <v>0</v>
      </c>
      <c r="CH221" s="37" t="s">
        <v>318</v>
      </c>
      <c r="CI221" s="37" t="s">
        <v>291</v>
      </c>
      <c r="CJ221" s="37" t="s">
        <v>319</v>
      </c>
      <c r="CK221" s="37" t="s">
        <v>290</v>
      </c>
      <c r="CL221" s="37" t="s">
        <v>320</v>
      </c>
      <c r="CM221" s="37" t="s">
        <v>321</v>
      </c>
      <c r="CN221" s="37" t="s">
        <v>290</v>
      </c>
      <c r="CO221" s="37" t="s">
        <v>277</v>
      </c>
      <c r="CP221" s="41">
        <v>46023</v>
      </c>
      <c r="CQ221" s="41">
        <v>48183</v>
      </c>
      <c r="CR221" s="37" t="s">
        <v>293</v>
      </c>
      <c r="CS221" s="37" t="s">
        <v>322</v>
      </c>
      <c r="CT221" s="37" t="s">
        <v>295</v>
      </c>
      <c r="CU221" s="37" t="s">
        <v>296</v>
      </c>
      <c r="CV221" s="37" t="s">
        <v>323</v>
      </c>
      <c r="CW221" s="37">
        <v>0</v>
      </c>
      <c r="CX221" s="37">
        <v>0</v>
      </c>
      <c r="CY221" s="37">
        <v>0</v>
      </c>
      <c r="CZ221" s="123" t="s">
        <v>277</v>
      </c>
      <c r="DA221" s="123" t="s">
        <v>277</v>
      </c>
      <c r="DB221" s="37" t="s">
        <v>1730</v>
      </c>
      <c r="DC221" s="37" t="s">
        <v>1731</v>
      </c>
      <c r="DD221" s="68">
        <v>0</v>
      </c>
      <c r="DE221" s="68">
        <v>0</v>
      </c>
      <c r="DF221" s="68">
        <v>0</v>
      </c>
      <c r="DG221" s="68">
        <v>0</v>
      </c>
      <c r="DH221" s="68">
        <v>0</v>
      </c>
      <c r="DI221" s="68">
        <v>0</v>
      </c>
      <c r="DJ221" s="68">
        <v>0</v>
      </c>
      <c r="DK221" s="68">
        <v>0</v>
      </c>
      <c r="DL221" s="68">
        <v>0</v>
      </c>
      <c r="DM221" s="68">
        <v>0</v>
      </c>
      <c r="DN221" s="68">
        <f>9010288844-9010288844</f>
        <v>0</v>
      </c>
      <c r="DO221" s="68">
        <v>0</v>
      </c>
      <c r="DP221" s="68">
        <f>SUM(DD221:DO221)</f>
        <v>0</v>
      </c>
      <c r="DQ221" s="68">
        <f>DP221-AB221</f>
        <v>0</v>
      </c>
      <c r="DR221" s="68">
        <f>$DD221</f>
        <v>0</v>
      </c>
      <c r="DS221" s="68">
        <f>DR221+DE221</f>
        <v>0</v>
      </c>
      <c r="DT221" s="68">
        <f>DS221+DF221</f>
        <v>0</v>
      </c>
      <c r="DU221" s="68">
        <f>DT221+DG221</f>
        <v>0</v>
      </c>
      <c r="DV221" s="68">
        <f>DU221+DH221</f>
        <v>0</v>
      </c>
      <c r="DW221" s="68">
        <f>DV221+DI221</f>
        <v>0</v>
      </c>
      <c r="DX221" s="68">
        <f>DW221+DJ221</f>
        <v>0</v>
      </c>
      <c r="DY221" s="68">
        <f>DX221+DK221</f>
        <v>0</v>
      </c>
      <c r="DZ221" s="68">
        <f>DY221+DL221</f>
        <v>0</v>
      </c>
      <c r="EA221" s="68">
        <f>DZ221+DM221</f>
        <v>0</v>
      </c>
      <c r="EB221" s="68">
        <f>EA221+DN221</f>
        <v>0</v>
      </c>
      <c r="EC221" s="68">
        <f>EB221+DO221</f>
        <v>0</v>
      </c>
      <c r="ED221" s="68">
        <f>$EC221-$AB221</f>
        <v>0</v>
      </c>
    </row>
    <row r="222" spans="1:134" ht="45">
      <c r="A222" s="74"/>
      <c r="B222" s="50">
        <v>3</v>
      </c>
      <c r="C222" s="50" t="s">
        <v>269</v>
      </c>
      <c r="D222" s="50" t="s">
        <v>297</v>
      </c>
      <c r="E222" s="50"/>
      <c r="F222" s="50" t="s">
        <v>272</v>
      </c>
      <c r="G222" s="50" t="s">
        <v>273</v>
      </c>
      <c r="H222" s="37" t="s">
        <v>151</v>
      </c>
      <c r="I222" s="37" t="s">
        <v>1009</v>
      </c>
      <c r="J222" s="93" t="s">
        <v>1529</v>
      </c>
      <c r="K222" s="50" t="s">
        <v>3</v>
      </c>
      <c r="L222" s="50" t="s">
        <v>14</v>
      </c>
      <c r="M222" s="50" t="s">
        <v>16</v>
      </c>
      <c r="N222" s="50" t="s">
        <v>276</v>
      </c>
      <c r="O222" s="37" t="s">
        <v>3</v>
      </c>
      <c r="P222" s="37" t="s">
        <v>14</v>
      </c>
      <c r="Q222" s="37" t="s">
        <v>16</v>
      </c>
      <c r="R222" s="37" t="s">
        <v>276</v>
      </c>
      <c r="S222" s="50" t="s">
        <v>357</v>
      </c>
      <c r="T222" s="50" t="s">
        <v>1011</v>
      </c>
      <c r="U222" s="50" t="s">
        <v>1732</v>
      </c>
      <c r="V222" s="84" t="s">
        <v>1733</v>
      </c>
      <c r="W222" s="84" t="s">
        <v>1733</v>
      </c>
      <c r="X222" s="82" t="s">
        <v>1733</v>
      </c>
      <c r="Y222" s="60">
        <v>5685047339</v>
      </c>
      <c r="Z222" s="60">
        <v>5685047339</v>
      </c>
      <c r="AA222" s="60">
        <v>-5685047339</v>
      </c>
      <c r="AB222" s="60">
        <f>Z222+AA222</f>
        <v>0</v>
      </c>
      <c r="AC222" s="61" t="s">
        <v>414</v>
      </c>
      <c r="AD222" s="61" t="s">
        <v>1734</v>
      </c>
      <c r="AE222" s="107">
        <v>0</v>
      </c>
      <c r="AF222" s="107">
        <v>0</v>
      </c>
      <c r="AG222" s="110">
        <f>$AR222+$AZ222+$BQ222+$BT222+$BU222+$BV222</f>
        <v>0</v>
      </c>
      <c r="AH222" s="121">
        <f>AF222-AG222</f>
        <v>0</v>
      </c>
      <c r="AI222" s="106" t="s">
        <v>643</v>
      </c>
      <c r="AJ222" s="207"/>
      <c r="AK222" s="207"/>
      <c r="AL222" s="130"/>
      <c r="AM222" s="68"/>
      <c r="AN222" s="68"/>
      <c r="AO222" s="68"/>
      <c r="AP222" s="68"/>
      <c r="AQ222" s="68">
        <v>0</v>
      </c>
      <c r="AR222" s="68">
        <v>0</v>
      </c>
      <c r="AS222" s="68" t="s">
        <v>307</v>
      </c>
      <c r="AT222" s="68"/>
      <c r="AU222" s="69" t="s">
        <v>277</v>
      </c>
      <c r="AV222" s="69" t="s">
        <v>277</v>
      </c>
      <c r="AW222" s="69" t="s">
        <v>277</v>
      </c>
      <c r="AX222" s="69"/>
      <c r="AY222" s="68">
        <v>0</v>
      </c>
      <c r="AZ222" s="68">
        <v>0</v>
      </c>
      <c r="BA222" s="68" t="s">
        <v>307</v>
      </c>
      <c r="BB222" s="68"/>
      <c r="BC222" s="69" t="s">
        <v>277</v>
      </c>
      <c r="BD222" s="69" t="s">
        <v>277</v>
      </c>
      <c r="BE222" s="56" t="s">
        <v>277</v>
      </c>
      <c r="BF222" s="56" t="s">
        <v>277</v>
      </c>
      <c r="BG222" s="56" t="s">
        <v>277</v>
      </c>
      <c r="BH222" s="56" t="s">
        <v>277</v>
      </c>
      <c r="BI222" s="69">
        <v>0</v>
      </c>
      <c r="BJ222" s="69">
        <v>0</v>
      </c>
      <c r="BK222" s="69">
        <v>0</v>
      </c>
      <c r="BL222" s="69">
        <v>0</v>
      </c>
      <c r="BM222" s="69">
        <v>0</v>
      </c>
      <c r="BN222" s="69">
        <v>0</v>
      </c>
      <c r="BO222" s="69">
        <v>0</v>
      </c>
      <c r="BP222" s="69">
        <v>0</v>
      </c>
      <c r="BQ222" s="69">
        <f>$BJ222</f>
        <v>0</v>
      </c>
      <c r="BR222" s="69" t="s">
        <v>643</v>
      </c>
      <c r="BS222" s="69" t="s">
        <v>1735</v>
      </c>
      <c r="BT222" s="68">
        <v>0</v>
      </c>
      <c r="BU222" s="68">
        <v>0</v>
      </c>
      <c r="BV222" s="68">
        <v>0</v>
      </c>
      <c r="BW222" s="94">
        <v>0</v>
      </c>
      <c r="BX222" s="94">
        <v>0</v>
      </c>
      <c r="BY222" s="94">
        <v>0</v>
      </c>
      <c r="BZ222" s="94">
        <v>0</v>
      </c>
      <c r="CA222" s="94">
        <v>0</v>
      </c>
      <c r="CB222" s="94">
        <v>0</v>
      </c>
      <c r="CC222" s="94">
        <v>0</v>
      </c>
      <c r="CD222" s="94">
        <v>0</v>
      </c>
      <c r="CE222" s="94">
        <v>0</v>
      </c>
      <c r="CF222" s="108">
        <f>SUM(BT222:CE222)</f>
        <v>0</v>
      </c>
      <c r="CG222" s="108">
        <f>$CF222-$AF222</f>
        <v>0</v>
      </c>
      <c r="CH222" s="37" t="s">
        <v>289</v>
      </c>
      <c r="CI222" s="37" t="s">
        <v>291</v>
      </c>
      <c r="CJ222" s="37" t="s">
        <v>277</v>
      </c>
      <c r="CK222" s="37" t="s">
        <v>290</v>
      </c>
      <c r="CL222" s="37" t="s">
        <v>277</v>
      </c>
      <c r="CM222" s="37" t="s">
        <v>277</v>
      </c>
      <c r="CN222" s="37" t="s">
        <v>290</v>
      </c>
      <c r="CO222" s="37" t="s">
        <v>568</v>
      </c>
      <c r="CP222" s="41">
        <v>45717</v>
      </c>
      <c r="CQ222" s="41">
        <v>45839</v>
      </c>
      <c r="CR222" s="37" t="s">
        <v>293</v>
      </c>
      <c r="CS222" s="37" t="s">
        <v>322</v>
      </c>
      <c r="CT222" s="37" t="s">
        <v>295</v>
      </c>
      <c r="CU222" s="37" t="s">
        <v>296</v>
      </c>
      <c r="CV222" s="37" t="s">
        <v>643</v>
      </c>
      <c r="CW222" s="37" t="s">
        <v>277</v>
      </c>
      <c r="CX222" s="37" t="s">
        <v>277</v>
      </c>
      <c r="CY222" s="37" t="s">
        <v>277</v>
      </c>
      <c r="CZ222" s="123" t="s">
        <v>277</v>
      </c>
      <c r="DA222" s="123" t="s">
        <v>277</v>
      </c>
      <c r="DB222" s="37" t="s">
        <v>277</v>
      </c>
      <c r="DC222" s="37" t="s">
        <v>388</v>
      </c>
      <c r="DD222" s="68">
        <v>0</v>
      </c>
      <c r="DE222" s="68">
        <f>5685047339-5685047339</f>
        <v>0</v>
      </c>
      <c r="DF222" s="68">
        <v>0</v>
      </c>
      <c r="DG222" s="68">
        <v>0</v>
      </c>
      <c r="DH222" s="68">
        <v>0</v>
      </c>
      <c r="DI222" s="68">
        <v>0</v>
      </c>
      <c r="DJ222" s="68">
        <v>0</v>
      </c>
      <c r="DK222" s="68">
        <v>0</v>
      </c>
      <c r="DL222" s="68">
        <v>0</v>
      </c>
      <c r="DM222" s="68">
        <v>0</v>
      </c>
      <c r="DN222" s="68">
        <v>0</v>
      </c>
      <c r="DO222" s="68">
        <v>0</v>
      </c>
      <c r="DP222" s="68">
        <f>SUM(DD222:DO222)</f>
        <v>0</v>
      </c>
      <c r="DQ222" s="68">
        <f>DP222-AB222</f>
        <v>0</v>
      </c>
      <c r="DR222" s="68">
        <f>$DD222</f>
        <v>0</v>
      </c>
      <c r="DS222" s="68">
        <f>DR222+DE222</f>
        <v>0</v>
      </c>
      <c r="DT222" s="68">
        <f>DS222+DF222</f>
        <v>0</v>
      </c>
      <c r="DU222" s="68">
        <f>DT222+DG222</f>
        <v>0</v>
      </c>
      <c r="DV222" s="68">
        <f>DU222+DH222</f>
        <v>0</v>
      </c>
      <c r="DW222" s="68">
        <f>DV222+DI222</f>
        <v>0</v>
      </c>
      <c r="DX222" s="68">
        <f>DW222+DJ222</f>
        <v>0</v>
      </c>
      <c r="DY222" s="68">
        <f>DX222+DK222</f>
        <v>0</v>
      </c>
      <c r="DZ222" s="68">
        <f>DY222+DL222</f>
        <v>0</v>
      </c>
      <c r="EA222" s="68">
        <f>DZ222+DM222</f>
        <v>0</v>
      </c>
      <c r="EB222" s="68">
        <f>EA222+DN222</f>
        <v>0</v>
      </c>
      <c r="EC222" s="68">
        <f>EB222+DO222</f>
        <v>0</v>
      </c>
      <c r="ED222" s="68">
        <f>$EC222-$AB222</f>
        <v>0</v>
      </c>
    </row>
    <row r="223" spans="1:134" ht="30">
      <c r="A223" s="74"/>
      <c r="B223" s="50">
        <v>17</v>
      </c>
      <c r="C223" s="50" t="s">
        <v>269</v>
      </c>
      <c r="D223" s="50" t="s">
        <v>297</v>
      </c>
      <c r="E223" s="50"/>
      <c r="F223" s="50" t="s">
        <v>272</v>
      </c>
      <c r="G223" s="50" t="s">
        <v>273</v>
      </c>
      <c r="H223" s="37" t="s">
        <v>1504</v>
      </c>
      <c r="I223" s="37" t="s">
        <v>274</v>
      </c>
      <c r="J223" s="92" t="s">
        <v>340</v>
      </c>
      <c r="K223" s="50" t="s">
        <v>3</v>
      </c>
      <c r="L223" s="50" t="s">
        <v>14</v>
      </c>
      <c r="M223" s="50" t="s">
        <v>16</v>
      </c>
      <c r="N223" s="50" t="s">
        <v>276</v>
      </c>
      <c r="O223" s="37" t="s">
        <v>3</v>
      </c>
      <c r="P223" s="37" t="s">
        <v>14</v>
      </c>
      <c r="Q223" s="37" t="s">
        <v>16</v>
      </c>
      <c r="R223" s="37" t="s">
        <v>276</v>
      </c>
      <c r="S223" s="50" t="s">
        <v>277</v>
      </c>
      <c r="T223" s="50" t="s">
        <v>1507</v>
      </c>
      <c r="U223" s="50" t="s">
        <v>1736</v>
      </c>
      <c r="V223" s="84" t="s">
        <v>1737</v>
      </c>
      <c r="W223" s="84" t="s">
        <v>1737</v>
      </c>
      <c r="X223" s="82" t="s">
        <v>1737</v>
      </c>
      <c r="Y223" s="60">
        <v>58799307520</v>
      </c>
      <c r="Z223" s="60">
        <v>8819896128</v>
      </c>
      <c r="AA223" s="60">
        <v>-8819896128</v>
      </c>
      <c r="AB223" s="60">
        <f>Z223+AA223</f>
        <v>0</v>
      </c>
      <c r="AC223" s="61" t="s">
        <v>414</v>
      </c>
      <c r="AD223" s="61" t="s">
        <v>1738</v>
      </c>
      <c r="AE223" s="112">
        <v>58799307520</v>
      </c>
      <c r="AF223" s="112">
        <v>0</v>
      </c>
      <c r="AG223" s="110">
        <f>$AR223+$AZ223+$BQ223+$BT223+$BU223+$BV223</f>
        <v>0</v>
      </c>
      <c r="AH223" s="121">
        <f>AF223-AG223</f>
        <v>0</v>
      </c>
      <c r="AI223" s="39" t="s">
        <v>1739</v>
      </c>
      <c r="AJ223" s="198"/>
      <c r="AK223" s="198"/>
      <c r="AL223" s="42"/>
      <c r="AM223" s="68"/>
      <c r="AN223" s="68"/>
      <c r="AO223" s="68"/>
      <c r="AP223" s="68"/>
      <c r="AQ223" s="68">
        <v>0</v>
      </c>
      <c r="AR223" s="68">
        <v>0</v>
      </c>
      <c r="AS223" s="68" t="s">
        <v>307</v>
      </c>
      <c r="AT223" s="68"/>
      <c r="AU223" s="69" t="s">
        <v>277</v>
      </c>
      <c r="AV223" s="69" t="s">
        <v>277</v>
      </c>
      <c r="AW223" s="69" t="s">
        <v>277</v>
      </c>
      <c r="AX223" s="69"/>
      <c r="AY223" s="68">
        <v>0</v>
      </c>
      <c r="AZ223" s="68">
        <v>0</v>
      </c>
      <c r="BA223" s="68" t="s">
        <v>307</v>
      </c>
      <c r="BB223" s="68"/>
      <c r="BC223" s="69" t="s">
        <v>1740</v>
      </c>
      <c r="BD223" s="69" t="s">
        <v>277</v>
      </c>
      <c r="BE223" s="56" t="s">
        <v>277</v>
      </c>
      <c r="BF223" s="56" t="s">
        <v>277</v>
      </c>
      <c r="BG223" s="56" t="s">
        <v>277</v>
      </c>
      <c r="BH223" s="56" t="s">
        <v>277</v>
      </c>
      <c r="BI223" s="69">
        <v>0</v>
      </c>
      <c r="BJ223" s="69">
        <v>0</v>
      </c>
      <c r="BK223" s="69">
        <v>0</v>
      </c>
      <c r="BL223" s="69">
        <v>0</v>
      </c>
      <c r="BM223" s="69">
        <v>0</v>
      </c>
      <c r="BN223" s="69">
        <v>0</v>
      </c>
      <c r="BO223" s="69">
        <v>0</v>
      </c>
      <c r="BP223" s="69">
        <v>0</v>
      </c>
      <c r="BQ223" s="69">
        <f>$BJ223</f>
        <v>0</v>
      </c>
      <c r="BR223" s="69" t="s">
        <v>643</v>
      </c>
      <c r="BS223" s="69" t="s">
        <v>1741</v>
      </c>
      <c r="BT223" s="68">
        <v>0</v>
      </c>
      <c r="BU223" s="68">
        <v>0</v>
      </c>
      <c r="BV223" s="68">
        <v>0</v>
      </c>
      <c r="BW223" s="94">
        <v>0</v>
      </c>
      <c r="BX223" s="94">
        <v>0</v>
      </c>
      <c r="BY223" s="94">
        <v>0</v>
      </c>
      <c r="BZ223" s="94">
        <v>0</v>
      </c>
      <c r="CA223" s="94">
        <v>0</v>
      </c>
      <c r="CB223" s="94">
        <v>0</v>
      </c>
      <c r="CC223" s="94">
        <v>0</v>
      </c>
      <c r="CD223" s="94">
        <v>0</v>
      </c>
      <c r="CE223" s="94">
        <v>0</v>
      </c>
      <c r="CF223" s="108">
        <f>SUM(BT223:CE223)</f>
        <v>0</v>
      </c>
      <c r="CG223" s="108">
        <f>$CF223-$AF223</f>
        <v>0</v>
      </c>
      <c r="CH223" s="37" t="s">
        <v>289</v>
      </c>
      <c r="CI223" s="37" t="s">
        <v>290</v>
      </c>
      <c r="CJ223" s="37" t="s">
        <v>277</v>
      </c>
      <c r="CK223" s="37" t="s">
        <v>290</v>
      </c>
      <c r="CL223" s="37" t="s">
        <v>277</v>
      </c>
      <c r="CM223" s="37" t="s">
        <v>277</v>
      </c>
      <c r="CN223" s="37" t="s">
        <v>290</v>
      </c>
      <c r="CO223" s="37" t="s">
        <v>340</v>
      </c>
      <c r="CP223" s="41">
        <v>45870</v>
      </c>
      <c r="CQ223" s="41">
        <v>46174</v>
      </c>
      <c r="CR223" s="37" t="s">
        <v>293</v>
      </c>
      <c r="CS223" s="37" t="s">
        <v>322</v>
      </c>
      <c r="CT223" s="37" t="s">
        <v>295</v>
      </c>
      <c r="CU223" s="37" t="s">
        <v>296</v>
      </c>
      <c r="CV223" s="37" t="s">
        <v>323</v>
      </c>
      <c r="CW223" s="37" t="s">
        <v>277</v>
      </c>
      <c r="CX223" s="37" t="s">
        <v>277</v>
      </c>
      <c r="CY223" s="37">
        <v>0</v>
      </c>
      <c r="CZ223" s="123" t="s">
        <v>277</v>
      </c>
      <c r="DA223" s="123" t="s">
        <v>277</v>
      </c>
      <c r="DB223" s="37" t="s">
        <v>277</v>
      </c>
      <c r="DC223" s="37" t="s">
        <v>455</v>
      </c>
      <c r="DD223" s="68">
        <v>0</v>
      </c>
      <c r="DE223" s="68">
        <v>0</v>
      </c>
      <c r="DF223" s="68">
        <v>0</v>
      </c>
      <c r="DG223" s="68">
        <v>0</v>
      </c>
      <c r="DH223" s="68">
        <v>0</v>
      </c>
      <c r="DI223" s="68">
        <v>0</v>
      </c>
      <c r="DJ223" s="68">
        <v>0</v>
      </c>
      <c r="DK223" s="68">
        <v>0</v>
      </c>
      <c r="DL223" s="68">
        <v>0</v>
      </c>
      <c r="DM223" s="68">
        <v>0</v>
      </c>
      <c r="DN223" s="68">
        <f>8819896128-8819896128</f>
        <v>0</v>
      </c>
      <c r="DO223" s="68">
        <v>0</v>
      </c>
      <c r="DP223" s="68">
        <f>SUM(DD223:DO223)</f>
        <v>0</v>
      </c>
      <c r="DQ223" s="68">
        <f>DP223-AB223</f>
        <v>0</v>
      </c>
      <c r="DR223" s="68">
        <f>$DD223</f>
        <v>0</v>
      </c>
      <c r="DS223" s="68">
        <f>DR223+DE223</f>
        <v>0</v>
      </c>
      <c r="DT223" s="68">
        <f>DS223+DF223</f>
        <v>0</v>
      </c>
      <c r="DU223" s="68">
        <f>DT223+DG223</f>
        <v>0</v>
      </c>
      <c r="DV223" s="68">
        <f>DU223+DH223</f>
        <v>0</v>
      </c>
      <c r="DW223" s="68">
        <f>DV223+DI223</f>
        <v>0</v>
      </c>
      <c r="DX223" s="68">
        <f>DW223+DJ223</f>
        <v>0</v>
      </c>
      <c r="DY223" s="68">
        <f>DX223+DK223</f>
        <v>0</v>
      </c>
      <c r="DZ223" s="68">
        <f>DY223+DL223</f>
        <v>0</v>
      </c>
      <c r="EA223" s="68">
        <f>DZ223+DM223</f>
        <v>0</v>
      </c>
      <c r="EB223" s="68">
        <f>EA223+DN223</f>
        <v>0</v>
      </c>
      <c r="EC223" s="68">
        <f>EB223+DO223</f>
        <v>0</v>
      </c>
      <c r="ED223" s="68">
        <f>$EC223-$AB223</f>
        <v>0</v>
      </c>
    </row>
    <row r="224" spans="1:134" ht="30">
      <c r="A224" s="74"/>
      <c r="B224" s="50">
        <v>18</v>
      </c>
      <c r="C224" s="50" t="s">
        <v>269</v>
      </c>
      <c r="D224" s="50" t="s">
        <v>297</v>
      </c>
      <c r="E224" s="50"/>
      <c r="F224" s="50" t="s">
        <v>272</v>
      </c>
      <c r="G224" s="50" t="s">
        <v>273</v>
      </c>
      <c r="H224" s="37" t="s">
        <v>1504</v>
      </c>
      <c r="I224" s="37" t="s">
        <v>274</v>
      </c>
      <c r="J224" s="92" t="s">
        <v>340</v>
      </c>
      <c r="K224" s="50" t="s">
        <v>3</v>
      </c>
      <c r="L224" s="50" t="s">
        <v>14</v>
      </c>
      <c r="M224" s="50" t="s">
        <v>16</v>
      </c>
      <c r="N224" s="50" t="s">
        <v>276</v>
      </c>
      <c r="O224" s="37" t="s">
        <v>3</v>
      </c>
      <c r="P224" s="37" t="s">
        <v>14</v>
      </c>
      <c r="Q224" s="37" t="s">
        <v>16</v>
      </c>
      <c r="R224" s="37" t="s">
        <v>276</v>
      </c>
      <c r="S224" s="50" t="s">
        <v>277</v>
      </c>
      <c r="T224" s="50" t="s">
        <v>854</v>
      </c>
      <c r="U224" s="50" t="s">
        <v>1742</v>
      </c>
      <c r="V224" s="84" t="s">
        <v>1743</v>
      </c>
      <c r="W224" s="84" t="s">
        <v>1743</v>
      </c>
      <c r="X224" s="82" t="s">
        <v>1743</v>
      </c>
      <c r="Y224" s="60">
        <v>58799307520</v>
      </c>
      <c r="Z224" s="60">
        <v>8819896128</v>
      </c>
      <c r="AA224" s="60">
        <v>-8819896128</v>
      </c>
      <c r="AB224" s="60">
        <f>Z224+AA224</f>
        <v>0</v>
      </c>
      <c r="AC224" s="61" t="s">
        <v>414</v>
      </c>
      <c r="AD224" s="61" t="s">
        <v>1738</v>
      </c>
      <c r="AE224" s="111">
        <v>58799307520</v>
      </c>
      <c r="AF224" s="112">
        <v>0</v>
      </c>
      <c r="AG224" s="110">
        <f>$AR224+$AZ224+$BQ224+$BT224+$BU224+$BV224</f>
        <v>0</v>
      </c>
      <c r="AH224" s="121">
        <f>AF224-AG224</f>
        <v>0</v>
      </c>
      <c r="AI224" s="39" t="s">
        <v>1739</v>
      </c>
      <c r="AJ224" s="198"/>
      <c r="AK224" s="198"/>
      <c r="AL224" s="42"/>
      <c r="AM224" s="68"/>
      <c r="AN224" s="68"/>
      <c r="AO224" s="68"/>
      <c r="AP224" s="68"/>
      <c r="AQ224" s="68">
        <v>0</v>
      </c>
      <c r="AR224" s="68">
        <v>0</v>
      </c>
      <c r="AS224" s="68" t="s">
        <v>307</v>
      </c>
      <c r="AT224" s="68"/>
      <c r="AU224" s="69" t="s">
        <v>277</v>
      </c>
      <c r="AV224" s="69" t="s">
        <v>277</v>
      </c>
      <c r="AW224" s="69" t="s">
        <v>277</v>
      </c>
      <c r="AX224" s="69"/>
      <c r="AY224" s="68">
        <v>0</v>
      </c>
      <c r="AZ224" s="68">
        <v>0</v>
      </c>
      <c r="BA224" s="68" t="s">
        <v>307</v>
      </c>
      <c r="BB224" s="68"/>
      <c r="BC224" s="69" t="s">
        <v>1740</v>
      </c>
      <c r="BD224" s="69" t="s">
        <v>277</v>
      </c>
      <c r="BE224" s="56" t="s">
        <v>277</v>
      </c>
      <c r="BF224" s="56" t="s">
        <v>277</v>
      </c>
      <c r="BG224" s="56" t="s">
        <v>277</v>
      </c>
      <c r="BH224" s="56" t="s">
        <v>277</v>
      </c>
      <c r="BI224" s="69">
        <v>0</v>
      </c>
      <c r="BJ224" s="69">
        <v>0</v>
      </c>
      <c r="BK224" s="69">
        <v>0</v>
      </c>
      <c r="BL224" s="69">
        <v>0</v>
      </c>
      <c r="BM224" s="69">
        <v>0</v>
      </c>
      <c r="BN224" s="69">
        <v>0</v>
      </c>
      <c r="BO224" s="69">
        <v>0</v>
      </c>
      <c r="BP224" s="69">
        <v>0</v>
      </c>
      <c r="BQ224" s="69"/>
      <c r="BR224" s="69" t="s">
        <v>643</v>
      </c>
      <c r="BS224" s="69" t="s">
        <v>1744</v>
      </c>
      <c r="BT224" s="68">
        <v>0</v>
      </c>
      <c r="BU224" s="68">
        <v>0</v>
      </c>
      <c r="BV224" s="68">
        <v>0</v>
      </c>
      <c r="BW224" s="94">
        <v>0</v>
      </c>
      <c r="BX224" s="94">
        <v>0</v>
      </c>
      <c r="BY224" s="94">
        <v>0</v>
      </c>
      <c r="BZ224" s="94">
        <v>0</v>
      </c>
      <c r="CA224" s="94">
        <v>0</v>
      </c>
      <c r="CB224" s="94">
        <v>0</v>
      </c>
      <c r="CC224" s="94">
        <v>0</v>
      </c>
      <c r="CD224" s="94">
        <v>0</v>
      </c>
      <c r="CE224" s="94">
        <v>0</v>
      </c>
      <c r="CF224" s="108">
        <f>SUM(BT224:CE224)</f>
        <v>0</v>
      </c>
      <c r="CG224" s="108">
        <f>$CF224-$AF224</f>
        <v>0</v>
      </c>
      <c r="CH224" s="37" t="s">
        <v>289</v>
      </c>
      <c r="CI224" s="37" t="s">
        <v>290</v>
      </c>
      <c r="CJ224" s="37" t="s">
        <v>277</v>
      </c>
      <c r="CK224" s="37" t="s">
        <v>290</v>
      </c>
      <c r="CL224" s="37" t="s">
        <v>277</v>
      </c>
      <c r="CM224" s="37" t="s">
        <v>277</v>
      </c>
      <c r="CN224" s="37" t="s">
        <v>290</v>
      </c>
      <c r="CO224" s="37" t="s">
        <v>340</v>
      </c>
      <c r="CP224" s="41">
        <v>45962</v>
      </c>
      <c r="CQ224" s="41">
        <v>46327</v>
      </c>
      <c r="CR224" s="37" t="s">
        <v>293</v>
      </c>
      <c r="CS224" s="37" t="s">
        <v>322</v>
      </c>
      <c r="CT224" s="37" t="s">
        <v>295</v>
      </c>
      <c r="CU224" s="37" t="s">
        <v>296</v>
      </c>
      <c r="CV224" s="37" t="s">
        <v>323</v>
      </c>
      <c r="CW224" s="37" t="s">
        <v>277</v>
      </c>
      <c r="CX224" s="37" t="s">
        <v>277</v>
      </c>
      <c r="CY224" s="37">
        <v>0</v>
      </c>
      <c r="CZ224" s="123" t="s">
        <v>277</v>
      </c>
      <c r="DA224" s="123" t="s">
        <v>277</v>
      </c>
      <c r="DB224" s="37" t="s">
        <v>277</v>
      </c>
      <c r="DC224" s="37" t="s">
        <v>455</v>
      </c>
      <c r="DD224" s="68">
        <v>0</v>
      </c>
      <c r="DE224" s="68">
        <v>0</v>
      </c>
      <c r="DF224" s="68">
        <v>0</v>
      </c>
      <c r="DG224" s="68">
        <v>0</v>
      </c>
      <c r="DH224" s="68">
        <v>0</v>
      </c>
      <c r="DI224" s="68">
        <v>0</v>
      </c>
      <c r="DJ224" s="68">
        <v>0</v>
      </c>
      <c r="DK224" s="68">
        <v>0</v>
      </c>
      <c r="DL224" s="68">
        <v>0</v>
      </c>
      <c r="DM224" s="68">
        <v>0</v>
      </c>
      <c r="DN224" s="68">
        <f>8819896128-8819896128</f>
        <v>0</v>
      </c>
      <c r="DO224" s="68">
        <v>0</v>
      </c>
      <c r="DP224" s="68">
        <f>SUM(DD224:DO224)</f>
        <v>0</v>
      </c>
      <c r="DQ224" s="68">
        <f>DP224-AB224</f>
        <v>0</v>
      </c>
      <c r="DR224" s="68">
        <f>$DD224</f>
        <v>0</v>
      </c>
      <c r="DS224" s="68">
        <f>DR224+DE224</f>
        <v>0</v>
      </c>
      <c r="DT224" s="68">
        <f>DS224+DF224</f>
        <v>0</v>
      </c>
      <c r="DU224" s="68">
        <f>DT224+DG224</f>
        <v>0</v>
      </c>
      <c r="DV224" s="68">
        <f>DU224+DH224</f>
        <v>0</v>
      </c>
      <c r="DW224" s="68">
        <f>DV224+DI224</f>
        <v>0</v>
      </c>
      <c r="DX224" s="68">
        <f>DW224+DJ224</f>
        <v>0</v>
      </c>
      <c r="DY224" s="68">
        <f>DX224+DK224</f>
        <v>0</v>
      </c>
      <c r="DZ224" s="68">
        <f>DY224+DL224</f>
        <v>0</v>
      </c>
      <c r="EA224" s="68">
        <f>DZ224+DM224</f>
        <v>0</v>
      </c>
      <c r="EB224" s="68">
        <f>EA224+DN224</f>
        <v>0</v>
      </c>
      <c r="EC224" s="68">
        <f>EB224+DO224</f>
        <v>0</v>
      </c>
      <c r="ED224" s="68">
        <f>$EC224-$AB224</f>
        <v>0</v>
      </c>
    </row>
    <row r="225" spans="1:134">
      <c r="A225" s="74"/>
      <c r="B225" s="50">
        <v>25</v>
      </c>
      <c r="C225" s="50" t="s">
        <v>269</v>
      </c>
      <c r="D225" s="50" t="s">
        <v>297</v>
      </c>
      <c r="E225" s="50"/>
      <c r="F225" s="50" t="s">
        <v>272</v>
      </c>
      <c r="G225" s="50" t="s">
        <v>273</v>
      </c>
      <c r="H225" s="37" t="s">
        <v>151</v>
      </c>
      <c r="I225" s="37" t="s">
        <v>274</v>
      </c>
      <c r="J225" s="37" t="s">
        <v>298</v>
      </c>
      <c r="K225" s="50" t="s">
        <v>3</v>
      </c>
      <c r="L225" s="50" t="s">
        <v>14</v>
      </c>
      <c r="M225" s="50" t="s">
        <v>16</v>
      </c>
      <c r="N225" s="50" t="s">
        <v>276</v>
      </c>
      <c r="O225" s="37" t="s">
        <v>3</v>
      </c>
      <c r="P225" s="37" t="s">
        <v>14</v>
      </c>
      <c r="Q225" s="37" t="s">
        <v>16</v>
      </c>
      <c r="R225" s="37" t="s">
        <v>276</v>
      </c>
      <c r="S225" s="50" t="s">
        <v>277</v>
      </c>
      <c r="T225" s="50" t="s">
        <v>1745</v>
      </c>
      <c r="U225" s="50" t="s">
        <v>1746</v>
      </c>
      <c r="V225" s="56" t="s">
        <v>1747</v>
      </c>
      <c r="W225" s="84" t="s">
        <v>1747</v>
      </c>
      <c r="X225" s="82" t="s">
        <v>1747</v>
      </c>
      <c r="Y225" s="60">
        <v>20000000000</v>
      </c>
      <c r="Z225" s="60">
        <v>4000000000</v>
      </c>
      <c r="AA225" s="60">
        <f>-1245619267-2754380733</f>
        <v>-4000000000</v>
      </c>
      <c r="AB225" s="60">
        <f>Z225+AA225</f>
        <v>0</v>
      </c>
      <c r="AC225" s="61" t="s">
        <v>1748</v>
      </c>
      <c r="AD225" s="61" t="s">
        <v>1749</v>
      </c>
      <c r="AE225" s="107">
        <v>0</v>
      </c>
      <c r="AF225" s="107">
        <v>0</v>
      </c>
      <c r="AG225" s="110">
        <f>$AR225+$AZ225+$BQ225+$BT225+$BU225+$BV225</f>
        <v>0</v>
      </c>
      <c r="AH225" s="121">
        <f>AF225-AG225</f>
        <v>0</v>
      </c>
      <c r="AI225" s="39" t="s">
        <v>1528</v>
      </c>
      <c r="AJ225" s="198"/>
      <c r="AK225" s="198"/>
      <c r="AL225" s="42"/>
      <c r="AM225" s="68"/>
      <c r="AN225" s="68"/>
      <c r="AO225" s="68"/>
      <c r="AP225" s="68"/>
      <c r="AQ225" s="68">
        <v>0</v>
      </c>
      <c r="AR225" s="68">
        <v>0</v>
      </c>
      <c r="AS225" s="68" t="s">
        <v>307</v>
      </c>
      <c r="AT225" s="68"/>
      <c r="AU225" s="69" t="s">
        <v>277</v>
      </c>
      <c r="AV225" s="69" t="s">
        <v>277</v>
      </c>
      <c r="AW225" s="69" t="s">
        <v>277</v>
      </c>
      <c r="AX225" s="69"/>
      <c r="AY225" s="68">
        <v>0</v>
      </c>
      <c r="AZ225" s="68">
        <v>0</v>
      </c>
      <c r="BA225" s="68" t="s">
        <v>307</v>
      </c>
      <c r="BB225" s="68"/>
      <c r="BC225" s="69" t="s">
        <v>277</v>
      </c>
      <c r="BD225" s="69" t="s">
        <v>277</v>
      </c>
      <c r="BE225" s="56" t="s">
        <v>277</v>
      </c>
      <c r="BF225" s="56" t="s">
        <v>277</v>
      </c>
      <c r="BG225" s="56" t="s">
        <v>277</v>
      </c>
      <c r="BH225" s="56" t="s">
        <v>277</v>
      </c>
      <c r="BI225" s="69">
        <v>0</v>
      </c>
      <c r="BJ225" s="69">
        <v>0</v>
      </c>
      <c r="BK225" s="69">
        <v>0</v>
      </c>
      <c r="BL225" s="69">
        <v>0</v>
      </c>
      <c r="BM225" s="69">
        <v>0</v>
      </c>
      <c r="BN225" s="69">
        <v>0</v>
      </c>
      <c r="BO225" s="69">
        <v>0</v>
      </c>
      <c r="BP225" s="69">
        <v>0</v>
      </c>
      <c r="BQ225" s="69"/>
      <c r="BR225" s="69" t="s">
        <v>643</v>
      </c>
      <c r="BS225" s="69" t="s">
        <v>1735</v>
      </c>
      <c r="BT225" s="68">
        <v>0</v>
      </c>
      <c r="BU225" s="68">
        <v>0</v>
      </c>
      <c r="BV225" s="68"/>
      <c r="BW225" s="94">
        <v>0</v>
      </c>
      <c r="BX225" s="94">
        <v>0</v>
      </c>
      <c r="BY225" s="94">
        <v>0</v>
      </c>
      <c r="BZ225" s="94">
        <v>0</v>
      </c>
      <c r="CA225" s="94">
        <v>0</v>
      </c>
      <c r="CB225" s="109">
        <v>0</v>
      </c>
      <c r="CC225" s="109">
        <v>0</v>
      </c>
      <c r="CD225" s="109">
        <v>0</v>
      </c>
      <c r="CE225" s="109">
        <v>0</v>
      </c>
      <c r="CF225" s="108">
        <f>SUM(BT225:CE225)</f>
        <v>0</v>
      </c>
      <c r="CG225" s="108">
        <f>$CF225-$AF225</f>
        <v>0</v>
      </c>
      <c r="CH225" s="37" t="s">
        <v>289</v>
      </c>
      <c r="CI225" s="37" t="s">
        <v>290</v>
      </c>
      <c r="CJ225" s="37" t="s">
        <v>277</v>
      </c>
      <c r="CK225" s="37" t="s">
        <v>290</v>
      </c>
      <c r="CL225" s="37" t="s">
        <v>277</v>
      </c>
      <c r="CM225" s="37" t="s">
        <v>277</v>
      </c>
      <c r="CN225" s="37" t="s">
        <v>290</v>
      </c>
      <c r="CO225" s="37" t="s">
        <v>275</v>
      </c>
      <c r="CP225" s="41">
        <v>46023</v>
      </c>
      <c r="CQ225" s="41">
        <v>47453</v>
      </c>
      <c r="CR225" s="37" t="s">
        <v>293</v>
      </c>
      <c r="CS225" s="37" t="s">
        <v>294</v>
      </c>
      <c r="CT225" s="37" t="s">
        <v>295</v>
      </c>
      <c r="CU225" s="37" t="s">
        <v>296</v>
      </c>
      <c r="CV225" s="37" t="s">
        <v>323</v>
      </c>
      <c r="CW225" s="37" t="s">
        <v>277</v>
      </c>
      <c r="CX225" s="37" t="s">
        <v>277</v>
      </c>
      <c r="CY225" s="37">
        <v>0</v>
      </c>
      <c r="CZ225" s="123" t="s">
        <v>277</v>
      </c>
      <c r="DA225" s="123" t="s">
        <v>277</v>
      </c>
      <c r="DB225" s="37" t="s">
        <v>277</v>
      </c>
      <c r="DC225" s="37" t="s">
        <v>455</v>
      </c>
      <c r="DD225" s="68">
        <v>0</v>
      </c>
      <c r="DE225" s="68">
        <v>0</v>
      </c>
      <c r="DF225" s="68">
        <v>0</v>
      </c>
      <c r="DG225" s="68">
        <v>0</v>
      </c>
      <c r="DH225" s="68">
        <v>0</v>
      </c>
      <c r="DI225" s="68">
        <v>0</v>
      </c>
      <c r="DJ225" s="68">
        <v>0</v>
      </c>
      <c r="DK225" s="68">
        <v>0</v>
      </c>
      <c r="DL225" s="68">
        <v>0</v>
      </c>
      <c r="DM225" s="68">
        <v>0</v>
      </c>
      <c r="DN225" s="68">
        <v>0</v>
      </c>
      <c r="DO225" s="68">
        <f>4000000000-1245619267-2754380733</f>
        <v>0</v>
      </c>
      <c r="DP225" s="68">
        <f>SUM(DD225:DO225)</f>
        <v>0</v>
      </c>
      <c r="DQ225" s="68">
        <f>DP225-AB225</f>
        <v>0</v>
      </c>
      <c r="DR225" s="68">
        <f>$DD225</f>
        <v>0</v>
      </c>
      <c r="DS225" s="68">
        <f>DR225+DE225</f>
        <v>0</v>
      </c>
      <c r="DT225" s="68">
        <f>DS225+DF225</f>
        <v>0</v>
      </c>
      <c r="DU225" s="68">
        <f>DT225+DG225</f>
        <v>0</v>
      </c>
      <c r="DV225" s="68">
        <f>DU225+DH225</f>
        <v>0</v>
      </c>
      <c r="DW225" s="68">
        <f>DV225+DI225</f>
        <v>0</v>
      </c>
      <c r="DX225" s="68">
        <f>DW225+DJ225</f>
        <v>0</v>
      </c>
      <c r="DY225" s="68">
        <f>DX225+DK225</f>
        <v>0</v>
      </c>
      <c r="DZ225" s="68">
        <f>DY225+DL225</f>
        <v>0</v>
      </c>
      <c r="EA225" s="68">
        <f>DZ225+DM225</f>
        <v>0</v>
      </c>
      <c r="EB225" s="68">
        <f>EA225+DN225</f>
        <v>0</v>
      </c>
      <c r="EC225" s="68">
        <f>EB225+DO225</f>
        <v>0</v>
      </c>
      <c r="ED225" s="68">
        <f>$EC225-$AB225</f>
        <v>0</v>
      </c>
    </row>
    <row r="226" spans="1:134" ht="60">
      <c r="A226" s="74"/>
      <c r="B226" s="50">
        <v>45</v>
      </c>
      <c r="C226" s="50" t="s">
        <v>269</v>
      </c>
      <c r="D226" s="50" t="s">
        <v>297</v>
      </c>
      <c r="E226" s="50"/>
      <c r="F226" s="50" t="s">
        <v>272</v>
      </c>
      <c r="G226" s="50" t="s">
        <v>273</v>
      </c>
      <c r="H226" s="37" t="s">
        <v>151</v>
      </c>
      <c r="I226" s="92" t="s">
        <v>274</v>
      </c>
      <c r="J226" s="92" t="s">
        <v>340</v>
      </c>
      <c r="K226" s="50" t="s">
        <v>3</v>
      </c>
      <c r="L226" s="50" t="s">
        <v>14</v>
      </c>
      <c r="M226" s="50" t="s">
        <v>16</v>
      </c>
      <c r="N226" s="50" t="s">
        <v>276</v>
      </c>
      <c r="O226" s="37" t="s">
        <v>3</v>
      </c>
      <c r="P226" s="37" t="s">
        <v>14</v>
      </c>
      <c r="Q226" s="37" t="s">
        <v>16</v>
      </c>
      <c r="R226" s="37" t="s">
        <v>276</v>
      </c>
      <c r="S226" s="50" t="s">
        <v>277</v>
      </c>
      <c r="T226" s="50" t="s">
        <v>1750</v>
      </c>
      <c r="U226" s="50" t="s">
        <v>1751</v>
      </c>
      <c r="V226" s="84" t="s">
        <v>1752</v>
      </c>
      <c r="W226" s="84" t="s">
        <v>1752</v>
      </c>
      <c r="X226" s="82" t="s">
        <v>1753</v>
      </c>
      <c r="Y226" s="60">
        <v>18500000000</v>
      </c>
      <c r="Z226" s="60">
        <v>1320000000</v>
      </c>
      <c r="AA226" s="60">
        <f>-847268707-472731293</f>
        <v>-1320000000</v>
      </c>
      <c r="AB226" s="60">
        <f>Z226+AA226</f>
        <v>0</v>
      </c>
      <c r="AC226" s="61" t="s">
        <v>1754</v>
      </c>
      <c r="AD226" s="61" t="s">
        <v>1755</v>
      </c>
      <c r="AE226" s="112">
        <v>0</v>
      </c>
      <c r="AF226" s="112">
        <v>0</v>
      </c>
      <c r="AG226" s="110">
        <f>$AR226+$AZ226+$BQ226+$BT226+$BU226+$BV226</f>
        <v>0</v>
      </c>
      <c r="AH226" s="121">
        <f>AF226-AG226</f>
        <v>0</v>
      </c>
      <c r="AI226" s="99" t="s">
        <v>1756</v>
      </c>
      <c r="AJ226" s="209"/>
      <c r="AK226" s="209"/>
      <c r="AL226" s="98"/>
      <c r="AM226" s="68"/>
      <c r="AN226" s="68"/>
      <c r="AO226" s="68"/>
      <c r="AP226" s="68"/>
      <c r="AQ226" s="68">
        <v>0</v>
      </c>
      <c r="AR226" s="68">
        <v>0</v>
      </c>
      <c r="AS226" s="68" t="s">
        <v>307</v>
      </c>
      <c r="AT226" s="68"/>
      <c r="AU226" s="69" t="s">
        <v>277</v>
      </c>
      <c r="AV226" s="69" t="s">
        <v>277</v>
      </c>
      <c r="AW226" s="69" t="s">
        <v>277</v>
      </c>
      <c r="AX226" s="69"/>
      <c r="AY226" s="68">
        <v>0</v>
      </c>
      <c r="AZ226" s="68">
        <v>0</v>
      </c>
      <c r="BA226" s="68" t="s">
        <v>307</v>
      </c>
      <c r="BB226" s="68"/>
      <c r="BC226" s="69" t="s">
        <v>942</v>
      </c>
      <c r="BD226" s="69" t="s">
        <v>277</v>
      </c>
      <c r="BE226" s="56" t="s">
        <v>277</v>
      </c>
      <c r="BF226" s="56" t="s">
        <v>277</v>
      </c>
      <c r="BG226" s="56" t="s">
        <v>277</v>
      </c>
      <c r="BH226" s="56" t="s">
        <v>277</v>
      </c>
      <c r="BI226" s="69">
        <v>0</v>
      </c>
      <c r="BJ226" s="69">
        <v>0</v>
      </c>
      <c r="BK226" s="69">
        <v>0</v>
      </c>
      <c r="BL226" s="69">
        <v>0</v>
      </c>
      <c r="BM226" s="69">
        <v>0</v>
      </c>
      <c r="BN226" s="69">
        <v>0</v>
      </c>
      <c r="BO226" s="69">
        <v>0</v>
      </c>
      <c r="BP226" s="69">
        <v>0</v>
      </c>
      <c r="BQ226" s="69"/>
      <c r="BR226" s="69" t="s">
        <v>643</v>
      </c>
      <c r="BS226" s="69" t="s">
        <v>1757</v>
      </c>
      <c r="BT226" s="68">
        <v>0</v>
      </c>
      <c r="BU226" s="68">
        <v>0</v>
      </c>
      <c r="BV226" s="68">
        <v>0</v>
      </c>
      <c r="BW226" s="94">
        <v>0</v>
      </c>
      <c r="BX226" s="94">
        <v>0</v>
      </c>
      <c r="BY226" s="94">
        <v>0</v>
      </c>
      <c r="BZ226" s="94">
        <v>0</v>
      </c>
      <c r="CA226" s="94">
        <v>0</v>
      </c>
      <c r="CB226" s="109">
        <v>0</v>
      </c>
      <c r="CC226" s="109">
        <v>0</v>
      </c>
      <c r="CD226" s="109">
        <v>0</v>
      </c>
      <c r="CE226" s="109">
        <v>0</v>
      </c>
      <c r="CF226" s="108">
        <f>SUM(BT226:CE226)</f>
        <v>0</v>
      </c>
      <c r="CG226" s="108">
        <f>$CF226-$AF226</f>
        <v>0</v>
      </c>
      <c r="CH226" s="37" t="s">
        <v>289</v>
      </c>
      <c r="CI226" s="37" t="s">
        <v>290</v>
      </c>
      <c r="CJ226" s="37" t="s">
        <v>277</v>
      </c>
      <c r="CK226" s="37" t="s">
        <v>290</v>
      </c>
      <c r="CL226" s="37" t="s">
        <v>277</v>
      </c>
      <c r="CM226" s="37" t="s">
        <v>277</v>
      </c>
      <c r="CN226" s="37" t="s">
        <v>290</v>
      </c>
      <c r="CO226" s="37" t="s">
        <v>340</v>
      </c>
      <c r="CP226" s="41">
        <v>45200</v>
      </c>
      <c r="CQ226" s="41">
        <v>45536</v>
      </c>
      <c r="CR226" s="37" t="s">
        <v>293</v>
      </c>
      <c r="CS226" s="37" t="s">
        <v>454</v>
      </c>
      <c r="CT226" s="37" t="s">
        <v>524</v>
      </c>
      <c r="CU226" s="37" t="s">
        <v>341</v>
      </c>
      <c r="CV226" s="37" t="s">
        <v>382</v>
      </c>
      <c r="CW226" s="37" t="s">
        <v>944</v>
      </c>
      <c r="CX226" s="37" t="s">
        <v>940</v>
      </c>
      <c r="CY226" s="37">
        <v>18500000000</v>
      </c>
      <c r="CZ226" s="123">
        <v>45352</v>
      </c>
      <c r="DA226" s="123">
        <v>46447</v>
      </c>
      <c r="DB226" s="37" t="s">
        <v>277</v>
      </c>
      <c r="DC226" s="37" t="s">
        <v>388</v>
      </c>
      <c r="DD226" s="68">
        <v>0</v>
      </c>
      <c r="DE226" s="68">
        <v>0</v>
      </c>
      <c r="DF226" s="68">
        <f>1320000000-847268707-472731293</f>
        <v>0</v>
      </c>
      <c r="DG226" s="68">
        <v>0</v>
      </c>
      <c r="DH226" s="68">
        <v>0</v>
      </c>
      <c r="DI226" s="68">
        <v>0</v>
      </c>
      <c r="DJ226" s="68">
        <v>0</v>
      </c>
      <c r="DK226" s="68">
        <v>0</v>
      </c>
      <c r="DL226" s="68">
        <v>0</v>
      </c>
      <c r="DM226" s="68">
        <v>0</v>
      </c>
      <c r="DN226" s="68">
        <v>0</v>
      </c>
      <c r="DO226" s="68">
        <v>0</v>
      </c>
      <c r="DP226" s="68">
        <f>SUM(DD226:DO226)</f>
        <v>0</v>
      </c>
      <c r="DQ226" s="68">
        <f>DP226-AB226</f>
        <v>0</v>
      </c>
      <c r="DR226" s="68">
        <f>$DD226</f>
        <v>0</v>
      </c>
      <c r="DS226" s="68">
        <f>DR226+DE226</f>
        <v>0</v>
      </c>
      <c r="DT226" s="68">
        <f>DS226+DF226</f>
        <v>0</v>
      </c>
      <c r="DU226" s="68">
        <f>DT226+DG226</f>
        <v>0</v>
      </c>
      <c r="DV226" s="68">
        <f>DU226+DH226</f>
        <v>0</v>
      </c>
      <c r="DW226" s="68">
        <f>DV226+DI226</f>
        <v>0</v>
      </c>
      <c r="DX226" s="68">
        <f>DW226+DJ226</f>
        <v>0</v>
      </c>
      <c r="DY226" s="68">
        <f>DX226+DK226</f>
        <v>0</v>
      </c>
      <c r="DZ226" s="68">
        <f>DY226+DL226</f>
        <v>0</v>
      </c>
      <c r="EA226" s="68">
        <f>DZ226+DM226</f>
        <v>0</v>
      </c>
      <c r="EB226" s="68">
        <f>EA226+DN226</f>
        <v>0</v>
      </c>
      <c r="EC226" s="68">
        <f>EB226+DO226</f>
        <v>0</v>
      </c>
      <c r="ED226" s="68">
        <f>$EC226-$AB226</f>
        <v>0</v>
      </c>
    </row>
    <row r="227" spans="1:134" ht="60">
      <c r="A227" s="74"/>
      <c r="B227" s="50">
        <v>69</v>
      </c>
      <c r="C227" s="50" t="s">
        <v>269</v>
      </c>
      <c r="D227" s="50" t="s">
        <v>297</v>
      </c>
      <c r="E227" s="50"/>
      <c r="F227" s="50" t="s">
        <v>272</v>
      </c>
      <c r="G227" s="50" t="s">
        <v>273</v>
      </c>
      <c r="H227" s="37" t="s">
        <v>151</v>
      </c>
      <c r="I227" s="37" t="s">
        <v>274</v>
      </c>
      <c r="J227" s="92" t="s">
        <v>340</v>
      </c>
      <c r="K227" s="50" t="s">
        <v>3</v>
      </c>
      <c r="L227" s="50" t="s">
        <v>14</v>
      </c>
      <c r="M227" s="50" t="s">
        <v>16</v>
      </c>
      <c r="N227" s="50" t="s">
        <v>276</v>
      </c>
      <c r="O227" s="37" t="s">
        <v>3</v>
      </c>
      <c r="P227" s="37" t="s">
        <v>14</v>
      </c>
      <c r="Q227" s="37" t="s">
        <v>16</v>
      </c>
      <c r="R227" s="37" t="s">
        <v>276</v>
      </c>
      <c r="S227" s="50" t="s">
        <v>277</v>
      </c>
      <c r="T227" s="50" t="s">
        <v>1758</v>
      </c>
      <c r="U227" s="50" t="s">
        <v>1759</v>
      </c>
      <c r="V227" s="84" t="s">
        <v>1760</v>
      </c>
      <c r="W227" s="84" t="s">
        <v>1761</v>
      </c>
      <c r="X227" s="82" t="s">
        <v>1044</v>
      </c>
      <c r="Y227" s="60">
        <v>21500000000</v>
      </c>
      <c r="Z227" s="60">
        <v>203734360</v>
      </c>
      <c r="AA227" s="60"/>
      <c r="AB227" s="60">
        <f>Z227+AA227</f>
        <v>203734360</v>
      </c>
      <c r="AC227" s="61"/>
      <c r="AD227" s="61"/>
      <c r="AE227" s="109">
        <v>0</v>
      </c>
      <c r="AF227" s="109">
        <v>0</v>
      </c>
      <c r="AG227" s="108">
        <f>$AR227+$AZ227+$BQ227+$BT227+$BU227+$BV227</f>
        <v>0</v>
      </c>
      <c r="AH227" s="121">
        <f>AF227-AG227</f>
        <v>0</v>
      </c>
      <c r="AI227" s="39" t="s">
        <v>1762</v>
      </c>
      <c r="AJ227" s="200"/>
      <c r="AK227" s="200"/>
      <c r="AL227" s="39"/>
      <c r="AM227" s="68"/>
      <c r="AN227" s="68"/>
      <c r="AO227" s="68"/>
      <c r="AP227" s="68"/>
      <c r="AQ227" s="68">
        <v>0</v>
      </c>
      <c r="AR227" s="68">
        <v>0</v>
      </c>
      <c r="AS227" s="68" t="s">
        <v>307</v>
      </c>
      <c r="AT227" s="68"/>
      <c r="AU227" s="69" t="s">
        <v>277</v>
      </c>
      <c r="AV227" s="69" t="s">
        <v>277</v>
      </c>
      <c r="AW227" s="69" t="s">
        <v>277</v>
      </c>
      <c r="AX227" s="69"/>
      <c r="AY227" s="68">
        <v>0</v>
      </c>
      <c r="AZ227" s="68">
        <v>0</v>
      </c>
      <c r="BA227" s="68" t="s">
        <v>307</v>
      </c>
      <c r="BB227" s="68"/>
      <c r="BC227" s="69" t="s">
        <v>1048</v>
      </c>
      <c r="BD227" s="69" t="s">
        <v>277</v>
      </c>
      <c r="BE227" s="56" t="s">
        <v>277</v>
      </c>
      <c r="BF227" s="56" t="s">
        <v>277</v>
      </c>
      <c r="BG227" s="56" t="s">
        <v>277</v>
      </c>
      <c r="BH227" s="56" t="s">
        <v>277</v>
      </c>
      <c r="BI227" s="69">
        <v>0</v>
      </c>
      <c r="BJ227" s="69">
        <v>0</v>
      </c>
      <c r="BK227" s="69">
        <v>0</v>
      </c>
      <c r="BL227" s="69">
        <v>0</v>
      </c>
      <c r="BM227" s="69">
        <v>0</v>
      </c>
      <c r="BN227" s="69">
        <v>0</v>
      </c>
      <c r="BO227" s="69">
        <v>0</v>
      </c>
      <c r="BP227" s="69">
        <v>0</v>
      </c>
      <c r="BQ227" s="69"/>
      <c r="BR227" s="69" t="s">
        <v>382</v>
      </c>
      <c r="BS227" s="69" t="s">
        <v>798</v>
      </c>
      <c r="BT227" s="68">
        <v>0</v>
      </c>
      <c r="BU227" s="68">
        <v>0</v>
      </c>
      <c r="BV227" s="68">
        <v>0</v>
      </c>
      <c r="BW227" s="94">
        <v>0</v>
      </c>
      <c r="BX227" s="94">
        <v>0</v>
      </c>
      <c r="BY227" s="94">
        <v>0</v>
      </c>
      <c r="BZ227" s="94">
        <v>0</v>
      </c>
      <c r="CA227" s="94">
        <v>0</v>
      </c>
      <c r="CB227" s="94">
        <v>0</v>
      </c>
      <c r="CC227" s="94">
        <v>0</v>
      </c>
      <c r="CD227" s="94">
        <v>0</v>
      </c>
      <c r="CE227" s="94">
        <v>0</v>
      </c>
      <c r="CF227" s="108">
        <f>SUM(BT227:CE227)</f>
        <v>0</v>
      </c>
      <c r="CG227" s="108">
        <f>$CF227-$AF227</f>
        <v>0</v>
      </c>
      <c r="CH227" s="37" t="s">
        <v>289</v>
      </c>
      <c r="CI227" s="37" t="s">
        <v>290</v>
      </c>
      <c r="CJ227" s="37" t="s">
        <v>277</v>
      </c>
      <c r="CK227" s="37" t="s">
        <v>290</v>
      </c>
      <c r="CL227" s="37" t="s">
        <v>277</v>
      </c>
      <c r="CM227" s="37" t="s">
        <v>277</v>
      </c>
      <c r="CN227" s="37" t="s">
        <v>290</v>
      </c>
      <c r="CO227" s="37" t="s">
        <v>340</v>
      </c>
      <c r="CP227" s="41">
        <v>45292</v>
      </c>
      <c r="CQ227" s="41">
        <v>45748</v>
      </c>
      <c r="CR227" s="37" t="s">
        <v>293</v>
      </c>
      <c r="CS227" s="37" t="s">
        <v>322</v>
      </c>
      <c r="CT227" s="37" t="s">
        <v>524</v>
      </c>
      <c r="CU227" s="37" t="s">
        <v>341</v>
      </c>
      <c r="CV227" s="37" t="s">
        <v>382</v>
      </c>
      <c r="CW227" s="37" t="s">
        <v>1049</v>
      </c>
      <c r="CX227" s="37" t="s">
        <v>1044</v>
      </c>
      <c r="CY227" s="37">
        <v>21500000000</v>
      </c>
      <c r="CZ227" s="123">
        <v>45383</v>
      </c>
      <c r="DA227" s="123">
        <v>46478</v>
      </c>
      <c r="DB227" s="37" t="s">
        <v>277</v>
      </c>
      <c r="DC227" s="37" t="s">
        <v>749</v>
      </c>
      <c r="DD227" s="68">
        <v>0</v>
      </c>
      <c r="DE227" s="68">
        <v>203734360</v>
      </c>
      <c r="DF227" s="68">
        <v>0</v>
      </c>
      <c r="DG227" s="68">
        <v>0</v>
      </c>
      <c r="DH227" s="68">
        <v>0</v>
      </c>
      <c r="DI227" s="68">
        <v>0</v>
      </c>
      <c r="DJ227" s="68">
        <v>0</v>
      </c>
      <c r="DK227" s="68">
        <v>0</v>
      </c>
      <c r="DL227" s="68">
        <v>0</v>
      </c>
      <c r="DM227" s="68">
        <v>0</v>
      </c>
      <c r="DN227" s="68">
        <v>0</v>
      </c>
      <c r="DO227" s="68">
        <v>0</v>
      </c>
      <c r="DP227" s="68">
        <f>SUM(DD227:DO227)</f>
        <v>203734360</v>
      </c>
      <c r="DQ227" s="68">
        <f>DP227-AB227</f>
        <v>0</v>
      </c>
      <c r="DR227" s="68">
        <f>$DD227</f>
        <v>0</v>
      </c>
      <c r="DS227" s="68">
        <f>DR227+DE227</f>
        <v>203734360</v>
      </c>
      <c r="DT227" s="68">
        <f>DS227+DF227</f>
        <v>203734360</v>
      </c>
      <c r="DU227" s="68">
        <f>DT227+DG227</f>
        <v>203734360</v>
      </c>
      <c r="DV227" s="68">
        <f>DU227+DH227</f>
        <v>203734360</v>
      </c>
      <c r="DW227" s="68">
        <f>DV227+DI227</f>
        <v>203734360</v>
      </c>
      <c r="DX227" s="68">
        <f>DW227+DJ227</f>
        <v>203734360</v>
      </c>
      <c r="DY227" s="68">
        <f>DX227+DK227</f>
        <v>203734360</v>
      </c>
      <c r="DZ227" s="68">
        <f>DY227+DL227</f>
        <v>203734360</v>
      </c>
      <c r="EA227" s="68">
        <f>DZ227+DM227</f>
        <v>203734360</v>
      </c>
      <c r="EB227" s="68">
        <f>EA227+DN227</f>
        <v>203734360</v>
      </c>
      <c r="EC227" s="68">
        <f>EB227+DO227</f>
        <v>203734360</v>
      </c>
      <c r="ED227" s="68">
        <f>$EC227-$AB227</f>
        <v>0</v>
      </c>
    </row>
    <row r="228" spans="1:134" ht="45">
      <c r="A228" s="74"/>
      <c r="B228" s="50">
        <v>82</v>
      </c>
      <c r="C228" s="50" t="s">
        <v>269</v>
      </c>
      <c r="D228" s="50" t="s">
        <v>297</v>
      </c>
      <c r="E228" s="50"/>
      <c r="F228" s="50" t="s">
        <v>272</v>
      </c>
      <c r="G228" s="50" t="s">
        <v>273</v>
      </c>
      <c r="H228" s="37" t="s">
        <v>151</v>
      </c>
      <c r="I228" s="37" t="s">
        <v>274</v>
      </c>
      <c r="J228" s="37" t="s">
        <v>275</v>
      </c>
      <c r="K228" s="50" t="s">
        <v>3</v>
      </c>
      <c r="L228" s="50" t="s">
        <v>14</v>
      </c>
      <c r="M228" s="50" t="s">
        <v>16</v>
      </c>
      <c r="N228" s="50" t="s">
        <v>276</v>
      </c>
      <c r="O228" s="37" t="s">
        <v>3</v>
      </c>
      <c r="P228" s="37" t="s">
        <v>14</v>
      </c>
      <c r="Q228" s="37" t="s">
        <v>16</v>
      </c>
      <c r="R228" s="37" t="s">
        <v>276</v>
      </c>
      <c r="S228" s="50" t="s">
        <v>1763</v>
      </c>
      <c r="T228" s="50" t="s">
        <v>1764</v>
      </c>
      <c r="U228" s="50" t="s">
        <v>1765</v>
      </c>
      <c r="V228" s="56" t="s">
        <v>1766</v>
      </c>
      <c r="W228" s="84" t="s">
        <v>1766</v>
      </c>
      <c r="X228" s="82" t="s">
        <v>1766</v>
      </c>
      <c r="Y228" s="60">
        <v>17094000000</v>
      </c>
      <c r="Z228" s="60">
        <v>333000000</v>
      </c>
      <c r="AA228" s="60"/>
      <c r="AB228" s="60">
        <f>Z228+AA228</f>
        <v>333000000</v>
      </c>
      <c r="AC228" s="61"/>
      <c r="AD228" s="61"/>
      <c r="AE228" s="109">
        <v>0</v>
      </c>
      <c r="AF228" s="109">
        <v>0</v>
      </c>
      <c r="AG228" s="108">
        <f>$AR228+$AZ228+$BQ228+$BT228+$BU228+$BV228</f>
        <v>0</v>
      </c>
      <c r="AH228" s="121">
        <f>AF228-AG228</f>
        <v>0</v>
      </c>
      <c r="AI228" s="39" t="s">
        <v>1767</v>
      </c>
      <c r="AJ228" s="198"/>
      <c r="AK228" s="198"/>
      <c r="AL228" s="42"/>
      <c r="AM228" s="68"/>
      <c r="AN228" s="68"/>
      <c r="AO228" s="68"/>
      <c r="AP228" s="68"/>
      <c r="AQ228" s="68">
        <v>0</v>
      </c>
      <c r="AR228" s="68">
        <v>0</v>
      </c>
      <c r="AS228" s="68" t="s">
        <v>307</v>
      </c>
      <c r="AT228" s="68"/>
      <c r="AU228" s="69" t="s">
        <v>277</v>
      </c>
      <c r="AV228" s="69" t="s">
        <v>277</v>
      </c>
      <c r="AW228" s="69" t="s">
        <v>277</v>
      </c>
      <c r="AX228" s="69"/>
      <c r="AY228" s="68">
        <v>0</v>
      </c>
      <c r="AZ228" s="68">
        <v>0</v>
      </c>
      <c r="BA228" s="68" t="s">
        <v>307</v>
      </c>
      <c r="BB228" s="68"/>
      <c r="BC228" s="69" t="s">
        <v>1768</v>
      </c>
      <c r="BD228" s="69" t="s">
        <v>277</v>
      </c>
      <c r="BE228" s="56" t="s">
        <v>277</v>
      </c>
      <c r="BF228" s="56" t="s">
        <v>277</v>
      </c>
      <c r="BG228" s="56" t="s">
        <v>277</v>
      </c>
      <c r="BH228" s="56" t="s">
        <v>277</v>
      </c>
      <c r="BI228" s="69">
        <v>0</v>
      </c>
      <c r="BJ228" s="69">
        <v>0</v>
      </c>
      <c r="BK228" s="69">
        <v>0</v>
      </c>
      <c r="BL228" s="69">
        <v>0</v>
      </c>
      <c r="BM228" s="69">
        <v>0</v>
      </c>
      <c r="BN228" s="69">
        <v>0</v>
      </c>
      <c r="BO228" s="69">
        <v>0</v>
      </c>
      <c r="BP228" s="69">
        <v>0</v>
      </c>
      <c r="BQ228" s="69"/>
      <c r="BR228" s="69" t="s">
        <v>382</v>
      </c>
      <c r="BS228" s="69" t="s">
        <v>798</v>
      </c>
      <c r="BT228" s="68">
        <v>0</v>
      </c>
      <c r="BU228" s="68">
        <v>0</v>
      </c>
      <c r="BV228" s="68">
        <v>0</v>
      </c>
      <c r="BW228" s="94">
        <v>0</v>
      </c>
      <c r="BX228" s="94">
        <v>0</v>
      </c>
      <c r="BY228" s="94">
        <v>0</v>
      </c>
      <c r="BZ228" s="94">
        <v>0</v>
      </c>
      <c r="CA228" s="94">
        <v>0</v>
      </c>
      <c r="CB228" s="109">
        <v>0</v>
      </c>
      <c r="CC228" s="109">
        <v>0</v>
      </c>
      <c r="CD228" s="109">
        <v>0</v>
      </c>
      <c r="CE228" s="109">
        <v>0</v>
      </c>
      <c r="CF228" s="108">
        <f>SUM(BT228:CE228)</f>
        <v>0</v>
      </c>
      <c r="CG228" s="108">
        <f>$CF228-$AF228</f>
        <v>0</v>
      </c>
      <c r="CH228" s="37" t="s">
        <v>289</v>
      </c>
      <c r="CI228" s="37" t="s">
        <v>291</v>
      </c>
      <c r="CJ228" s="37" t="s">
        <v>277</v>
      </c>
      <c r="CK228" s="37" t="s">
        <v>290</v>
      </c>
      <c r="CL228" s="37" t="s">
        <v>277</v>
      </c>
      <c r="CM228" s="37" t="s">
        <v>277</v>
      </c>
      <c r="CN228" s="37" t="s">
        <v>290</v>
      </c>
      <c r="CO228" s="37" t="s">
        <v>275</v>
      </c>
      <c r="CP228" s="41">
        <v>46023</v>
      </c>
      <c r="CQ228" s="41">
        <v>46387</v>
      </c>
      <c r="CR228" s="37" t="s">
        <v>293</v>
      </c>
      <c r="CS228" s="37" t="s">
        <v>322</v>
      </c>
      <c r="CT228" s="37" t="s">
        <v>295</v>
      </c>
      <c r="CU228" s="37" t="s">
        <v>341</v>
      </c>
      <c r="CV228" s="37" t="s">
        <v>382</v>
      </c>
      <c r="CW228" s="37">
        <v>4200003524</v>
      </c>
      <c r="CX228" s="37" t="s">
        <v>1766</v>
      </c>
      <c r="CY228" s="37">
        <v>17094000000</v>
      </c>
      <c r="CZ228" s="123">
        <v>45261</v>
      </c>
      <c r="DA228" s="123">
        <v>46357</v>
      </c>
      <c r="DB228" s="37" t="s">
        <v>277</v>
      </c>
      <c r="DC228" s="37" t="s">
        <v>1769</v>
      </c>
      <c r="DD228" s="68">
        <v>0</v>
      </c>
      <c r="DE228" s="68">
        <v>333000000</v>
      </c>
      <c r="DF228" s="68">
        <v>0</v>
      </c>
      <c r="DG228" s="68">
        <v>0</v>
      </c>
      <c r="DH228" s="68">
        <v>0</v>
      </c>
      <c r="DI228" s="68">
        <v>0</v>
      </c>
      <c r="DJ228" s="68">
        <v>0</v>
      </c>
      <c r="DK228" s="68">
        <v>0</v>
      </c>
      <c r="DL228" s="68">
        <v>0</v>
      </c>
      <c r="DM228" s="68">
        <v>0</v>
      </c>
      <c r="DN228" s="68">
        <v>0</v>
      </c>
      <c r="DO228" s="68">
        <v>0</v>
      </c>
      <c r="DP228" s="68">
        <f>SUM(DD228:DO228)</f>
        <v>333000000</v>
      </c>
      <c r="DQ228" s="68">
        <f>DP228-AB228</f>
        <v>0</v>
      </c>
      <c r="DR228" s="68">
        <f>$DD228</f>
        <v>0</v>
      </c>
      <c r="DS228" s="68">
        <f>DR228+DE228</f>
        <v>333000000</v>
      </c>
      <c r="DT228" s="68">
        <f>DS228+DF228</f>
        <v>333000000</v>
      </c>
      <c r="DU228" s="68">
        <f>DT228+DG228</f>
        <v>333000000</v>
      </c>
      <c r="DV228" s="68">
        <f>DU228+DH228</f>
        <v>333000000</v>
      </c>
      <c r="DW228" s="68">
        <f>DV228+DI228</f>
        <v>333000000</v>
      </c>
      <c r="DX228" s="68">
        <f>DW228+DJ228</f>
        <v>333000000</v>
      </c>
      <c r="DY228" s="68">
        <f>DX228+DK228</f>
        <v>333000000</v>
      </c>
      <c r="DZ228" s="68">
        <f>DY228+DL228</f>
        <v>333000000</v>
      </c>
      <c r="EA228" s="68">
        <f>DZ228+DM228</f>
        <v>333000000</v>
      </c>
      <c r="EB228" s="68">
        <f>EA228+DN228</f>
        <v>333000000</v>
      </c>
      <c r="EC228" s="68">
        <f>EB228+DO228</f>
        <v>333000000</v>
      </c>
      <c r="ED228" s="68">
        <f>$EC228-$AB228</f>
        <v>0</v>
      </c>
    </row>
    <row r="229" spans="1:134" ht="30">
      <c r="A229" s="74"/>
      <c r="B229" s="50">
        <v>91</v>
      </c>
      <c r="C229" s="50" t="s">
        <v>269</v>
      </c>
      <c r="D229" s="50" t="s">
        <v>297</v>
      </c>
      <c r="E229" s="50"/>
      <c r="F229" s="50" t="s">
        <v>272</v>
      </c>
      <c r="G229" s="50" t="s">
        <v>273</v>
      </c>
      <c r="H229" s="37" t="s">
        <v>151</v>
      </c>
      <c r="I229" s="37" t="s">
        <v>546</v>
      </c>
      <c r="J229" s="37" t="s">
        <v>767</v>
      </c>
      <c r="K229" s="50" t="s">
        <v>3</v>
      </c>
      <c r="L229" s="50" t="s">
        <v>14</v>
      </c>
      <c r="M229" s="50" t="s">
        <v>16</v>
      </c>
      <c r="N229" s="50" t="s">
        <v>276</v>
      </c>
      <c r="O229" s="37" t="s">
        <v>3</v>
      </c>
      <c r="P229" s="37" t="s">
        <v>14</v>
      </c>
      <c r="Q229" s="37" t="s">
        <v>16</v>
      </c>
      <c r="R229" s="37" t="s">
        <v>276</v>
      </c>
      <c r="S229" s="50" t="s">
        <v>1770</v>
      </c>
      <c r="T229" s="50" t="s">
        <v>1771</v>
      </c>
      <c r="U229" s="50" t="s">
        <v>1772</v>
      </c>
      <c r="V229" s="56" t="s">
        <v>1773</v>
      </c>
      <c r="W229" s="56" t="s">
        <v>1773</v>
      </c>
      <c r="X229" s="38" t="s">
        <v>1773</v>
      </c>
      <c r="Y229" s="60">
        <v>145465500</v>
      </c>
      <c r="Z229" s="60">
        <v>64879500</v>
      </c>
      <c r="AA229" s="60"/>
      <c r="AB229" s="60">
        <f>Z229+AA229</f>
        <v>64879500</v>
      </c>
      <c r="AC229" s="61"/>
      <c r="AD229" s="61"/>
      <c r="AE229" s="109">
        <v>0</v>
      </c>
      <c r="AF229" s="109">
        <v>0</v>
      </c>
      <c r="AG229" s="108">
        <f>$AR229+$AZ229+$BQ229+$BT229+$BU229+$BV229</f>
        <v>0</v>
      </c>
      <c r="AH229" s="121">
        <f>AF229-AG229</f>
        <v>0</v>
      </c>
      <c r="AI229" s="39" t="s">
        <v>1559</v>
      </c>
      <c r="AJ229" s="200"/>
      <c r="AK229" s="200"/>
      <c r="AL229" s="39"/>
      <c r="AM229" s="68"/>
      <c r="AN229" s="68"/>
      <c r="AO229" s="68"/>
      <c r="AP229" s="68"/>
      <c r="AQ229" s="68">
        <v>0</v>
      </c>
      <c r="AR229" s="68">
        <v>0</v>
      </c>
      <c r="AS229" s="68" t="s">
        <v>307</v>
      </c>
      <c r="AT229" s="68"/>
      <c r="AU229" s="69" t="s">
        <v>277</v>
      </c>
      <c r="AV229" s="69" t="s">
        <v>277</v>
      </c>
      <c r="AW229" s="69" t="s">
        <v>277</v>
      </c>
      <c r="AX229" s="69"/>
      <c r="AY229" s="68">
        <v>0</v>
      </c>
      <c r="AZ229" s="68">
        <v>0</v>
      </c>
      <c r="BA229" s="68" t="s">
        <v>307</v>
      </c>
      <c r="BB229" s="68"/>
      <c r="BC229" s="69" t="s">
        <v>277</v>
      </c>
      <c r="BD229" s="69" t="s">
        <v>277</v>
      </c>
      <c r="BE229" s="56" t="s">
        <v>277</v>
      </c>
      <c r="BF229" s="56" t="s">
        <v>277</v>
      </c>
      <c r="BG229" s="56" t="s">
        <v>277</v>
      </c>
      <c r="BH229" s="56" t="s">
        <v>277</v>
      </c>
      <c r="BI229" s="69">
        <v>0</v>
      </c>
      <c r="BJ229" s="69">
        <v>0</v>
      </c>
      <c r="BK229" s="69">
        <v>0</v>
      </c>
      <c r="BL229" s="69">
        <v>0</v>
      </c>
      <c r="BM229" s="69">
        <v>0</v>
      </c>
      <c r="BN229" s="69">
        <v>0</v>
      </c>
      <c r="BO229" s="69">
        <v>0</v>
      </c>
      <c r="BP229" s="69">
        <v>0</v>
      </c>
      <c r="BQ229" s="69"/>
      <c r="BR229" s="69" t="s">
        <v>1065</v>
      </c>
      <c r="BS229" s="69" t="s">
        <v>798</v>
      </c>
      <c r="BT229" s="68">
        <v>0</v>
      </c>
      <c r="BU229" s="68">
        <v>0</v>
      </c>
      <c r="BV229" s="68">
        <v>0</v>
      </c>
      <c r="BW229" s="94">
        <v>0</v>
      </c>
      <c r="BX229" s="94">
        <v>0</v>
      </c>
      <c r="BY229" s="94">
        <v>0</v>
      </c>
      <c r="BZ229" s="94">
        <v>0</v>
      </c>
      <c r="CA229" s="94">
        <v>0</v>
      </c>
      <c r="CB229" s="94">
        <v>0</v>
      </c>
      <c r="CC229" s="94">
        <v>0</v>
      </c>
      <c r="CD229" s="94">
        <v>0</v>
      </c>
      <c r="CE229" s="94">
        <v>0</v>
      </c>
      <c r="CF229" s="108">
        <f>SUM(BT229:CE229)</f>
        <v>0</v>
      </c>
      <c r="CG229" s="108">
        <f>$CF229-$AF229</f>
        <v>0</v>
      </c>
      <c r="CH229" s="37" t="s">
        <v>289</v>
      </c>
      <c r="CI229" s="37" t="s">
        <v>290</v>
      </c>
      <c r="CJ229" s="37" t="s">
        <v>277</v>
      </c>
      <c r="CK229" s="37" t="s">
        <v>290</v>
      </c>
      <c r="CL229" s="37" t="s">
        <v>277</v>
      </c>
      <c r="CM229" s="37" t="s">
        <v>277</v>
      </c>
      <c r="CN229" s="37" t="s">
        <v>290</v>
      </c>
      <c r="CO229" s="37" t="s">
        <v>767</v>
      </c>
      <c r="CP229" s="41">
        <v>46023</v>
      </c>
      <c r="CQ229" s="41">
        <v>46387</v>
      </c>
      <c r="CR229" s="37" t="s">
        <v>293</v>
      </c>
      <c r="CS229" s="37" t="s">
        <v>454</v>
      </c>
      <c r="CT229" s="37" t="s">
        <v>295</v>
      </c>
      <c r="CU229" s="37" t="s">
        <v>296</v>
      </c>
      <c r="CV229" s="37" t="s">
        <v>323</v>
      </c>
      <c r="CW229" s="37" t="s">
        <v>277</v>
      </c>
      <c r="CX229" s="37" t="s">
        <v>277</v>
      </c>
      <c r="CY229" s="37">
        <v>0</v>
      </c>
      <c r="CZ229" s="123" t="s">
        <v>277</v>
      </c>
      <c r="DA229" s="123" t="s">
        <v>277</v>
      </c>
      <c r="DB229" s="37" t="s">
        <v>277</v>
      </c>
      <c r="DC229" s="37" t="s">
        <v>455</v>
      </c>
      <c r="DD229" s="68">
        <v>0</v>
      </c>
      <c r="DE229" s="68">
        <v>0</v>
      </c>
      <c r="DF229" s="68">
        <v>0</v>
      </c>
      <c r="DG229" s="68">
        <v>0</v>
      </c>
      <c r="DH229" s="68">
        <v>0</v>
      </c>
      <c r="DI229" s="68">
        <v>0</v>
      </c>
      <c r="DJ229" s="68">
        <v>0</v>
      </c>
      <c r="DK229" s="68">
        <v>0</v>
      </c>
      <c r="DL229" s="68">
        <v>0</v>
      </c>
      <c r="DM229" s="68">
        <v>0</v>
      </c>
      <c r="DN229" s="68">
        <v>0</v>
      </c>
      <c r="DO229" s="68">
        <v>64879500</v>
      </c>
      <c r="DP229" s="68">
        <f>SUM(DD229:DO229)</f>
        <v>64879500</v>
      </c>
      <c r="DQ229" s="68">
        <f>DP229-AB229</f>
        <v>0</v>
      </c>
      <c r="DR229" s="68">
        <f>$DD229</f>
        <v>0</v>
      </c>
      <c r="DS229" s="68">
        <f>DR229+DE229</f>
        <v>0</v>
      </c>
      <c r="DT229" s="68">
        <f>DS229+DF229</f>
        <v>0</v>
      </c>
      <c r="DU229" s="68">
        <f>DT229+DG229</f>
        <v>0</v>
      </c>
      <c r="DV229" s="68">
        <f>DU229+DH229</f>
        <v>0</v>
      </c>
      <c r="DW229" s="68">
        <f>DV229+DI229</f>
        <v>0</v>
      </c>
      <c r="DX229" s="68">
        <f>DW229+DJ229</f>
        <v>0</v>
      </c>
      <c r="DY229" s="68">
        <f>DX229+DK229</f>
        <v>0</v>
      </c>
      <c r="DZ229" s="68">
        <f>DY229+DL229</f>
        <v>0</v>
      </c>
      <c r="EA229" s="68">
        <f>DZ229+DM229</f>
        <v>0</v>
      </c>
      <c r="EB229" s="68">
        <f>EA229+DN229</f>
        <v>0</v>
      </c>
      <c r="EC229" s="68">
        <f>EB229+DO229</f>
        <v>64879500</v>
      </c>
      <c r="ED229" s="68">
        <f>$EC229-$AB229</f>
        <v>0</v>
      </c>
    </row>
    <row r="230" spans="1:134" ht="30">
      <c r="A230" s="74"/>
      <c r="B230" s="50">
        <v>112</v>
      </c>
      <c r="C230" s="50" t="s">
        <v>269</v>
      </c>
      <c r="D230" s="50" t="s">
        <v>297</v>
      </c>
      <c r="E230" s="50"/>
      <c r="F230" s="50" t="s">
        <v>272</v>
      </c>
      <c r="G230" s="50" t="s">
        <v>273</v>
      </c>
      <c r="H230" s="37" t="s">
        <v>151</v>
      </c>
      <c r="I230" s="37" t="s">
        <v>1158</v>
      </c>
      <c r="J230" s="92" t="s">
        <v>1159</v>
      </c>
      <c r="K230" s="50" t="s">
        <v>3</v>
      </c>
      <c r="L230" s="50" t="s">
        <v>14</v>
      </c>
      <c r="M230" s="50" t="s">
        <v>16</v>
      </c>
      <c r="N230" s="50" t="s">
        <v>276</v>
      </c>
      <c r="O230" s="37" t="s">
        <v>3</v>
      </c>
      <c r="P230" s="37" t="s">
        <v>14</v>
      </c>
      <c r="Q230" s="37" t="s">
        <v>16</v>
      </c>
      <c r="R230" s="37" t="s">
        <v>276</v>
      </c>
      <c r="S230" s="50" t="s">
        <v>1774</v>
      </c>
      <c r="T230" s="50" t="s">
        <v>1775</v>
      </c>
      <c r="U230" s="50" t="s">
        <v>1776</v>
      </c>
      <c r="V230" s="84" t="s">
        <v>1777</v>
      </c>
      <c r="W230" s="84" t="s">
        <v>1777</v>
      </c>
      <c r="X230" s="82" t="s">
        <v>1777</v>
      </c>
      <c r="Y230" s="60">
        <v>500000000</v>
      </c>
      <c r="Z230" s="60">
        <v>500000000</v>
      </c>
      <c r="AA230" s="60">
        <v>-500000000</v>
      </c>
      <c r="AB230" s="60">
        <f>Z230+AA230</f>
        <v>0</v>
      </c>
      <c r="AC230" s="61" t="s">
        <v>414</v>
      </c>
      <c r="AD230" s="61" t="s">
        <v>1778</v>
      </c>
      <c r="AE230" s="112">
        <v>0</v>
      </c>
      <c r="AF230" s="112">
        <v>0</v>
      </c>
      <c r="AG230" s="110">
        <f>$AR230+$AZ230+$BQ230+$BT230+$BU230+$BV230</f>
        <v>0</v>
      </c>
      <c r="AH230" s="121">
        <f>AF230-AG230</f>
        <v>0</v>
      </c>
      <c r="AI230" s="104" t="s">
        <v>643</v>
      </c>
      <c r="AJ230" s="213"/>
      <c r="AK230" s="213"/>
      <c r="AL230" s="104"/>
      <c r="AM230" s="68"/>
      <c r="AN230" s="68"/>
      <c r="AO230" s="68"/>
      <c r="AP230" s="68"/>
      <c r="AQ230" s="68">
        <v>0</v>
      </c>
      <c r="AR230" s="68">
        <v>0</v>
      </c>
      <c r="AS230" s="68" t="s">
        <v>307</v>
      </c>
      <c r="AT230" s="68"/>
      <c r="AU230" s="69" t="s">
        <v>277</v>
      </c>
      <c r="AV230" s="69" t="s">
        <v>277</v>
      </c>
      <c r="AW230" s="69" t="s">
        <v>277</v>
      </c>
      <c r="AX230" s="69"/>
      <c r="AY230" s="68">
        <v>0</v>
      </c>
      <c r="AZ230" s="68">
        <v>0</v>
      </c>
      <c r="BA230" s="68" t="s">
        <v>307</v>
      </c>
      <c r="BB230" s="68"/>
      <c r="BC230" s="69" t="s">
        <v>277</v>
      </c>
      <c r="BD230" s="69" t="s">
        <v>277</v>
      </c>
      <c r="BE230" s="56" t="s">
        <v>277</v>
      </c>
      <c r="BF230" s="56" t="s">
        <v>277</v>
      </c>
      <c r="BG230" s="56" t="s">
        <v>277</v>
      </c>
      <c r="BH230" s="56" t="s">
        <v>277</v>
      </c>
      <c r="BI230" s="69">
        <v>0</v>
      </c>
      <c r="BJ230" s="69">
        <v>0</v>
      </c>
      <c r="BK230" s="69">
        <v>0</v>
      </c>
      <c r="BL230" s="69">
        <v>0</v>
      </c>
      <c r="BM230" s="69">
        <v>0</v>
      </c>
      <c r="BN230" s="69">
        <v>0</v>
      </c>
      <c r="BO230" s="69">
        <v>0</v>
      </c>
      <c r="BP230" s="69">
        <v>0</v>
      </c>
      <c r="BQ230" s="69"/>
      <c r="BR230" s="69" t="s">
        <v>643</v>
      </c>
      <c r="BS230" s="69" t="s">
        <v>798</v>
      </c>
      <c r="BT230" s="68">
        <v>0</v>
      </c>
      <c r="BU230" s="68">
        <v>0</v>
      </c>
      <c r="BV230" s="68">
        <v>0</v>
      </c>
      <c r="BW230" s="94">
        <v>0</v>
      </c>
      <c r="BX230" s="94">
        <v>0</v>
      </c>
      <c r="BY230" s="94">
        <v>0</v>
      </c>
      <c r="BZ230" s="94">
        <v>0</v>
      </c>
      <c r="CA230" s="94">
        <v>0</v>
      </c>
      <c r="CB230" s="94">
        <v>0</v>
      </c>
      <c r="CC230" s="94">
        <v>0</v>
      </c>
      <c r="CD230" s="94">
        <v>0</v>
      </c>
      <c r="CE230" s="94">
        <v>0</v>
      </c>
      <c r="CF230" s="108">
        <f>SUM(BT230:CE230)</f>
        <v>0</v>
      </c>
      <c r="CG230" s="108">
        <f>$CF230-$AF230</f>
        <v>0</v>
      </c>
      <c r="CH230" s="37" t="s">
        <v>289</v>
      </c>
      <c r="CI230" s="37" t="s">
        <v>290</v>
      </c>
      <c r="CJ230" s="37" t="s">
        <v>277</v>
      </c>
      <c r="CK230" s="37" t="s">
        <v>290</v>
      </c>
      <c r="CL230" s="37" t="s">
        <v>277</v>
      </c>
      <c r="CM230" s="37" t="s">
        <v>277</v>
      </c>
      <c r="CN230" s="37" t="s">
        <v>290</v>
      </c>
      <c r="CO230" s="37" t="s">
        <v>1505</v>
      </c>
      <c r="CP230" s="41">
        <v>46023</v>
      </c>
      <c r="CQ230" s="41">
        <v>46387</v>
      </c>
      <c r="CR230" s="37" t="s">
        <v>293</v>
      </c>
      <c r="CS230" s="37" t="s">
        <v>322</v>
      </c>
      <c r="CT230" s="37" t="s">
        <v>295</v>
      </c>
      <c r="CU230" s="37" t="s">
        <v>296</v>
      </c>
      <c r="CV230" s="37" t="s">
        <v>323</v>
      </c>
      <c r="CW230" s="37" t="s">
        <v>277</v>
      </c>
      <c r="CX230" s="37" t="s">
        <v>277</v>
      </c>
      <c r="CY230" s="37">
        <v>0</v>
      </c>
      <c r="CZ230" s="123" t="s">
        <v>277</v>
      </c>
      <c r="DA230" s="123" t="s">
        <v>277</v>
      </c>
      <c r="DB230" s="37" t="s">
        <v>277</v>
      </c>
      <c r="DC230" s="37" t="s">
        <v>455</v>
      </c>
      <c r="DD230" s="68">
        <v>0</v>
      </c>
      <c r="DE230" s="68">
        <v>0</v>
      </c>
      <c r="DF230" s="68">
        <v>0</v>
      </c>
      <c r="DG230" s="68">
        <v>0</v>
      </c>
      <c r="DH230" s="68">
        <v>0</v>
      </c>
      <c r="DI230" s="68">
        <v>0</v>
      </c>
      <c r="DJ230" s="68">
        <v>0</v>
      </c>
      <c r="DK230" s="68">
        <v>0</v>
      </c>
      <c r="DL230" s="68">
        <v>0</v>
      </c>
      <c r="DM230" s="68">
        <v>0</v>
      </c>
      <c r="DN230" s="68">
        <v>0</v>
      </c>
      <c r="DO230" s="68">
        <f>500000000-500000000</f>
        <v>0</v>
      </c>
      <c r="DP230" s="68">
        <f>SUM(DD230:DO230)</f>
        <v>0</v>
      </c>
      <c r="DQ230" s="68">
        <f>DP230-AB230</f>
        <v>0</v>
      </c>
      <c r="DR230" s="68">
        <f>$DD230</f>
        <v>0</v>
      </c>
      <c r="DS230" s="68">
        <f>DR230+DE230</f>
        <v>0</v>
      </c>
      <c r="DT230" s="68">
        <f>DS230+DF230</f>
        <v>0</v>
      </c>
      <c r="DU230" s="68">
        <f>DT230+DG230</f>
        <v>0</v>
      </c>
      <c r="DV230" s="68">
        <f>DU230+DH230</f>
        <v>0</v>
      </c>
      <c r="DW230" s="68">
        <f>DV230+DI230</f>
        <v>0</v>
      </c>
      <c r="DX230" s="68">
        <f>DW230+DJ230</f>
        <v>0</v>
      </c>
      <c r="DY230" s="68">
        <f>DX230+DK230</f>
        <v>0</v>
      </c>
      <c r="DZ230" s="68">
        <f>DY230+DL230</f>
        <v>0</v>
      </c>
      <c r="EA230" s="68">
        <f>DZ230+DM230</f>
        <v>0</v>
      </c>
      <c r="EB230" s="68">
        <f>EA230+DN230</f>
        <v>0</v>
      </c>
      <c r="EC230" s="68">
        <f>EB230+DO230</f>
        <v>0</v>
      </c>
      <c r="ED230" s="68">
        <f>$EC230-$AB230</f>
        <v>0</v>
      </c>
    </row>
    <row r="231" spans="1:134" ht="30">
      <c r="A231" s="74"/>
      <c r="B231" s="50">
        <v>126</v>
      </c>
      <c r="C231" s="50" t="s">
        <v>269</v>
      </c>
      <c r="D231" s="50" t="s">
        <v>297</v>
      </c>
      <c r="E231" s="50"/>
      <c r="F231" s="50" t="s">
        <v>272</v>
      </c>
      <c r="G231" s="50" t="s">
        <v>273</v>
      </c>
      <c r="H231" s="37" t="s">
        <v>151</v>
      </c>
      <c r="I231" s="37" t="s">
        <v>750</v>
      </c>
      <c r="J231" s="37" t="s">
        <v>751</v>
      </c>
      <c r="K231" s="50" t="s">
        <v>3</v>
      </c>
      <c r="L231" s="50" t="s">
        <v>14</v>
      </c>
      <c r="M231" s="50" t="s">
        <v>16</v>
      </c>
      <c r="N231" s="50" t="s">
        <v>276</v>
      </c>
      <c r="O231" s="37" t="s">
        <v>3</v>
      </c>
      <c r="P231" s="37" t="s">
        <v>14</v>
      </c>
      <c r="Q231" s="37" t="s">
        <v>16</v>
      </c>
      <c r="R231" s="37" t="s">
        <v>276</v>
      </c>
      <c r="S231" s="50" t="s">
        <v>1779</v>
      </c>
      <c r="T231" s="50" t="s">
        <v>1780</v>
      </c>
      <c r="U231" s="50" t="s">
        <v>1781</v>
      </c>
      <c r="V231" s="56" t="s">
        <v>1782</v>
      </c>
      <c r="W231" s="84" t="s">
        <v>1783</v>
      </c>
      <c r="X231" s="82" t="s">
        <v>1783</v>
      </c>
      <c r="Y231" s="60">
        <v>6430635250</v>
      </c>
      <c r="Z231" s="60">
        <v>439790000</v>
      </c>
      <c r="AA231" s="60"/>
      <c r="AB231" s="60">
        <f>Z231+AA231</f>
        <v>439790000</v>
      </c>
      <c r="AC231" s="61"/>
      <c r="AD231" s="61"/>
      <c r="AE231" s="109">
        <v>0</v>
      </c>
      <c r="AF231" s="109">
        <v>0</v>
      </c>
      <c r="AG231" s="108">
        <f>$AR231+$AZ231+$BQ231+$BT231+$BU231+$BV231</f>
        <v>0</v>
      </c>
      <c r="AH231" s="121">
        <f>AF231-AG231</f>
        <v>0</v>
      </c>
      <c r="AI231" s="39" t="s">
        <v>1784</v>
      </c>
      <c r="AJ231" s="198"/>
      <c r="AK231" s="198"/>
      <c r="AL231" s="42"/>
      <c r="AM231" s="68"/>
      <c r="AN231" s="68"/>
      <c r="AO231" s="68"/>
      <c r="AP231" s="68"/>
      <c r="AQ231" s="68">
        <v>0</v>
      </c>
      <c r="AR231" s="68">
        <v>0</v>
      </c>
      <c r="AS231" s="68" t="s">
        <v>307</v>
      </c>
      <c r="AT231" s="68"/>
      <c r="AU231" s="69" t="s">
        <v>277</v>
      </c>
      <c r="AV231" s="69" t="s">
        <v>277</v>
      </c>
      <c r="AW231" s="69" t="s">
        <v>277</v>
      </c>
      <c r="AX231" s="69"/>
      <c r="AY231" s="68">
        <v>0</v>
      </c>
      <c r="AZ231" s="68">
        <v>0</v>
      </c>
      <c r="BA231" s="68" t="s">
        <v>307</v>
      </c>
      <c r="BB231" s="68"/>
      <c r="BC231" s="69" t="s">
        <v>1785</v>
      </c>
      <c r="BD231" s="69" t="s">
        <v>277</v>
      </c>
      <c r="BE231" s="56" t="s">
        <v>277</v>
      </c>
      <c r="BF231" s="56" t="s">
        <v>277</v>
      </c>
      <c r="BG231" s="56" t="s">
        <v>277</v>
      </c>
      <c r="BH231" s="56" t="s">
        <v>277</v>
      </c>
      <c r="BI231" s="69">
        <v>0</v>
      </c>
      <c r="BJ231" s="69">
        <v>0</v>
      </c>
      <c r="BK231" s="69">
        <v>0</v>
      </c>
      <c r="BL231" s="69">
        <v>0</v>
      </c>
      <c r="BM231" s="69">
        <v>0</v>
      </c>
      <c r="BN231" s="69">
        <v>0</v>
      </c>
      <c r="BO231" s="69">
        <v>0</v>
      </c>
      <c r="BP231" s="69">
        <v>0</v>
      </c>
      <c r="BQ231" s="69"/>
      <c r="BR231" s="69" t="s">
        <v>382</v>
      </c>
      <c r="BS231" s="69" t="s">
        <v>798</v>
      </c>
      <c r="BT231" s="68">
        <v>0</v>
      </c>
      <c r="BU231" s="68">
        <v>0</v>
      </c>
      <c r="BV231" s="68"/>
      <c r="BW231" s="94">
        <v>0</v>
      </c>
      <c r="BX231" s="94">
        <v>0</v>
      </c>
      <c r="BY231" s="94">
        <v>0</v>
      </c>
      <c r="BZ231" s="94">
        <v>0</v>
      </c>
      <c r="CA231" s="94">
        <v>0</v>
      </c>
      <c r="CB231" s="109">
        <v>0</v>
      </c>
      <c r="CC231" s="109">
        <v>0</v>
      </c>
      <c r="CD231" s="109">
        <v>0</v>
      </c>
      <c r="CE231" s="109">
        <v>0</v>
      </c>
      <c r="CF231" s="108">
        <f>SUM(BT231:CE231)</f>
        <v>0</v>
      </c>
      <c r="CG231" s="108">
        <f>$CF231-$AF231</f>
        <v>0</v>
      </c>
      <c r="CH231" s="37" t="s">
        <v>289</v>
      </c>
      <c r="CI231" s="37" t="s">
        <v>290</v>
      </c>
      <c r="CJ231" s="37" t="s">
        <v>277</v>
      </c>
      <c r="CK231" s="37" t="s">
        <v>290</v>
      </c>
      <c r="CL231" s="37" t="s">
        <v>277</v>
      </c>
      <c r="CM231" s="37" t="s">
        <v>277</v>
      </c>
      <c r="CN231" s="37" t="s">
        <v>290</v>
      </c>
      <c r="CO231" s="37" t="s">
        <v>1175</v>
      </c>
      <c r="CP231" s="41">
        <v>46023</v>
      </c>
      <c r="CQ231" s="41">
        <v>46387</v>
      </c>
      <c r="CR231" s="37" t="s">
        <v>293</v>
      </c>
      <c r="CS231" s="37" t="s">
        <v>322</v>
      </c>
      <c r="CT231" s="37" t="s">
        <v>295</v>
      </c>
      <c r="CU231" s="37" t="s">
        <v>341</v>
      </c>
      <c r="CV231" s="37" t="s">
        <v>382</v>
      </c>
      <c r="CW231" s="37" t="s">
        <v>1786</v>
      </c>
      <c r="CX231" s="37" t="s">
        <v>1787</v>
      </c>
      <c r="CY231" s="37">
        <v>6430635250</v>
      </c>
      <c r="CZ231" s="123">
        <v>45597</v>
      </c>
      <c r="DA231" s="123">
        <v>46327</v>
      </c>
      <c r="DB231" s="37" t="s">
        <v>277</v>
      </c>
      <c r="DC231" s="37" t="s">
        <v>1788</v>
      </c>
      <c r="DD231" s="68">
        <v>0</v>
      </c>
      <c r="DE231" s="68">
        <v>439790000</v>
      </c>
      <c r="DF231" s="68">
        <v>0</v>
      </c>
      <c r="DG231" s="68">
        <v>0</v>
      </c>
      <c r="DH231" s="68">
        <v>0</v>
      </c>
      <c r="DI231" s="68">
        <v>0</v>
      </c>
      <c r="DJ231" s="68">
        <v>0</v>
      </c>
      <c r="DK231" s="68">
        <v>0</v>
      </c>
      <c r="DL231" s="68">
        <v>0</v>
      </c>
      <c r="DM231" s="68">
        <v>0</v>
      </c>
      <c r="DN231" s="68">
        <v>0</v>
      </c>
      <c r="DO231" s="68">
        <v>0</v>
      </c>
      <c r="DP231" s="68">
        <f>SUM(DD231:DO231)</f>
        <v>439790000</v>
      </c>
      <c r="DQ231" s="68">
        <f>DP231-AB231</f>
        <v>0</v>
      </c>
      <c r="DR231" s="68">
        <f>$DD231</f>
        <v>0</v>
      </c>
      <c r="DS231" s="68">
        <f>DR231+DE231</f>
        <v>439790000</v>
      </c>
      <c r="DT231" s="68">
        <f>DS231+DF231</f>
        <v>439790000</v>
      </c>
      <c r="DU231" s="68">
        <f>DT231+DG231</f>
        <v>439790000</v>
      </c>
      <c r="DV231" s="68">
        <f>DU231+DH231</f>
        <v>439790000</v>
      </c>
      <c r="DW231" s="68">
        <f>DV231+DI231</f>
        <v>439790000</v>
      </c>
      <c r="DX231" s="68">
        <f>DW231+DJ231</f>
        <v>439790000</v>
      </c>
      <c r="DY231" s="68">
        <f>DX231+DK231</f>
        <v>439790000</v>
      </c>
      <c r="DZ231" s="68">
        <f>DY231+DL231</f>
        <v>439790000</v>
      </c>
      <c r="EA231" s="68">
        <f>DZ231+DM231</f>
        <v>439790000</v>
      </c>
      <c r="EB231" s="68">
        <f>EA231+DN231</f>
        <v>439790000</v>
      </c>
      <c r="EC231" s="68">
        <f>EB231+DO231</f>
        <v>439790000</v>
      </c>
      <c r="ED231" s="68">
        <f>$EC231-$AB231</f>
        <v>0</v>
      </c>
    </row>
    <row r="232" spans="1:134" ht="30">
      <c r="A232" s="74"/>
      <c r="B232" s="50">
        <v>158</v>
      </c>
      <c r="C232" s="50" t="s">
        <v>269</v>
      </c>
      <c r="D232" s="50" t="s">
        <v>270</v>
      </c>
      <c r="E232" s="50" t="s">
        <v>1789</v>
      </c>
      <c r="F232" s="50" t="s">
        <v>272</v>
      </c>
      <c r="G232" s="50" t="s">
        <v>273</v>
      </c>
      <c r="H232" s="37" t="s">
        <v>151</v>
      </c>
      <c r="I232" s="37" t="s">
        <v>326</v>
      </c>
      <c r="J232" s="37" t="s">
        <v>1529</v>
      </c>
      <c r="K232" s="50" t="s">
        <v>3</v>
      </c>
      <c r="L232" s="50" t="s">
        <v>14</v>
      </c>
      <c r="M232" s="50" t="s">
        <v>16</v>
      </c>
      <c r="N232" s="50" t="s">
        <v>276</v>
      </c>
      <c r="O232" s="37" t="s">
        <v>3</v>
      </c>
      <c r="P232" s="37" t="s">
        <v>14</v>
      </c>
      <c r="Q232" s="37" t="s">
        <v>16</v>
      </c>
      <c r="R232" s="37" t="s">
        <v>276</v>
      </c>
      <c r="S232" s="50" t="s">
        <v>277</v>
      </c>
      <c r="T232" s="50">
        <v>144</v>
      </c>
      <c r="U232" s="50" t="s">
        <v>1790</v>
      </c>
      <c r="V232" s="56" t="s">
        <v>277</v>
      </c>
      <c r="W232" s="84" t="s">
        <v>1791</v>
      </c>
      <c r="X232" s="100" t="s">
        <v>1791</v>
      </c>
      <c r="Y232" s="60"/>
      <c r="Z232" s="60"/>
      <c r="AA232" s="60"/>
      <c r="AB232" s="60"/>
      <c r="AC232" s="183"/>
      <c r="AD232" s="61"/>
      <c r="AE232" s="112">
        <v>0</v>
      </c>
      <c r="AF232" s="112">
        <v>0</v>
      </c>
      <c r="AG232" s="110">
        <f>$AR232+$AZ232+$BQ232+$BT232+$BU232+$BV232</f>
        <v>0</v>
      </c>
      <c r="AH232" s="121">
        <f>AF232-AG232</f>
        <v>0</v>
      </c>
      <c r="AI232" s="39" t="s">
        <v>1684</v>
      </c>
      <c r="AJ232" s="198"/>
      <c r="AK232" s="198"/>
      <c r="AL232" s="42"/>
      <c r="AM232" s="68"/>
      <c r="AN232" s="68"/>
      <c r="AO232" s="68"/>
      <c r="AP232" s="68"/>
      <c r="AQ232" s="68">
        <v>0</v>
      </c>
      <c r="AR232" s="68">
        <v>0</v>
      </c>
      <c r="AS232" s="68" t="s">
        <v>307</v>
      </c>
      <c r="AT232" s="68"/>
      <c r="AU232" s="69"/>
      <c r="AV232" s="69"/>
      <c r="AW232" s="69"/>
      <c r="AX232" s="69"/>
      <c r="AY232" s="68">
        <v>0</v>
      </c>
      <c r="AZ232" s="68">
        <v>0</v>
      </c>
      <c r="BA232" s="68" t="s">
        <v>307</v>
      </c>
      <c r="BB232" s="68"/>
      <c r="BC232" s="69"/>
      <c r="BD232" s="69"/>
      <c r="BE232" s="56" t="s">
        <v>277</v>
      </c>
      <c r="BF232" s="56" t="s">
        <v>277</v>
      </c>
      <c r="BG232" s="56" t="s">
        <v>277</v>
      </c>
      <c r="BH232" s="56" t="s">
        <v>277</v>
      </c>
      <c r="BI232" s="69">
        <v>0</v>
      </c>
      <c r="BJ232" s="69">
        <v>0</v>
      </c>
      <c r="BK232" s="69">
        <v>0</v>
      </c>
      <c r="BL232" s="69">
        <v>0</v>
      </c>
      <c r="BM232" s="69">
        <v>0</v>
      </c>
      <c r="BN232" s="69">
        <v>0</v>
      </c>
      <c r="BO232" s="69">
        <v>0</v>
      </c>
      <c r="BP232" s="69">
        <v>0</v>
      </c>
      <c r="BQ232" s="69"/>
      <c r="BR232" s="69" t="s">
        <v>156</v>
      </c>
      <c r="BS232" s="69" t="s">
        <v>1792</v>
      </c>
      <c r="BT232" s="68">
        <v>0</v>
      </c>
      <c r="BU232" s="68">
        <v>0</v>
      </c>
      <c r="BV232" s="68">
        <v>0</v>
      </c>
      <c r="BW232" s="94">
        <v>0</v>
      </c>
      <c r="BX232" s="94">
        <v>0</v>
      </c>
      <c r="BY232" s="94">
        <v>0</v>
      </c>
      <c r="BZ232" s="94">
        <v>0</v>
      </c>
      <c r="CA232" s="94">
        <v>0</v>
      </c>
      <c r="CB232" s="111">
        <v>0</v>
      </c>
      <c r="CC232" s="111">
        <v>0</v>
      </c>
      <c r="CD232" s="111">
        <v>0</v>
      </c>
      <c r="CE232" s="111">
        <v>0</v>
      </c>
      <c r="CF232" s="108">
        <f>SUM(BT232:CE232)</f>
        <v>0</v>
      </c>
      <c r="CG232" s="108">
        <f>$CF232-$AF232</f>
        <v>0</v>
      </c>
      <c r="CH232" s="37" t="s">
        <v>289</v>
      </c>
      <c r="CI232" s="37" t="s">
        <v>290</v>
      </c>
      <c r="CJ232" s="37" t="s">
        <v>277</v>
      </c>
      <c r="CK232" s="37" t="s">
        <v>290</v>
      </c>
      <c r="CL232" s="37" t="s">
        <v>277</v>
      </c>
      <c r="CM232" s="37" t="s">
        <v>277</v>
      </c>
      <c r="CN232" s="37" t="s">
        <v>290</v>
      </c>
      <c r="CO232" s="37" t="s">
        <v>277</v>
      </c>
      <c r="CP232" s="91" t="s">
        <v>277</v>
      </c>
      <c r="CQ232" s="91" t="s">
        <v>277</v>
      </c>
      <c r="CR232" s="87" t="s">
        <v>293</v>
      </c>
      <c r="CS232" s="37" t="s">
        <v>322</v>
      </c>
      <c r="CT232" s="37" t="s">
        <v>851</v>
      </c>
      <c r="CU232" s="89" t="s">
        <v>296</v>
      </c>
      <c r="CV232" s="37" t="s">
        <v>643</v>
      </c>
      <c r="CW232" s="37" t="s">
        <v>277</v>
      </c>
      <c r="CX232" s="37" t="s">
        <v>277</v>
      </c>
      <c r="CY232" s="37" t="s">
        <v>277</v>
      </c>
      <c r="CZ232" s="87" t="s">
        <v>277</v>
      </c>
      <c r="DA232" s="87" t="s">
        <v>277</v>
      </c>
      <c r="DB232" s="37" t="s">
        <v>277</v>
      </c>
      <c r="DC232" s="37" t="s">
        <v>277</v>
      </c>
      <c r="DD232" s="68"/>
      <c r="DE232" s="68"/>
      <c r="DF232" s="68"/>
      <c r="DG232" s="68"/>
      <c r="DH232" s="68"/>
      <c r="DI232" s="68"/>
      <c r="DJ232" s="68"/>
      <c r="DK232" s="68"/>
      <c r="DL232" s="68"/>
      <c r="DM232" s="68"/>
      <c r="DN232" s="68"/>
      <c r="DO232" s="68"/>
      <c r="DP232" s="68">
        <f>SUM(DD232:DO232)</f>
        <v>0</v>
      </c>
      <c r="DQ232" s="68">
        <f>DP232-AB232</f>
        <v>0</v>
      </c>
      <c r="DR232" s="68">
        <f>$DD232</f>
        <v>0</v>
      </c>
      <c r="DS232" s="68">
        <f>DR232+DE232</f>
        <v>0</v>
      </c>
      <c r="DT232" s="68">
        <f>DS232+DF232</f>
        <v>0</v>
      </c>
      <c r="DU232" s="68">
        <f>DT232+DG232</f>
        <v>0</v>
      </c>
      <c r="DV232" s="68">
        <f>DU232+DH232</f>
        <v>0</v>
      </c>
      <c r="DW232" s="68">
        <f>DV232+DI232</f>
        <v>0</v>
      </c>
      <c r="DX232" s="68">
        <f>DW232+DJ232</f>
        <v>0</v>
      </c>
      <c r="DY232" s="68">
        <f>DX232+DK232</f>
        <v>0</v>
      </c>
      <c r="DZ232" s="68">
        <f>DY232+DL232</f>
        <v>0</v>
      </c>
      <c r="EA232" s="68">
        <f>DZ232+DM232</f>
        <v>0</v>
      </c>
      <c r="EB232" s="68">
        <f>EA232+DN232</f>
        <v>0</v>
      </c>
      <c r="EC232" s="68">
        <f>EB232+DO232</f>
        <v>0</v>
      </c>
      <c r="ED232" s="68">
        <f>$EC232-$AB232</f>
        <v>0</v>
      </c>
    </row>
    <row r="233" spans="1:134" ht="45">
      <c r="A233" s="74"/>
      <c r="B233" s="50">
        <v>177</v>
      </c>
      <c r="C233" s="50" t="s">
        <v>269</v>
      </c>
      <c r="D233" s="50" t="s">
        <v>270</v>
      </c>
      <c r="E233" s="51" t="s">
        <v>1793</v>
      </c>
      <c r="F233" s="50"/>
      <c r="G233" s="50"/>
      <c r="H233" s="37" t="s">
        <v>151</v>
      </c>
      <c r="I233" s="37" t="s">
        <v>277</v>
      </c>
      <c r="J233" s="92" t="s">
        <v>1529</v>
      </c>
      <c r="K233" s="50"/>
      <c r="L233" s="50"/>
      <c r="M233" s="50"/>
      <c r="N233" s="50"/>
      <c r="O233" s="37" t="s">
        <v>3</v>
      </c>
      <c r="P233" s="37" t="s">
        <v>14</v>
      </c>
      <c r="Q233" s="37" t="s">
        <v>16</v>
      </c>
      <c r="R233" s="37" t="s">
        <v>276</v>
      </c>
      <c r="S233" s="50"/>
      <c r="T233" s="50"/>
      <c r="U233" s="50" t="s">
        <v>1794</v>
      </c>
      <c r="V233" s="56" t="s">
        <v>277</v>
      </c>
      <c r="W233" s="84" t="s">
        <v>1795</v>
      </c>
      <c r="X233" s="82" t="s">
        <v>1795</v>
      </c>
      <c r="Y233" s="60"/>
      <c r="Z233" s="60"/>
      <c r="AA233" s="60"/>
      <c r="AB233" s="60"/>
      <c r="AC233" s="61"/>
      <c r="AD233" s="61"/>
      <c r="AE233" s="109">
        <v>0</v>
      </c>
      <c r="AF233" s="109">
        <v>0</v>
      </c>
      <c r="AG233" s="108">
        <f>$AR233+$AZ233+$BQ233+$BT233+$BU233+$BV233</f>
        <v>0</v>
      </c>
      <c r="AH233" s="121">
        <f>AF233-AG233</f>
        <v>0</v>
      </c>
      <c r="AI233" s="39" t="s">
        <v>1528</v>
      </c>
      <c r="AJ233" s="200"/>
      <c r="AK233" s="200"/>
      <c r="AL233" s="39"/>
      <c r="AM233" s="68"/>
      <c r="AN233" s="68"/>
      <c r="AO233" s="68"/>
      <c r="AP233" s="68"/>
      <c r="AQ233" s="68"/>
      <c r="AR233" s="68"/>
      <c r="AS233" s="68"/>
      <c r="AT233" s="68"/>
      <c r="AU233" s="69"/>
      <c r="AV233" s="69"/>
      <c r="AW233" s="69"/>
      <c r="AX233" s="69"/>
      <c r="AY233" s="68"/>
      <c r="AZ233" s="68"/>
      <c r="BA233" s="68"/>
      <c r="BB233" s="68"/>
      <c r="BC233" s="69"/>
      <c r="BD233" s="69"/>
      <c r="BE233" s="56" t="s">
        <v>277</v>
      </c>
      <c r="BF233" s="56" t="s">
        <v>277</v>
      </c>
      <c r="BG233" s="56" t="s">
        <v>277</v>
      </c>
      <c r="BH233" s="56" t="s">
        <v>277</v>
      </c>
      <c r="BI233" s="69">
        <v>0</v>
      </c>
      <c r="BJ233" s="69">
        <v>0</v>
      </c>
      <c r="BK233" s="69">
        <v>0</v>
      </c>
      <c r="BL233" s="69">
        <v>0</v>
      </c>
      <c r="BM233" s="69">
        <v>0</v>
      </c>
      <c r="BN233" s="69">
        <v>0</v>
      </c>
      <c r="BO233" s="69">
        <v>0</v>
      </c>
      <c r="BP233" s="69">
        <v>0</v>
      </c>
      <c r="BQ233" s="69"/>
      <c r="BR233" s="69" t="s">
        <v>382</v>
      </c>
      <c r="BS233" s="69" t="s">
        <v>798</v>
      </c>
      <c r="BT233" s="68">
        <v>0</v>
      </c>
      <c r="BU233" s="68">
        <v>0</v>
      </c>
      <c r="BV233" s="68">
        <v>0</v>
      </c>
      <c r="BW233" s="94">
        <v>0</v>
      </c>
      <c r="BX233" s="94">
        <v>0</v>
      </c>
      <c r="BY233" s="94">
        <v>0</v>
      </c>
      <c r="BZ233" s="94">
        <v>0</v>
      </c>
      <c r="CA233" s="94">
        <v>0</v>
      </c>
      <c r="CB233" s="94">
        <v>0</v>
      </c>
      <c r="CC233" s="94">
        <v>0</v>
      </c>
      <c r="CD233" s="94">
        <v>0</v>
      </c>
      <c r="CE233" s="94">
        <v>0</v>
      </c>
      <c r="CF233" s="108">
        <f>SUM(BT233:CE233)</f>
        <v>0</v>
      </c>
      <c r="CG233" s="108">
        <f>$CF233-$AF233</f>
        <v>0</v>
      </c>
      <c r="CH233" s="37" t="s">
        <v>289</v>
      </c>
      <c r="CI233" s="37" t="s">
        <v>290</v>
      </c>
      <c r="CJ233" s="37" t="s">
        <v>277</v>
      </c>
      <c r="CK233" s="37" t="s">
        <v>290</v>
      </c>
      <c r="CL233" s="37" t="s">
        <v>277</v>
      </c>
      <c r="CM233" s="37" t="s">
        <v>277</v>
      </c>
      <c r="CN233" s="37" t="s">
        <v>600</v>
      </c>
      <c r="CO233" s="37" t="s">
        <v>277</v>
      </c>
      <c r="CP233" s="91" t="s">
        <v>277</v>
      </c>
      <c r="CQ233" s="91" t="s">
        <v>277</v>
      </c>
      <c r="CR233" s="87" t="s">
        <v>293</v>
      </c>
      <c r="CS233" s="37" t="s">
        <v>322</v>
      </c>
      <c r="CT233" s="37" t="s">
        <v>851</v>
      </c>
      <c r="CU233" s="89" t="s">
        <v>296</v>
      </c>
      <c r="CV233" s="37" t="s">
        <v>382</v>
      </c>
      <c r="CW233" s="37" t="s">
        <v>277</v>
      </c>
      <c r="CX233" s="37" t="s">
        <v>277</v>
      </c>
      <c r="CY233" s="37" t="s">
        <v>277</v>
      </c>
      <c r="CZ233" s="87" t="s">
        <v>277</v>
      </c>
      <c r="DA233" s="87" t="s">
        <v>277</v>
      </c>
      <c r="DB233" s="37" t="s">
        <v>277</v>
      </c>
      <c r="DC233" s="37" t="s">
        <v>277</v>
      </c>
      <c r="DD233" s="68"/>
      <c r="DE233" s="68"/>
      <c r="DF233" s="68"/>
      <c r="DG233" s="68"/>
      <c r="DH233" s="68"/>
      <c r="DI233" s="68"/>
      <c r="DJ233" s="68"/>
      <c r="DK233" s="68"/>
      <c r="DL233" s="68"/>
      <c r="DM233" s="68"/>
      <c r="DN233" s="68"/>
      <c r="DO233" s="68"/>
      <c r="DP233" s="68">
        <f>SUM(DD233:DO233)</f>
        <v>0</v>
      </c>
      <c r="DQ233" s="68">
        <f>DP233-AB233</f>
        <v>0</v>
      </c>
      <c r="DR233" s="68">
        <f>$DD233</f>
        <v>0</v>
      </c>
      <c r="DS233" s="68">
        <f>DR233+DE233</f>
        <v>0</v>
      </c>
      <c r="DT233" s="68">
        <f>DS233+DF233</f>
        <v>0</v>
      </c>
      <c r="DU233" s="68">
        <f>DT233+DG233</f>
        <v>0</v>
      </c>
      <c r="DV233" s="68">
        <f>DU233+DH233</f>
        <v>0</v>
      </c>
      <c r="DW233" s="68">
        <f>DV233+DI233</f>
        <v>0</v>
      </c>
      <c r="DX233" s="68">
        <f>DW233+DJ233</f>
        <v>0</v>
      </c>
      <c r="DY233" s="68">
        <f>DX233+DK233</f>
        <v>0</v>
      </c>
      <c r="DZ233" s="68">
        <f>DY233+DL233</f>
        <v>0</v>
      </c>
      <c r="EA233" s="68">
        <f>DZ233+DM233</f>
        <v>0</v>
      </c>
      <c r="EB233" s="68">
        <f>EA233+DN233</f>
        <v>0</v>
      </c>
      <c r="EC233" s="68">
        <f>EB233+DO233</f>
        <v>0</v>
      </c>
      <c r="ED233" s="68">
        <f>$EC233-$AB233</f>
        <v>0</v>
      </c>
    </row>
    <row r="234" spans="1:134" ht="30">
      <c r="A234" s="74"/>
      <c r="B234" s="50">
        <v>180</v>
      </c>
      <c r="C234" s="50" t="s">
        <v>269</v>
      </c>
      <c r="D234" s="50" t="s">
        <v>297</v>
      </c>
      <c r="E234" s="50"/>
      <c r="F234" s="50"/>
      <c r="G234" s="50"/>
      <c r="H234" s="37" t="s">
        <v>151</v>
      </c>
      <c r="I234" s="37" t="s">
        <v>274</v>
      </c>
      <c r="J234" s="92" t="s">
        <v>1529</v>
      </c>
      <c r="K234" s="50" t="s">
        <v>3</v>
      </c>
      <c r="L234" s="50"/>
      <c r="M234" s="50"/>
      <c r="N234" s="50" t="s">
        <v>276</v>
      </c>
      <c r="O234" s="37" t="s">
        <v>3</v>
      </c>
      <c r="P234" s="37" t="s">
        <v>25</v>
      </c>
      <c r="Q234" s="37" t="s">
        <v>52</v>
      </c>
      <c r="R234" s="37" t="s">
        <v>512</v>
      </c>
      <c r="S234" s="50"/>
      <c r="T234" s="50"/>
      <c r="U234" s="50" t="s">
        <v>1796</v>
      </c>
      <c r="V234" s="84" t="s">
        <v>1797</v>
      </c>
      <c r="W234" s="84" t="s">
        <v>1797</v>
      </c>
      <c r="X234" s="82" t="s">
        <v>1797</v>
      </c>
      <c r="Y234" s="60"/>
      <c r="Z234" s="60"/>
      <c r="AA234" s="60"/>
      <c r="AB234" s="60"/>
      <c r="AC234" s="61"/>
      <c r="AD234" s="61"/>
      <c r="AE234" s="109">
        <v>0</v>
      </c>
      <c r="AF234" s="109">
        <v>0</v>
      </c>
      <c r="AG234" s="108">
        <f>$AR234+$AZ234+$BQ234+$BT234+$BU234+$BV234</f>
        <v>0</v>
      </c>
      <c r="AH234" s="121">
        <f>AF234-AG234</f>
        <v>0</v>
      </c>
      <c r="AI234" s="99" t="s">
        <v>643</v>
      </c>
      <c r="AJ234" s="212"/>
      <c r="AK234" s="212"/>
      <c r="AL234" s="99"/>
      <c r="AM234" s="68"/>
      <c r="AN234" s="68"/>
      <c r="AO234" s="68"/>
      <c r="AP234" s="68"/>
      <c r="AQ234" s="68"/>
      <c r="AR234" s="68"/>
      <c r="AS234" s="68"/>
      <c r="AT234" s="68"/>
      <c r="AU234" s="69"/>
      <c r="AV234" s="69"/>
      <c r="AW234" s="69"/>
      <c r="AX234" s="69"/>
      <c r="AY234" s="68"/>
      <c r="AZ234" s="68"/>
      <c r="BA234" s="68"/>
      <c r="BB234" s="68"/>
      <c r="BC234" s="69"/>
      <c r="BD234" s="69"/>
      <c r="BE234" s="56" t="s">
        <v>277</v>
      </c>
      <c r="BF234" s="56" t="s">
        <v>277</v>
      </c>
      <c r="BG234" s="56" t="s">
        <v>277</v>
      </c>
      <c r="BH234" s="56" t="s">
        <v>277</v>
      </c>
      <c r="BI234" s="69">
        <v>0</v>
      </c>
      <c r="BJ234" s="69">
        <v>0</v>
      </c>
      <c r="BK234" s="69">
        <v>0</v>
      </c>
      <c r="BL234" s="69">
        <v>0</v>
      </c>
      <c r="BM234" s="69">
        <v>0</v>
      </c>
      <c r="BN234" s="69">
        <v>0</v>
      </c>
      <c r="BO234" s="69">
        <v>0</v>
      </c>
      <c r="BP234" s="69">
        <v>0</v>
      </c>
      <c r="BQ234" s="69"/>
      <c r="BR234" s="69" t="s">
        <v>643</v>
      </c>
      <c r="BS234" s="69" t="s">
        <v>798</v>
      </c>
      <c r="BT234" s="68">
        <v>0</v>
      </c>
      <c r="BU234" s="68">
        <v>0</v>
      </c>
      <c r="BV234" s="68">
        <v>0</v>
      </c>
      <c r="BW234" s="94">
        <v>0</v>
      </c>
      <c r="BX234" s="94">
        <v>0</v>
      </c>
      <c r="BY234" s="94">
        <v>0</v>
      </c>
      <c r="BZ234" s="94">
        <v>0</v>
      </c>
      <c r="CA234" s="94">
        <v>0</v>
      </c>
      <c r="CB234" s="94">
        <v>0</v>
      </c>
      <c r="CC234" s="94">
        <v>0</v>
      </c>
      <c r="CD234" s="94">
        <v>0</v>
      </c>
      <c r="CE234" s="94">
        <v>0</v>
      </c>
      <c r="CF234" s="108">
        <f>SUM(BT234:CE234)</f>
        <v>0</v>
      </c>
      <c r="CG234" s="108">
        <f>$CF234-$AF234</f>
        <v>0</v>
      </c>
      <c r="CH234" s="37" t="s">
        <v>289</v>
      </c>
      <c r="CI234" s="37" t="s">
        <v>290</v>
      </c>
      <c r="CJ234" s="37" t="s">
        <v>277</v>
      </c>
      <c r="CK234" s="37" t="s">
        <v>290</v>
      </c>
      <c r="CL234" s="37" t="s">
        <v>277</v>
      </c>
      <c r="CM234" s="37" t="s">
        <v>277</v>
      </c>
      <c r="CN234" s="37" t="s">
        <v>290</v>
      </c>
      <c r="CO234" s="37" t="s">
        <v>277</v>
      </c>
      <c r="CP234" s="91" t="s">
        <v>277</v>
      </c>
      <c r="CQ234" s="91" t="s">
        <v>277</v>
      </c>
      <c r="CR234" s="87" t="s">
        <v>293</v>
      </c>
      <c r="CS234" s="37" t="s">
        <v>322</v>
      </c>
      <c r="CT234" s="37" t="s">
        <v>851</v>
      </c>
      <c r="CU234" s="37" t="s">
        <v>296</v>
      </c>
      <c r="CV234" s="91" t="s">
        <v>323</v>
      </c>
      <c r="CW234" s="37" t="s">
        <v>277</v>
      </c>
      <c r="CX234" s="37" t="s">
        <v>277</v>
      </c>
      <c r="CY234" s="37" t="s">
        <v>277</v>
      </c>
      <c r="CZ234" s="87" t="s">
        <v>277</v>
      </c>
      <c r="DA234" s="87" t="s">
        <v>277</v>
      </c>
      <c r="DB234" s="37" t="s">
        <v>277</v>
      </c>
      <c r="DC234" s="37" t="s">
        <v>277</v>
      </c>
      <c r="DD234" s="68"/>
      <c r="DE234" s="68"/>
      <c r="DF234" s="68"/>
      <c r="DG234" s="68"/>
      <c r="DH234" s="68"/>
      <c r="DI234" s="68"/>
      <c r="DJ234" s="68"/>
      <c r="DK234" s="68"/>
      <c r="DL234" s="68"/>
      <c r="DM234" s="68"/>
      <c r="DN234" s="68"/>
      <c r="DO234" s="68"/>
      <c r="DP234" s="68">
        <f>SUM(DD234:DO234)</f>
        <v>0</v>
      </c>
      <c r="DQ234" s="68">
        <f>DP234-AB234</f>
        <v>0</v>
      </c>
      <c r="DR234" s="68">
        <f>$DD234</f>
        <v>0</v>
      </c>
      <c r="DS234" s="68">
        <f>DR234+DE234</f>
        <v>0</v>
      </c>
      <c r="DT234" s="68">
        <f>DS234+DF234</f>
        <v>0</v>
      </c>
      <c r="DU234" s="68">
        <f>DT234+DG234</f>
        <v>0</v>
      </c>
      <c r="DV234" s="68">
        <f>DU234+DH234</f>
        <v>0</v>
      </c>
      <c r="DW234" s="68">
        <f>DV234+DI234</f>
        <v>0</v>
      </c>
      <c r="DX234" s="68">
        <f>DW234+DJ234</f>
        <v>0</v>
      </c>
      <c r="DY234" s="68">
        <f>DX234+DK234</f>
        <v>0</v>
      </c>
      <c r="DZ234" s="68">
        <f>DY234+DL234</f>
        <v>0</v>
      </c>
      <c r="EA234" s="68">
        <f>DZ234+DM234</f>
        <v>0</v>
      </c>
      <c r="EB234" s="68">
        <f>EA234+DN234</f>
        <v>0</v>
      </c>
      <c r="EC234" s="68">
        <f>EB234+DO234</f>
        <v>0</v>
      </c>
      <c r="ED234" s="68">
        <f>$EC234-$AB234</f>
        <v>0</v>
      </c>
    </row>
    <row r="235" spans="1:134" ht="45">
      <c r="A235" s="74"/>
      <c r="B235" s="50">
        <v>138</v>
      </c>
      <c r="C235" s="50" t="s">
        <v>269</v>
      </c>
      <c r="D235" s="50" t="s">
        <v>297</v>
      </c>
      <c r="E235" s="50"/>
      <c r="F235" s="50" t="s">
        <v>272</v>
      </c>
      <c r="G235" s="50" t="s">
        <v>273</v>
      </c>
      <c r="H235" s="37" t="s">
        <v>151</v>
      </c>
      <c r="I235" s="37" t="s">
        <v>274</v>
      </c>
      <c r="J235" s="93" t="s">
        <v>1529</v>
      </c>
      <c r="K235" s="50" t="s">
        <v>3</v>
      </c>
      <c r="L235" s="50" t="s">
        <v>25</v>
      </c>
      <c r="M235" s="50" t="s">
        <v>52</v>
      </c>
      <c r="N235" s="50" t="s">
        <v>276</v>
      </c>
      <c r="O235" s="37" t="s">
        <v>3</v>
      </c>
      <c r="P235" s="37" t="s">
        <v>25</v>
      </c>
      <c r="Q235" s="37" t="s">
        <v>52</v>
      </c>
      <c r="R235" s="37" t="s">
        <v>512</v>
      </c>
      <c r="S235" s="50" t="s">
        <v>277</v>
      </c>
      <c r="T235" s="50" t="s">
        <v>1575</v>
      </c>
      <c r="U235" s="50" t="s">
        <v>1798</v>
      </c>
      <c r="V235" s="84" t="s">
        <v>1799</v>
      </c>
      <c r="W235" s="84" t="s">
        <v>1799</v>
      </c>
      <c r="X235" s="82" t="s">
        <v>1799</v>
      </c>
      <c r="Y235" s="60">
        <v>9886102890</v>
      </c>
      <c r="Z235" s="60">
        <v>2414577168</v>
      </c>
      <c r="AA235" s="60">
        <v>-2414577168</v>
      </c>
      <c r="AB235" s="60">
        <f>Z235+AA235</f>
        <v>0</v>
      </c>
      <c r="AC235" s="61" t="s">
        <v>414</v>
      </c>
      <c r="AD235" s="61" t="s">
        <v>1800</v>
      </c>
      <c r="AE235" s="112">
        <v>0</v>
      </c>
      <c r="AF235" s="112">
        <v>0</v>
      </c>
      <c r="AG235" s="110">
        <f>$AR235+$AZ235+$BQ235+$BT235+$BU235+$BV235</f>
        <v>0</v>
      </c>
      <c r="AH235" s="121">
        <f>AF235-AG235</f>
        <v>0</v>
      </c>
      <c r="AI235" s="99" t="s">
        <v>643</v>
      </c>
      <c r="AJ235" s="222"/>
      <c r="AK235" s="222"/>
      <c r="AL235" s="223"/>
      <c r="AM235" s="68"/>
      <c r="AN235" s="68"/>
      <c r="AO235" s="68"/>
      <c r="AP235" s="68"/>
      <c r="AQ235" s="68">
        <v>0</v>
      </c>
      <c r="AR235" s="68">
        <v>0</v>
      </c>
      <c r="AS235" s="68" t="s">
        <v>307</v>
      </c>
      <c r="AT235" s="68"/>
      <c r="AU235" s="69" t="s">
        <v>277</v>
      </c>
      <c r="AV235" s="69" t="s">
        <v>277</v>
      </c>
      <c r="AW235" s="69" t="s">
        <v>277</v>
      </c>
      <c r="AX235" s="69"/>
      <c r="AY235" s="68">
        <v>0</v>
      </c>
      <c r="AZ235" s="68">
        <v>0</v>
      </c>
      <c r="BA235" s="68" t="s">
        <v>307</v>
      </c>
      <c r="BB235" s="68"/>
      <c r="BC235" s="69" t="s">
        <v>1801</v>
      </c>
      <c r="BD235" s="69" t="s">
        <v>277</v>
      </c>
      <c r="BE235" s="56" t="s">
        <v>277</v>
      </c>
      <c r="BF235" s="56" t="s">
        <v>277</v>
      </c>
      <c r="BG235" s="56" t="s">
        <v>277</v>
      </c>
      <c r="BH235" s="56" t="s">
        <v>277</v>
      </c>
      <c r="BI235" s="69">
        <v>0</v>
      </c>
      <c r="BJ235" s="69">
        <v>0</v>
      </c>
      <c r="BK235" s="69">
        <v>0</v>
      </c>
      <c r="BL235" s="69">
        <v>0</v>
      </c>
      <c r="BM235" s="69">
        <v>0</v>
      </c>
      <c r="BN235" s="69">
        <v>0</v>
      </c>
      <c r="BO235" s="69">
        <v>0</v>
      </c>
      <c r="BP235" s="69">
        <v>0</v>
      </c>
      <c r="BQ235" s="69"/>
      <c r="BR235" s="69" t="s">
        <v>643</v>
      </c>
      <c r="BS235" s="69" t="s">
        <v>1513</v>
      </c>
      <c r="BT235" s="68">
        <v>0</v>
      </c>
      <c r="BU235" s="68">
        <v>0</v>
      </c>
      <c r="BV235" s="68">
        <v>0</v>
      </c>
      <c r="BW235" s="94">
        <v>0</v>
      </c>
      <c r="BX235" s="94">
        <v>0</v>
      </c>
      <c r="BY235" s="94">
        <v>0</v>
      </c>
      <c r="BZ235" s="94">
        <v>0</v>
      </c>
      <c r="CA235" s="94">
        <v>0</v>
      </c>
      <c r="CB235" s="109">
        <v>0</v>
      </c>
      <c r="CC235" s="109">
        <v>0</v>
      </c>
      <c r="CD235" s="109">
        <v>0</v>
      </c>
      <c r="CE235" s="109">
        <v>0</v>
      </c>
      <c r="CF235" s="108">
        <f>SUM(BT235:CE235)</f>
        <v>0</v>
      </c>
      <c r="CG235" s="108">
        <f>$CF235-$AF235</f>
        <v>0</v>
      </c>
      <c r="CH235" s="37" t="s">
        <v>289</v>
      </c>
      <c r="CI235" s="37" t="s">
        <v>290</v>
      </c>
      <c r="CJ235" s="37" t="s">
        <v>277</v>
      </c>
      <c r="CK235" s="37" t="s">
        <v>291</v>
      </c>
      <c r="CL235" s="37" t="s">
        <v>1802</v>
      </c>
      <c r="CM235" s="37" t="s">
        <v>1803</v>
      </c>
      <c r="CN235" s="37" t="s">
        <v>290</v>
      </c>
      <c r="CO235" s="37" t="s">
        <v>1505</v>
      </c>
      <c r="CP235" s="41">
        <v>46023</v>
      </c>
      <c r="CQ235" s="41">
        <v>46023</v>
      </c>
      <c r="CR235" s="37" t="s">
        <v>293</v>
      </c>
      <c r="CS235" s="37" t="s">
        <v>454</v>
      </c>
      <c r="CT235" s="37" t="s">
        <v>295</v>
      </c>
      <c r="CU235" s="37" t="s">
        <v>296</v>
      </c>
      <c r="CV235" s="37" t="s">
        <v>323</v>
      </c>
      <c r="CW235" s="37">
        <v>0</v>
      </c>
      <c r="CX235" s="37">
        <v>0</v>
      </c>
      <c r="CY235" s="37">
        <v>0</v>
      </c>
      <c r="CZ235" s="123" t="s">
        <v>277</v>
      </c>
      <c r="DA235" s="123" t="s">
        <v>277</v>
      </c>
      <c r="DB235" s="37" t="s">
        <v>1804</v>
      </c>
      <c r="DC235" s="37" t="s">
        <v>1805</v>
      </c>
      <c r="DD235" s="68">
        <v>0</v>
      </c>
      <c r="DE235" s="68">
        <v>0</v>
      </c>
      <c r="DF235" s="68">
        <v>0</v>
      </c>
      <c r="DG235" s="68">
        <v>0</v>
      </c>
      <c r="DH235" s="68">
        <v>0</v>
      </c>
      <c r="DI235" s="68">
        <v>0</v>
      </c>
      <c r="DJ235" s="68">
        <v>0</v>
      </c>
      <c r="DK235" s="68">
        <f>2414577168-2414577168</f>
        <v>0</v>
      </c>
      <c r="DL235" s="68">
        <v>0</v>
      </c>
      <c r="DM235" s="68">
        <v>0</v>
      </c>
      <c r="DN235" s="68">
        <v>0</v>
      </c>
      <c r="DO235" s="68">
        <v>0</v>
      </c>
      <c r="DP235" s="68">
        <f>SUM(DD235:DO235)</f>
        <v>0</v>
      </c>
      <c r="DQ235" s="68">
        <f>DP235-AB235</f>
        <v>0</v>
      </c>
      <c r="DR235" s="68">
        <f>$DD235</f>
        <v>0</v>
      </c>
      <c r="DS235" s="68">
        <f>DR235+DE235</f>
        <v>0</v>
      </c>
      <c r="DT235" s="68">
        <f>DS235+DF235</f>
        <v>0</v>
      </c>
      <c r="DU235" s="68">
        <f>DT235+DG235</f>
        <v>0</v>
      </c>
      <c r="DV235" s="68">
        <f>DU235+DH235</f>
        <v>0</v>
      </c>
      <c r="DW235" s="68">
        <f>DV235+DI235</f>
        <v>0</v>
      </c>
      <c r="DX235" s="68">
        <f>DW235+DJ235</f>
        <v>0</v>
      </c>
      <c r="DY235" s="68">
        <f>DX235+DK235</f>
        <v>0</v>
      </c>
      <c r="DZ235" s="68">
        <f>DY235+DL235</f>
        <v>0</v>
      </c>
      <c r="EA235" s="68">
        <f>DZ235+DM235</f>
        <v>0</v>
      </c>
      <c r="EB235" s="68">
        <f>EA235+DN235</f>
        <v>0</v>
      </c>
      <c r="EC235" s="68">
        <f>EB235+DO235</f>
        <v>0</v>
      </c>
      <c r="ED235" s="68">
        <f>$EC235-$AB235</f>
        <v>0</v>
      </c>
    </row>
    <row r="236" spans="1:134" ht="30">
      <c r="A236" s="74"/>
      <c r="B236" s="133">
        <v>141</v>
      </c>
      <c r="C236" s="133" t="s">
        <v>269</v>
      </c>
      <c r="D236" s="133" t="s">
        <v>297</v>
      </c>
      <c r="E236" s="133"/>
      <c r="F236" s="133" t="s">
        <v>272</v>
      </c>
      <c r="G236" s="133" t="s">
        <v>273</v>
      </c>
      <c r="H236" s="134" t="s">
        <v>151</v>
      </c>
      <c r="I236" s="134" t="s">
        <v>497</v>
      </c>
      <c r="J236" s="134" t="s">
        <v>1075</v>
      </c>
      <c r="K236" s="133" t="s">
        <v>3</v>
      </c>
      <c r="L236" s="133" t="s">
        <v>25</v>
      </c>
      <c r="M236" s="133" t="s">
        <v>52</v>
      </c>
      <c r="N236" s="133" t="s">
        <v>276</v>
      </c>
      <c r="O236" s="134" t="s">
        <v>3</v>
      </c>
      <c r="P236" s="134" t="s">
        <v>25</v>
      </c>
      <c r="Q236" s="134" t="s">
        <v>52</v>
      </c>
      <c r="R236" s="134" t="s">
        <v>512</v>
      </c>
      <c r="S236" s="133" t="s">
        <v>1806</v>
      </c>
      <c r="T236" s="133" t="s">
        <v>1586</v>
      </c>
      <c r="U236" s="133" t="s">
        <v>1807</v>
      </c>
      <c r="V236" s="135" t="s">
        <v>1808</v>
      </c>
      <c r="W236" s="135" t="s">
        <v>1808</v>
      </c>
      <c r="X236" s="245" t="s">
        <v>1808</v>
      </c>
      <c r="Y236" s="136">
        <v>11205216900</v>
      </c>
      <c r="Z236" s="136">
        <v>10084695210</v>
      </c>
      <c r="AA236" s="136"/>
      <c r="AB236" s="136">
        <f>Z236+AA236</f>
        <v>10084695210</v>
      </c>
      <c r="AC236" s="184"/>
      <c r="AD236" s="184"/>
      <c r="AE236" s="140">
        <v>0</v>
      </c>
      <c r="AF236" s="140">
        <v>0</v>
      </c>
      <c r="AG236" s="141">
        <f>$AR236+$AZ236+$BQ236+$BT236+$BU236+$BV236</f>
        <v>0</v>
      </c>
      <c r="AH236" s="121">
        <f>AF236-AG236</f>
        <v>0</v>
      </c>
      <c r="AI236" s="219" t="s">
        <v>1809</v>
      </c>
      <c r="AJ236" s="249"/>
      <c r="AK236" s="249"/>
      <c r="AL236" s="39"/>
      <c r="AM236" s="221"/>
      <c r="AN236" s="68"/>
      <c r="AO236" s="68"/>
      <c r="AP236" s="68"/>
      <c r="AQ236" s="68">
        <v>0</v>
      </c>
      <c r="AR236" s="68">
        <v>0</v>
      </c>
      <c r="AS236" s="68" t="s">
        <v>307</v>
      </c>
      <c r="AT236" s="68"/>
      <c r="AU236" s="69" t="s">
        <v>277</v>
      </c>
      <c r="AV236" s="69" t="s">
        <v>277</v>
      </c>
      <c r="AW236" s="69" t="s">
        <v>277</v>
      </c>
      <c r="AX236" s="69"/>
      <c r="AY236" s="68">
        <v>0</v>
      </c>
      <c r="AZ236" s="68">
        <v>0</v>
      </c>
      <c r="BA236" s="68" t="s">
        <v>307</v>
      </c>
      <c r="BB236" s="68"/>
      <c r="BC236" s="69" t="s">
        <v>1810</v>
      </c>
      <c r="BD236" s="69" t="s">
        <v>277</v>
      </c>
      <c r="BE236" s="56" t="s">
        <v>277</v>
      </c>
      <c r="BF236" s="56" t="s">
        <v>277</v>
      </c>
      <c r="BG236" s="56" t="s">
        <v>277</v>
      </c>
      <c r="BH236" s="56" t="s">
        <v>277</v>
      </c>
      <c r="BI236" s="69">
        <v>0</v>
      </c>
      <c r="BJ236" s="69">
        <v>0</v>
      </c>
      <c r="BK236" s="69">
        <v>0</v>
      </c>
      <c r="BL236" s="69">
        <v>0</v>
      </c>
      <c r="BM236" s="69">
        <v>0</v>
      </c>
      <c r="BN236" s="69">
        <v>0</v>
      </c>
      <c r="BO236" s="69">
        <v>0</v>
      </c>
      <c r="BP236" s="69">
        <v>0</v>
      </c>
      <c r="BQ236" s="69"/>
      <c r="BR236" s="137" t="s">
        <v>157</v>
      </c>
      <c r="BS236" s="137" t="s">
        <v>1811</v>
      </c>
      <c r="BT236" s="138">
        <v>0</v>
      </c>
      <c r="BU236" s="138">
        <v>0</v>
      </c>
      <c r="BV236" s="138">
        <v>0</v>
      </c>
      <c r="BW236" s="139">
        <v>0</v>
      </c>
      <c r="BX236" s="139">
        <v>0</v>
      </c>
      <c r="BY236" s="139">
        <v>0</v>
      </c>
      <c r="BZ236" s="139">
        <v>0</v>
      </c>
      <c r="CA236" s="139">
        <v>0</v>
      </c>
      <c r="CB236" s="139">
        <v>0</v>
      </c>
      <c r="CC236" s="139">
        <v>0</v>
      </c>
      <c r="CD236" s="139">
        <v>0</v>
      </c>
      <c r="CE236" s="139">
        <v>0</v>
      </c>
      <c r="CF236" s="141">
        <f>SUM(BT236:CE236)</f>
        <v>0</v>
      </c>
      <c r="CG236" s="141">
        <f>$CF236-$AF236</f>
        <v>0</v>
      </c>
      <c r="CH236" s="134" t="s">
        <v>289</v>
      </c>
      <c r="CI236" s="134" t="s">
        <v>290</v>
      </c>
      <c r="CJ236" s="134" t="s">
        <v>277</v>
      </c>
      <c r="CK236" s="134" t="s">
        <v>291</v>
      </c>
      <c r="CL236" s="134" t="s">
        <v>1812</v>
      </c>
      <c r="CM236" s="134" t="s">
        <v>646</v>
      </c>
      <c r="CN236" s="134" t="s">
        <v>290</v>
      </c>
      <c r="CO236" s="134" t="s">
        <v>277</v>
      </c>
      <c r="CP236" s="142">
        <v>45901</v>
      </c>
      <c r="CQ236" s="142">
        <v>46296</v>
      </c>
      <c r="CR236" s="134" t="s">
        <v>577</v>
      </c>
      <c r="CS236" s="134" t="s">
        <v>454</v>
      </c>
      <c r="CT236" s="134" t="s">
        <v>524</v>
      </c>
      <c r="CU236" s="134" t="s">
        <v>341</v>
      </c>
      <c r="CV236" s="134" t="s">
        <v>384</v>
      </c>
      <c r="CW236" s="134">
        <v>0</v>
      </c>
      <c r="CX236" s="134">
        <v>0</v>
      </c>
      <c r="CY236" s="134">
        <v>8791200000</v>
      </c>
      <c r="CZ236" s="143" t="s">
        <v>277</v>
      </c>
      <c r="DA236" s="143" t="s">
        <v>277</v>
      </c>
      <c r="DB236" s="134" t="s">
        <v>1813</v>
      </c>
      <c r="DC236" s="134">
        <v>0</v>
      </c>
      <c r="DD236" s="138">
        <v>0</v>
      </c>
      <c r="DE236" s="138">
        <v>0</v>
      </c>
      <c r="DF236" s="138">
        <v>0</v>
      </c>
      <c r="DG236" s="138">
        <v>0</v>
      </c>
      <c r="DH236" s="138">
        <v>0</v>
      </c>
      <c r="DI236" s="138">
        <v>0</v>
      </c>
      <c r="DJ236" s="138">
        <v>6553696460</v>
      </c>
      <c r="DK236" s="138">
        <v>3530998750</v>
      </c>
      <c r="DL236" s="138">
        <v>0</v>
      </c>
      <c r="DM236" s="138">
        <v>0</v>
      </c>
      <c r="DN236" s="138">
        <v>0</v>
      </c>
      <c r="DO236" s="138">
        <v>0</v>
      </c>
      <c r="DP236" s="138">
        <f>SUM(DD236:DO236)</f>
        <v>10084695210</v>
      </c>
      <c r="DQ236" s="138">
        <f>DP236-AB236</f>
        <v>0</v>
      </c>
      <c r="DR236" s="138">
        <f>$DD236</f>
        <v>0</v>
      </c>
      <c r="DS236" s="138">
        <f>DR236+DE236</f>
        <v>0</v>
      </c>
      <c r="DT236" s="138">
        <f>DS236+DF236</f>
        <v>0</v>
      </c>
      <c r="DU236" s="138">
        <f>DT236+DG236</f>
        <v>0</v>
      </c>
      <c r="DV236" s="138">
        <f>DU236+DH236</f>
        <v>0</v>
      </c>
      <c r="DW236" s="138">
        <f>DV236+DI236</f>
        <v>0</v>
      </c>
      <c r="DX236" s="138">
        <f>DW236+DJ236</f>
        <v>6553696460</v>
      </c>
      <c r="DY236" s="138">
        <f>DX236+DK236</f>
        <v>10084695210</v>
      </c>
      <c r="DZ236" s="138">
        <f>DY236+DL236</f>
        <v>10084695210</v>
      </c>
      <c r="EA236" s="138">
        <f>DZ236+DM236</f>
        <v>10084695210</v>
      </c>
      <c r="EB236" s="138">
        <f>EA236+DN236</f>
        <v>10084695210</v>
      </c>
      <c r="EC236" s="138">
        <f>EB236+DO236</f>
        <v>10084695210</v>
      </c>
      <c r="ED236" s="138">
        <f>$EC236-$AB236</f>
        <v>0</v>
      </c>
    </row>
    <row r="237" spans="1:134" ht="45">
      <c r="A237" s="74"/>
      <c r="B237" s="229">
        <v>145</v>
      </c>
      <c r="C237" s="229" t="s">
        <v>269</v>
      </c>
      <c r="D237" s="229" t="s">
        <v>297</v>
      </c>
      <c r="E237" s="229"/>
      <c r="F237" s="229" t="s">
        <v>272</v>
      </c>
      <c r="G237" s="229" t="s">
        <v>273</v>
      </c>
      <c r="H237" s="172" t="s">
        <v>151</v>
      </c>
      <c r="I237" s="172" t="s">
        <v>274</v>
      </c>
      <c r="J237" s="242" t="s">
        <v>1529</v>
      </c>
      <c r="K237" s="229" t="s">
        <v>3</v>
      </c>
      <c r="L237" s="229" t="s">
        <v>25</v>
      </c>
      <c r="M237" s="229" t="s">
        <v>52</v>
      </c>
      <c r="N237" s="229" t="s">
        <v>276</v>
      </c>
      <c r="O237" s="172" t="s">
        <v>3</v>
      </c>
      <c r="P237" s="172" t="s">
        <v>25</v>
      </c>
      <c r="Q237" s="172" t="s">
        <v>52</v>
      </c>
      <c r="R237" s="172" t="s">
        <v>512</v>
      </c>
      <c r="S237" s="229" t="s">
        <v>1814</v>
      </c>
      <c r="T237" s="229" t="s">
        <v>1061</v>
      </c>
      <c r="U237" s="229" t="s">
        <v>1815</v>
      </c>
      <c r="V237" s="243" t="s">
        <v>1816</v>
      </c>
      <c r="W237" s="243" t="s">
        <v>1816</v>
      </c>
      <c r="X237" s="244" t="s">
        <v>1816</v>
      </c>
      <c r="Y237" s="231">
        <v>5438251638</v>
      </c>
      <c r="Z237" s="231">
        <v>5438251638</v>
      </c>
      <c r="AA237" s="231">
        <v>-5438251638</v>
      </c>
      <c r="AB237" s="231">
        <f>Z237+AA237</f>
        <v>0</v>
      </c>
      <c r="AC237" s="246" t="s">
        <v>414</v>
      </c>
      <c r="AD237" s="246" t="s">
        <v>1817</v>
      </c>
      <c r="AE237" s="247">
        <v>0</v>
      </c>
      <c r="AF237" s="247">
        <v>0</v>
      </c>
      <c r="AG237" s="248">
        <f>$AR237+$AZ237+$BQ237+$BT237+$BU237+$BV237</f>
        <v>0</v>
      </c>
      <c r="AH237" s="121">
        <f>AF237-AG237</f>
        <v>0</v>
      </c>
      <c r="AI237" s="99" t="s">
        <v>643</v>
      </c>
      <c r="AJ237" s="209"/>
      <c r="AK237" s="209"/>
      <c r="AL237" s="251"/>
      <c r="AM237" s="234"/>
      <c r="AN237" s="234"/>
      <c r="AO237" s="234"/>
      <c r="AP237" s="234"/>
      <c r="AQ237" s="234">
        <v>0</v>
      </c>
      <c r="AR237" s="234">
        <v>0</v>
      </c>
      <c r="AS237" s="234" t="s">
        <v>307</v>
      </c>
      <c r="AT237" s="234"/>
      <c r="AU237" s="236" t="s">
        <v>277</v>
      </c>
      <c r="AV237" s="236" t="s">
        <v>277</v>
      </c>
      <c r="AW237" s="236" t="s">
        <v>277</v>
      </c>
      <c r="AX237" s="236"/>
      <c r="AY237" s="234">
        <v>0</v>
      </c>
      <c r="AZ237" s="234">
        <v>0</v>
      </c>
      <c r="BA237" s="234" t="s">
        <v>307</v>
      </c>
      <c r="BB237" s="234"/>
      <c r="BC237" s="236" t="s">
        <v>277</v>
      </c>
      <c r="BD237" s="236" t="s">
        <v>277</v>
      </c>
      <c r="BE237" s="235" t="s">
        <v>277</v>
      </c>
      <c r="BF237" s="235" t="s">
        <v>277</v>
      </c>
      <c r="BG237" s="235" t="s">
        <v>277</v>
      </c>
      <c r="BH237" s="235" t="s">
        <v>277</v>
      </c>
      <c r="BI237" s="236">
        <v>0</v>
      </c>
      <c r="BJ237" s="236">
        <v>0</v>
      </c>
      <c r="BK237" s="236">
        <v>0</v>
      </c>
      <c r="BL237" s="236">
        <v>0</v>
      </c>
      <c r="BM237" s="236">
        <v>0</v>
      </c>
      <c r="BN237" s="236">
        <v>0</v>
      </c>
      <c r="BO237" s="236">
        <v>0</v>
      </c>
      <c r="BP237" s="236">
        <v>0</v>
      </c>
      <c r="BQ237" s="236"/>
      <c r="BR237" s="237" t="s">
        <v>643</v>
      </c>
      <c r="BS237" s="237" t="s">
        <v>1513</v>
      </c>
      <c r="BT237" s="238">
        <v>0</v>
      </c>
      <c r="BU237" s="238">
        <v>0</v>
      </c>
      <c r="BV237" s="238">
        <v>0</v>
      </c>
      <c r="BW237" s="94">
        <v>0</v>
      </c>
      <c r="BX237" s="132">
        <v>0</v>
      </c>
      <c r="BY237" s="94">
        <v>0</v>
      </c>
      <c r="BZ237" s="94">
        <v>0</v>
      </c>
      <c r="CA237" s="94">
        <v>0</v>
      </c>
      <c r="CB237" s="94">
        <v>0</v>
      </c>
      <c r="CC237" s="94">
        <v>0</v>
      </c>
      <c r="CD237" s="94">
        <v>0</v>
      </c>
      <c r="CE237" s="94">
        <v>0</v>
      </c>
      <c r="CF237" s="108">
        <f>SUM(BT237:CE237)</f>
        <v>0</v>
      </c>
      <c r="CG237" s="108">
        <f>$CF237-$AF237</f>
        <v>0</v>
      </c>
      <c r="CH237" s="172" t="s">
        <v>289</v>
      </c>
      <c r="CI237" s="172" t="s">
        <v>290</v>
      </c>
      <c r="CJ237" s="172" t="s">
        <v>277</v>
      </c>
      <c r="CK237" s="172" t="s">
        <v>290</v>
      </c>
      <c r="CL237" s="172" t="s">
        <v>277</v>
      </c>
      <c r="CM237" s="172" t="s">
        <v>277</v>
      </c>
      <c r="CN237" s="172" t="s">
        <v>290</v>
      </c>
      <c r="CO237" s="172" t="s">
        <v>1505</v>
      </c>
      <c r="CP237" s="241">
        <v>46023</v>
      </c>
      <c r="CQ237" s="241">
        <v>46387</v>
      </c>
      <c r="CR237" s="37" t="s">
        <v>293</v>
      </c>
      <c r="CS237" s="37" t="s">
        <v>294</v>
      </c>
      <c r="CT237" s="37" t="s">
        <v>295</v>
      </c>
      <c r="CU237" s="37" t="s">
        <v>296</v>
      </c>
      <c r="CV237" s="37" t="s">
        <v>323</v>
      </c>
      <c r="CW237" s="172">
        <v>0</v>
      </c>
      <c r="CX237" s="172">
        <v>0</v>
      </c>
      <c r="CY237" s="172">
        <v>0</v>
      </c>
      <c r="CZ237" s="173" t="s">
        <v>277</v>
      </c>
      <c r="DA237" s="173" t="s">
        <v>277</v>
      </c>
      <c r="DB237" s="172" t="s">
        <v>1804</v>
      </c>
      <c r="DC237" s="172" t="s">
        <v>455</v>
      </c>
      <c r="DD237" s="238">
        <v>0</v>
      </c>
      <c r="DE237" s="238">
        <v>0</v>
      </c>
      <c r="DF237" s="238">
        <v>0</v>
      </c>
      <c r="DG237" s="238">
        <f>814925355-814925355</f>
        <v>0</v>
      </c>
      <c r="DH237" s="238">
        <f>2854314944-2854314944</f>
        <v>0</v>
      </c>
      <c r="DI237" s="238">
        <v>0</v>
      </c>
      <c r="DJ237" s="238">
        <v>0</v>
      </c>
      <c r="DK237" s="238">
        <f>1769011339-1769011339</f>
        <v>0</v>
      </c>
      <c r="DL237" s="238">
        <v>0</v>
      </c>
      <c r="DM237" s="238">
        <v>0</v>
      </c>
      <c r="DN237" s="238">
        <v>0</v>
      </c>
      <c r="DO237" s="238">
        <v>0</v>
      </c>
      <c r="DP237" s="238">
        <f>SUM(DD237:DO237)</f>
        <v>0</v>
      </c>
      <c r="DQ237" s="238">
        <f>DP237-AB237</f>
        <v>0</v>
      </c>
      <c r="DR237" s="238">
        <f>$DD237</f>
        <v>0</v>
      </c>
      <c r="DS237" s="238">
        <f>DR237+DE237</f>
        <v>0</v>
      </c>
      <c r="DT237" s="238">
        <f>DS237+DF237</f>
        <v>0</v>
      </c>
      <c r="DU237" s="238">
        <f>DT237+DG237</f>
        <v>0</v>
      </c>
      <c r="DV237" s="238">
        <f>DU237+DH237</f>
        <v>0</v>
      </c>
      <c r="DW237" s="238">
        <f>DV237+DI237</f>
        <v>0</v>
      </c>
      <c r="DX237" s="238">
        <f>DW237+DJ237</f>
        <v>0</v>
      </c>
      <c r="DY237" s="238">
        <f>DX237+DK237</f>
        <v>0</v>
      </c>
      <c r="DZ237" s="238">
        <f>DY237+DL237</f>
        <v>0</v>
      </c>
      <c r="EA237" s="238">
        <f>DZ237+DM237</f>
        <v>0</v>
      </c>
      <c r="EB237" s="238">
        <f>EA237+DN237</f>
        <v>0</v>
      </c>
      <c r="EC237" s="238">
        <f>EB237+DO237</f>
        <v>0</v>
      </c>
      <c r="ED237" s="238">
        <f>$EC237-$AB237</f>
        <v>0</v>
      </c>
    </row>
    <row r="238" spans="1:134" ht="45">
      <c r="B238" s="146"/>
      <c r="C238" s="148" t="s">
        <v>269</v>
      </c>
      <c r="D238" s="148" t="s">
        <v>270</v>
      </c>
      <c r="E238" s="148"/>
      <c r="F238" s="148" t="s">
        <v>272</v>
      </c>
      <c r="G238" s="148" t="s">
        <v>273</v>
      </c>
      <c r="H238" s="148" t="s">
        <v>151</v>
      </c>
      <c r="I238" s="148" t="s">
        <v>1009</v>
      </c>
      <c r="J238" s="148" t="s">
        <v>694</v>
      </c>
      <c r="K238" s="148" t="s">
        <v>277</v>
      </c>
      <c r="L238" s="148" t="s">
        <v>277</v>
      </c>
      <c r="M238" s="148" t="s">
        <v>277</v>
      </c>
      <c r="N238" s="148" t="s">
        <v>277</v>
      </c>
      <c r="O238" s="148" t="s">
        <v>3</v>
      </c>
      <c r="P238" s="148" t="s">
        <v>14</v>
      </c>
      <c r="Q238" s="148" t="s">
        <v>16</v>
      </c>
      <c r="R238" s="147" t="s">
        <v>276</v>
      </c>
      <c r="S238" s="146" t="s">
        <v>277</v>
      </c>
      <c r="T238" s="146" t="s">
        <v>277</v>
      </c>
      <c r="U238" s="148" t="s">
        <v>277</v>
      </c>
      <c r="V238" s="146" t="s">
        <v>277</v>
      </c>
      <c r="W238" s="146" t="s">
        <v>277</v>
      </c>
      <c r="X238" s="149" t="s">
        <v>1818</v>
      </c>
      <c r="Y238" s="146"/>
      <c r="Z238" s="146"/>
      <c r="AA238" s="146"/>
      <c r="AB238" s="146"/>
      <c r="AC238" s="146"/>
      <c r="AD238" s="146"/>
      <c r="AE238" s="154">
        <v>1651046800</v>
      </c>
      <c r="AF238" s="154"/>
      <c r="AG238" s="154"/>
      <c r="AH238" s="121">
        <f>AF238-AG238</f>
        <v>0</v>
      </c>
      <c r="AI238" s="159" t="s">
        <v>603</v>
      </c>
      <c r="AJ238" s="206"/>
      <c r="AK238" s="206"/>
      <c r="AL238" s="250"/>
      <c r="AM238" s="252"/>
      <c r="AN238" s="252"/>
      <c r="AO238" s="252"/>
      <c r="AP238" s="252"/>
      <c r="AQ238" s="252"/>
      <c r="AR238" s="252"/>
      <c r="AS238" s="252"/>
      <c r="AT238" s="252"/>
      <c r="AU238" s="252"/>
      <c r="AV238" s="252"/>
      <c r="AW238" s="252"/>
      <c r="AX238" s="252"/>
      <c r="AY238" s="252"/>
      <c r="AZ238" s="252"/>
      <c r="BA238" s="252"/>
      <c r="BB238" s="252"/>
      <c r="BC238" s="252"/>
      <c r="BD238" s="252"/>
      <c r="BE238" s="252"/>
      <c r="BF238" s="252"/>
      <c r="BG238" s="252"/>
      <c r="BH238" s="252"/>
      <c r="BI238" s="252"/>
      <c r="BJ238" s="252"/>
      <c r="BK238" s="252"/>
      <c r="BL238" s="252"/>
      <c r="BM238" s="252"/>
      <c r="BN238" s="252"/>
      <c r="BO238" s="252"/>
      <c r="BP238" s="252"/>
      <c r="BQ238" s="252"/>
      <c r="BR238" s="146"/>
      <c r="BS238" s="146"/>
      <c r="BT238" s="146"/>
      <c r="BU238" s="146"/>
      <c r="BV238" s="146"/>
      <c r="BW238" s="155">
        <v>0</v>
      </c>
      <c r="BX238" s="154">
        <v>0</v>
      </c>
      <c r="BY238" s="155">
        <v>0</v>
      </c>
      <c r="BZ238" s="155">
        <v>0</v>
      </c>
      <c r="CA238" s="155">
        <v>0</v>
      </c>
      <c r="CB238" s="155">
        <v>0</v>
      </c>
      <c r="CC238" s="155">
        <v>0</v>
      </c>
      <c r="CD238" s="155">
        <v>0</v>
      </c>
      <c r="CE238" s="155">
        <v>0</v>
      </c>
      <c r="CF238" s="156">
        <f>SUM(BT238:CE238)</f>
        <v>0</v>
      </c>
      <c r="CG238" s="156">
        <f>$CF238-$AF238</f>
        <v>0</v>
      </c>
      <c r="CH238" s="148" t="s">
        <v>289</v>
      </c>
      <c r="CI238" s="148" t="s">
        <v>290</v>
      </c>
      <c r="CJ238" s="147" t="s">
        <v>277</v>
      </c>
      <c r="CK238" s="148" t="s">
        <v>290</v>
      </c>
      <c r="CL238" s="147" t="s">
        <v>277</v>
      </c>
      <c r="CM238" s="147" t="s">
        <v>277</v>
      </c>
      <c r="CN238" s="148" t="s">
        <v>290</v>
      </c>
      <c r="CO238" s="148" t="s">
        <v>290</v>
      </c>
      <c r="CP238" s="148" t="s">
        <v>290</v>
      </c>
      <c r="CQ238" s="148" t="s">
        <v>290</v>
      </c>
      <c r="CR238" s="158" t="s">
        <v>293</v>
      </c>
      <c r="CS238" s="158" t="s">
        <v>322</v>
      </c>
      <c r="CT238" s="158" t="s">
        <v>295</v>
      </c>
      <c r="CU238" s="158" t="s">
        <v>296</v>
      </c>
      <c r="CV238" s="158" t="s">
        <v>323</v>
      </c>
      <c r="CW238" s="147" t="s">
        <v>277</v>
      </c>
      <c r="CX238" s="147" t="s">
        <v>277</v>
      </c>
      <c r="CY238" s="147" t="s">
        <v>277</v>
      </c>
      <c r="CZ238" s="147" t="s">
        <v>277</v>
      </c>
      <c r="DA238" s="147" t="s">
        <v>277</v>
      </c>
      <c r="DB238" s="147" t="s">
        <v>277</v>
      </c>
      <c r="DC238" s="147" t="s">
        <v>277</v>
      </c>
      <c r="DD238" s="146"/>
      <c r="DE238" s="146"/>
      <c r="DF238" s="146"/>
      <c r="DG238" s="146"/>
      <c r="DH238" s="146"/>
      <c r="DI238" s="146"/>
      <c r="DJ238" s="146"/>
      <c r="DK238" s="146"/>
      <c r="DL238" s="146"/>
      <c r="DM238" s="146"/>
      <c r="DN238" s="146"/>
      <c r="DO238" s="146"/>
      <c r="DP238" s="146"/>
      <c r="DQ238" s="146"/>
      <c r="DR238" s="146"/>
      <c r="DS238" s="146"/>
      <c r="DT238" s="146"/>
      <c r="DU238" s="146"/>
      <c r="DV238" s="146"/>
      <c r="DW238" s="146"/>
      <c r="DX238" s="146"/>
      <c r="DY238" s="146"/>
      <c r="DZ238" s="146"/>
      <c r="EA238" s="146"/>
      <c r="EB238" s="146"/>
      <c r="EC238" s="146"/>
      <c r="ED238" s="146"/>
    </row>
    <row r="239" spans="1:134" ht="30">
      <c r="B239" s="146"/>
      <c r="C239" s="147" t="s">
        <v>269</v>
      </c>
      <c r="D239" s="147" t="s">
        <v>270</v>
      </c>
      <c r="E239" s="146" t="s">
        <v>1819</v>
      </c>
      <c r="F239" s="147" t="s">
        <v>272</v>
      </c>
      <c r="G239" s="147" t="s">
        <v>273</v>
      </c>
      <c r="H239" s="147" t="s">
        <v>151</v>
      </c>
      <c r="I239" s="148" t="s">
        <v>424</v>
      </c>
      <c r="J239" s="148" t="s">
        <v>694</v>
      </c>
      <c r="K239" s="147"/>
      <c r="L239" s="147"/>
      <c r="M239" s="147"/>
      <c r="N239" s="146"/>
      <c r="O239" s="147" t="s">
        <v>3</v>
      </c>
      <c r="P239" s="147" t="s">
        <v>14</v>
      </c>
      <c r="Q239" s="147" t="s">
        <v>16</v>
      </c>
      <c r="R239" s="148" t="s">
        <v>276</v>
      </c>
      <c r="S239" s="146"/>
      <c r="T239" s="146"/>
      <c r="U239" s="148" t="s">
        <v>1820</v>
      </c>
      <c r="V239" s="146"/>
      <c r="W239" s="146"/>
      <c r="X239" s="149" t="s">
        <v>1821</v>
      </c>
      <c r="Y239" s="150"/>
      <c r="Z239" s="150"/>
      <c r="AA239" s="150"/>
      <c r="AB239" s="151"/>
      <c r="AC239" s="152"/>
      <c r="AD239" s="152"/>
      <c r="AE239" s="153">
        <v>7656691500</v>
      </c>
      <c r="AF239" s="153"/>
      <c r="AG239" s="153"/>
      <c r="AH239" s="226">
        <f>AF239-AG239</f>
        <v>0</v>
      </c>
      <c r="AI239" s="227"/>
      <c r="AJ239" s="228"/>
      <c r="AK239" s="228"/>
      <c r="AL239" s="225"/>
      <c r="BR239" s="146"/>
      <c r="BS239" s="146"/>
      <c r="BT239" s="154"/>
      <c r="BU239" s="154"/>
      <c r="BV239" s="154"/>
      <c r="BW239" s="155"/>
      <c r="BX239" s="153"/>
      <c r="BY239" s="156"/>
      <c r="BZ239" s="156"/>
      <c r="CA239" s="156"/>
      <c r="CB239" s="156"/>
      <c r="CC239" s="156"/>
      <c r="CD239" s="156"/>
      <c r="CE239" s="156"/>
      <c r="CF239" s="156"/>
      <c r="CG239" s="156"/>
      <c r="CH239" s="146"/>
      <c r="CI239" s="146"/>
      <c r="CJ239" s="146"/>
      <c r="CK239" s="148"/>
      <c r="CL239" s="146"/>
      <c r="CM239" s="146"/>
      <c r="CN239" s="146"/>
      <c r="CO239" s="146"/>
      <c r="CP239" s="157"/>
      <c r="CQ239" s="157"/>
      <c r="CR239" s="158"/>
      <c r="CS239" s="158"/>
      <c r="CT239" s="158"/>
      <c r="CU239" s="158"/>
      <c r="CV239" s="158"/>
      <c r="CW239" s="146"/>
      <c r="CX239" s="146"/>
      <c r="CY239" s="146"/>
      <c r="CZ239" s="146"/>
      <c r="DA239" s="146"/>
      <c r="DB239" s="146"/>
      <c r="DC239" s="146"/>
      <c r="DD239" s="146"/>
      <c r="DE239" s="146"/>
      <c r="DF239" s="146"/>
      <c r="DG239" s="146"/>
      <c r="DH239" s="146"/>
      <c r="DI239" s="146"/>
      <c r="DJ239" s="146"/>
      <c r="DK239" s="146"/>
      <c r="DL239" s="146"/>
      <c r="DM239" s="146"/>
      <c r="DN239" s="146"/>
      <c r="DO239" s="146"/>
      <c r="DP239" s="146"/>
      <c r="DQ239" s="146"/>
      <c r="DR239" s="146"/>
      <c r="DS239" s="146"/>
      <c r="DT239" s="146"/>
      <c r="DU239" s="146"/>
      <c r="DV239" s="146"/>
      <c r="DW239" s="146"/>
      <c r="DX239" s="146"/>
      <c r="DY239" s="146"/>
      <c r="DZ239" s="146"/>
      <c r="EA239" s="146"/>
      <c r="EB239" s="146"/>
      <c r="EC239" s="146"/>
      <c r="ED239" s="146"/>
    </row>
    <row r="240" spans="1:134" ht="45">
      <c r="B240" s="146"/>
      <c r="C240" s="147" t="s">
        <v>269</v>
      </c>
      <c r="D240" s="147" t="s">
        <v>270</v>
      </c>
      <c r="E240" s="146" t="s">
        <v>1822</v>
      </c>
      <c r="F240" s="147" t="s">
        <v>272</v>
      </c>
      <c r="G240" s="147" t="s">
        <v>273</v>
      </c>
      <c r="H240" s="147" t="s">
        <v>151</v>
      </c>
      <c r="I240" s="148" t="s">
        <v>424</v>
      </c>
      <c r="J240" s="148" t="s">
        <v>694</v>
      </c>
      <c r="K240" s="147"/>
      <c r="L240" s="147"/>
      <c r="M240" s="147"/>
      <c r="N240" s="146"/>
      <c r="O240" s="147" t="s">
        <v>3</v>
      </c>
      <c r="P240" s="147" t="s">
        <v>14</v>
      </c>
      <c r="Q240" s="147" t="s">
        <v>16</v>
      </c>
      <c r="R240" s="148" t="s">
        <v>276</v>
      </c>
      <c r="S240" s="146"/>
      <c r="T240" s="146"/>
      <c r="U240" s="148" t="s">
        <v>1823</v>
      </c>
      <c r="V240" s="146"/>
      <c r="W240" s="146"/>
      <c r="X240" s="149" t="s">
        <v>1824</v>
      </c>
      <c r="Y240" s="150"/>
      <c r="Z240" s="150"/>
      <c r="AA240" s="150"/>
      <c r="AB240" s="151"/>
      <c r="AC240" s="152"/>
      <c r="AD240" s="152"/>
      <c r="AE240" s="153"/>
      <c r="AF240" s="153"/>
      <c r="AG240" s="153"/>
      <c r="AH240" s="226">
        <f>AF240-AG240</f>
        <v>0</v>
      </c>
      <c r="AI240" s="220"/>
      <c r="AJ240" s="224"/>
      <c r="AK240" s="224"/>
      <c r="AL240" s="225"/>
      <c r="BR240" s="146"/>
      <c r="BS240" s="146"/>
      <c r="BT240" s="154"/>
      <c r="BU240" s="154"/>
      <c r="BV240" s="154"/>
      <c r="BW240" s="155"/>
      <c r="BX240" s="153"/>
      <c r="BY240" s="156"/>
      <c r="BZ240" s="156"/>
      <c r="CA240" s="156"/>
      <c r="CB240" s="156"/>
      <c r="CC240" s="156"/>
      <c r="CD240" s="156"/>
      <c r="CE240" s="156"/>
      <c r="CF240" s="156"/>
      <c r="CG240" s="156"/>
      <c r="CH240" s="146"/>
      <c r="CI240" s="146"/>
      <c r="CJ240" s="146"/>
      <c r="CK240" s="148"/>
      <c r="CL240" s="146"/>
      <c r="CM240" s="146"/>
      <c r="CN240" s="146"/>
      <c r="CO240" s="146"/>
      <c r="CP240" s="157"/>
      <c r="CQ240" s="157"/>
      <c r="CR240" s="158"/>
      <c r="CS240" s="158"/>
      <c r="CT240" s="158"/>
      <c r="CU240" s="158"/>
      <c r="CV240" s="158"/>
      <c r="CW240" s="146"/>
      <c r="CX240" s="146"/>
      <c r="CY240" s="146"/>
      <c r="CZ240" s="146"/>
      <c r="DA240" s="146"/>
      <c r="DB240" s="146"/>
      <c r="DC240" s="146"/>
      <c r="DD240" s="146"/>
      <c r="DE240" s="146"/>
      <c r="DF240" s="146"/>
      <c r="DG240" s="146"/>
      <c r="DH240" s="146"/>
      <c r="DI240" s="146"/>
      <c r="DJ240" s="146"/>
      <c r="DK240" s="146"/>
      <c r="DL240" s="146"/>
      <c r="DM240" s="146"/>
      <c r="DN240" s="146"/>
      <c r="DO240" s="146"/>
      <c r="DP240" s="146"/>
      <c r="DQ240" s="146"/>
      <c r="DR240" s="146"/>
      <c r="DS240" s="146"/>
      <c r="DT240" s="146"/>
      <c r="DU240" s="146"/>
      <c r="DV240" s="146"/>
      <c r="DW240" s="146"/>
      <c r="DX240" s="146"/>
      <c r="DY240" s="146"/>
      <c r="DZ240" s="146"/>
      <c r="EA240" s="146"/>
      <c r="EB240" s="146"/>
      <c r="EC240" s="146"/>
      <c r="ED240" s="146"/>
    </row>
  </sheetData>
  <sheetProtection formatCells="0" formatColumns="0" formatRows="0" insertHyperlinks="0" sort="0" autoFilter="0" pivotTables="0"/>
  <autoFilter ref="A11:FR240" xr:uid="{D867D155-5A82-43E3-93A1-37AF7E7C0AE1}">
    <sortState xmlns:xlrd2="http://schemas.microsoft.com/office/spreadsheetml/2017/richdata2" ref="A12:FR240">
      <sortCondition descending="1" ref="AF11:AF240"/>
    </sortState>
  </autoFilter>
  <mergeCells count="140">
    <mergeCell ref="B7:B10"/>
    <mergeCell ref="C7:C10"/>
    <mergeCell ref="D7:D10"/>
    <mergeCell ref="E7:E10"/>
    <mergeCell ref="F7:F10"/>
    <mergeCell ref="G7:G10"/>
    <mergeCell ref="H7:J7"/>
    <mergeCell ref="K7:N7"/>
    <mergeCell ref="O7:R7"/>
    <mergeCell ref="S7:W7"/>
    <mergeCell ref="Y7:Y9"/>
    <mergeCell ref="Z7:AD7"/>
    <mergeCell ref="O8:O10"/>
    <mergeCell ref="P8:P10"/>
    <mergeCell ref="Q8:Q10"/>
    <mergeCell ref="R8:R10"/>
    <mergeCell ref="H8:H10"/>
    <mergeCell ref="I8:I10"/>
    <mergeCell ref="J8:J10"/>
    <mergeCell ref="K8:K10"/>
    <mergeCell ref="L8:L10"/>
    <mergeCell ref="M8:M10"/>
    <mergeCell ref="N8:N10"/>
    <mergeCell ref="S8:S10"/>
    <mergeCell ref="T8:T10"/>
    <mergeCell ref="U8:U10"/>
    <mergeCell ref="V8:V10"/>
    <mergeCell ref="W8:W10"/>
    <mergeCell ref="X8:X10"/>
    <mergeCell ref="Z8:Z9"/>
    <mergeCell ref="AA8:AA9"/>
    <mergeCell ref="AB8:AB9"/>
    <mergeCell ref="AC8:AC10"/>
    <mergeCell ref="DR7:ED7"/>
    <mergeCell ref="CX7:CX10"/>
    <mergeCell ref="CY7:CY9"/>
    <mergeCell ref="CZ7:DA7"/>
    <mergeCell ref="DB7:DB10"/>
    <mergeCell ref="DA8:DA10"/>
    <mergeCell ref="CJ8:CJ10"/>
    <mergeCell ref="EB8:EB9"/>
    <mergeCell ref="EC8:EC9"/>
    <mergeCell ref="ED8:ED9"/>
    <mergeCell ref="CV7:CV10"/>
    <mergeCell ref="CW7:CW10"/>
    <mergeCell ref="CP7:CP10"/>
    <mergeCell ref="CQ7:CQ10"/>
    <mergeCell ref="CR7:CR10"/>
    <mergeCell ref="CS7:CS10"/>
    <mergeCell ref="CT7:CT10"/>
    <mergeCell ref="CU7:CU10"/>
    <mergeCell ref="CH7:CJ7"/>
    <mergeCell ref="CK7:CM7"/>
    <mergeCell ref="CN7:CO7"/>
    <mergeCell ref="CH8:CH10"/>
    <mergeCell ref="CI8:CI10"/>
    <mergeCell ref="AE7:AI7"/>
    <mergeCell ref="AM7:AT7"/>
    <mergeCell ref="AU7:BB7"/>
    <mergeCell ref="BC7:BC10"/>
    <mergeCell ref="BD7:BD10"/>
    <mergeCell ref="BE7:BQ7"/>
    <mergeCell ref="AF8:AF9"/>
    <mergeCell ref="AG8:AG9"/>
    <mergeCell ref="AH8:AH9"/>
    <mergeCell ref="AM8:AM10"/>
    <mergeCell ref="AN8:AN10"/>
    <mergeCell ref="AO8:AO10"/>
    <mergeCell ref="AP8:AP10"/>
    <mergeCell ref="AQ8:AQ9"/>
    <mergeCell ref="AR8:AR9"/>
    <mergeCell ref="BM8:BM9"/>
    <mergeCell ref="BN8:BN9"/>
    <mergeCell ref="BO8:BO9"/>
    <mergeCell ref="BP8:BP9"/>
    <mergeCell ref="BQ8:BQ9"/>
    <mergeCell ref="BG8:BG10"/>
    <mergeCell ref="BH8:BH10"/>
    <mergeCell ref="BI8:BI9"/>
    <mergeCell ref="BJ8:BJ9"/>
    <mergeCell ref="AD8:AD10"/>
    <mergeCell ref="AE8:AE9"/>
    <mergeCell ref="AI8:AI10"/>
    <mergeCell ref="AY8:AY9"/>
    <mergeCell ref="AZ8:AZ9"/>
    <mergeCell ref="BA8:BA10"/>
    <mergeCell ref="BB8:BB10"/>
    <mergeCell ref="BE8:BE10"/>
    <mergeCell ref="BF8:BF10"/>
    <mergeCell ref="AS8:AS10"/>
    <mergeCell ref="AT8:AT10"/>
    <mergeCell ref="AU8:AU10"/>
    <mergeCell ref="AV8:AV10"/>
    <mergeCell ref="AW8:AW10"/>
    <mergeCell ref="AX8:AX10"/>
    <mergeCell ref="DD8:DD9"/>
    <mergeCell ref="BK8:BK9"/>
    <mergeCell ref="BL8:BL9"/>
    <mergeCell ref="DE8:DE9"/>
    <mergeCell ref="DF8:DF9"/>
    <mergeCell ref="DG8:DG9"/>
    <mergeCell ref="DH8:DH9"/>
    <mergeCell ref="DI8:DI9"/>
    <mergeCell ref="CK8:CK10"/>
    <mergeCell ref="CL8:CL10"/>
    <mergeCell ref="CM8:CM10"/>
    <mergeCell ref="CN8:CN10"/>
    <mergeCell ref="CO8:CO10"/>
    <mergeCell ref="CZ8:CZ10"/>
    <mergeCell ref="DC7:DC10"/>
    <mergeCell ref="DD7:DQ7"/>
    <mergeCell ref="BR7:BS7"/>
    <mergeCell ref="BT7:BV8"/>
    <mergeCell ref="BW7:CG8"/>
    <mergeCell ref="BS8:BS9"/>
    <mergeCell ref="BR8:BR9"/>
    <mergeCell ref="AJ7:AL7"/>
    <mergeCell ref="AJ8:AJ9"/>
    <mergeCell ref="AK8:AK9"/>
    <mergeCell ref="AL8:AL9"/>
    <mergeCell ref="EE8:EE9"/>
    <mergeCell ref="BR10:BS10"/>
    <mergeCell ref="DV8:DV9"/>
    <mergeCell ref="DW8:DW9"/>
    <mergeCell ref="DX8:DX9"/>
    <mergeCell ref="DY8:DY9"/>
    <mergeCell ref="DZ8:DZ9"/>
    <mergeCell ref="EA8:EA9"/>
    <mergeCell ref="DP8:DP9"/>
    <mergeCell ref="DQ8:DQ9"/>
    <mergeCell ref="DR8:DR9"/>
    <mergeCell ref="DS8:DS9"/>
    <mergeCell ref="DT8:DT9"/>
    <mergeCell ref="DU8:DU9"/>
    <mergeCell ref="DJ8:DJ9"/>
    <mergeCell ref="DK8:DK9"/>
    <mergeCell ref="DL8:DL9"/>
    <mergeCell ref="DM8:DM9"/>
    <mergeCell ref="DN8:DN9"/>
    <mergeCell ref="DO8:DO9"/>
  </mergeCells>
  <conditionalFormatting sqref="X12:X220 X222:X236">
    <cfRule type="duplicateValues" dxfId="3" priority="11"/>
  </conditionalFormatting>
  <conditionalFormatting sqref="AI12:AL162 AI164:AL164 AI166:AL236">
    <cfRule type="containsBlanks" dxfId="2" priority="9">
      <formula>LEN(TRIM(AI12))=0</formula>
    </cfRule>
  </conditionalFormatting>
  <conditionalFormatting sqref="CH12:DC116 CK117:CV117 CH117:CJ129 CK118:CZ118 CK119:DC121 CK122:CW122 CY122:CZ122 CK123:DC123 CK124:CY129 CH130:CY130 CH131:DC146 CH147:CV147 CH148:DC156 CH157:CV157 CH158:CN158 CP158:CV158 CH159:DC163 CI164:DC164 CI165:CJ165 CL165:DC165 CH166:DC236">
    <cfRule type="containsBlanks" dxfId="1" priority="8">
      <formula>LEN(TRIM(CH12))=0</formula>
    </cfRule>
  </conditionalFormatting>
  <conditionalFormatting sqref="CR237:CV240">
    <cfRule type="containsBlanks" dxfId="0" priority="1">
      <formula>LEN(TRIM(CR237))=0</formula>
    </cfRule>
  </conditionalFormatting>
  <dataValidations count="14">
    <dataValidation type="list" allowBlank="1" showInputMessage="1" showErrorMessage="1" sqref="C12:C1048576" xr:uid="{DC49255E-7D85-4026-B3E1-8E57B8258463}">
      <formula1>"Parent,Child"</formula1>
    </dataValidation>
    <dataValidation type="list" allowBlank="1" showInputMessage="1" showErrorMessage="1" sqref="D12:D1048576" xr:uid="{69FC3FC7-391C-4853-9C32-B7ED95A4FE52}">
      <formula1>"Planned,Unplanned"</formula1>
    </dataValidation>
    <dataValidation type="list" allowBlank="1" showInputMessage="1" showErrorMessage="1" sqref="AX12:AX1048576" xr:uid="{6CD2D2E3-60FC-47BF-B4D7-D8DB6675C061}">
      <formula1>"Belum Mulai; IP Terbit; Pengadaan; SPK Terbit; Pembayaran ;Selesai (Lunas); Ditunda; Batal"</formula1>
    </dataValidation>
    <dataValidation type="list" allowBlank="1" showInputMessage="1" showErrorMessage="1" sqref="AS12:AS1048576 BA12:BA1048576" xr:uid="{798B92BF-9C2E-46A0-AB7A-478A28D049A2}">
      <formula1>"Sama, Terupdate"</formula1>
    </dataValidation>
    <dataValidation type="list" allowBlank="1" showInputMessage="1" showErrorMessage="1" sqref="F12:F1048576" xr:uid="{8EE7FC32-A31A-405F-B8E9-806DFFC5B235}">
      <formula1>"Kanpus, UPA"</formula1>
    </dataValidation>
    <dataValidation type="list" allowBlank="1" showInputMessage="1" showErrorMessage="1" sqref="G12:G1048576" xr:uid="{C2AFBA4C-10DA-44B2-BA0B-08E78BDFC6D2}">
      <formula1>"HO, RO"</formula1>
    </dataValidation>
    <dataValidation type="list" allowBlank="1" showInputMessage="1" showErrorMessage="1" sqref="AP12:AP1048576" xr:uid="{BF4B405E-909F-46FA-8D9A-227A21386D6E}">
      <formula1>"Belum Mulai, IP Terbit, Pengadaan, SPK Terbit, Pembayaran, Selesai (Lunas), Ditunda, Batal"</formula1>
    </dataValidation>
    <dataValidation type="list" allowBlank="1" showInputMessage="1" showErrorMessage="1" sqref="M12:M206 Q12:Q206" xr:uid="{9076906E-4F23-4D61-970A-0ABC219E46AD}">
      <formula1>_xlfn.IFS($L12="Software",AC_Software,$L12="Hardware",AC_Hardware)</formula1>
    </dataValidation>
    <dataValidation type="list" allowBlank="1" showInputMessage="1" showErrorMessage="1" sqref="L12:L206 P12:P206" xr:uid="{E6064735-AFC6-4DD3-AB98-A8287EE40959}">
      <formula1>_xlfn.IFS($K12="Investasi TI",Investasi_TI,$K12="Eksploitasi TI",Eksploitasi_TI)</formula1>
    </dataValidation>
    <dataValidation type="list" allowBlank="1" showInputMessage="1" showErrorMessage="1" sqref="K12:K206 O12:O206" xr:uid="{4FFE46DD-8CCC-4EE4-B642-789EB7A5D143}">
      <formula1>Jenis_Anggaran</formula1>
    </dataValidation>
    <dataValidation allowBlank="1" showInputMessage="1" showErrorMessage="1" sqref="BR77" xr:uid="{0D2D4400-2436-475C-B56E-2E03182B8EC2}"/>
    <dataValidation type="list" allowBlank="1" showInputMessage="1" showErrorMessage="1" sqref="BR92" xr:uid="{8BF8B7A5-A4A4-4A96-BFF1-84ED9455C2E0}">
      <formula1>"Belum Mulai, Pendampingan IP, Pengisian Confluence,IP Terbit, Nota Dinas Konfirmasi, Pengadaan, SPK Terbit, Pembayaran, Selesai (Lunas), Ditunda, Batal"</formula1>
    </dataValidation>
    <dataValidation type="list" allowBlank="1" showInputMessage="1" showErrorMessage="1" sqref="BR46" xr:uid="{12B252D7-C6C6-4BF4-90CA-8FA2CD05418B}">
      <formula1>"Belum Mulai, Pendampingan IP, Pengisian Confluence, Nota Dinas Konfirmasi,IP Terbit, Pengadaan, SPK Terbit, Pembayaran, Selesai (Lunas), Ditunda, Batal"</formula1>
    </dataValidation>
    <dataValidation type="list" allowBlank="1" showInputMessage="1" showErrorMessage="1" sqref="BR47:BR76 BR78:BR91 BR93:BR1048576 BR12:BR45" xr:uid="{5762457E-43F5-4A88-8390-19B2EDF5B787}">
      <formula1>"Belum Mulai, Pendampingan IP, Pengisian Confluence, Nota Dinas Konfirmasi, Pengadaan, SPK Terbit, Pembayaran, Selesai (Lunas), Ditunda, Batal"</formula1>
    </dataValidation>
  </dataValidations>
  <hyperlinks>
    <hyperlink ref="E192" r:id="rId1" xr:uid="{7987D974-EF4B-46DC-992D-8A0F6A51EA65}"/>
    <hyperlink ref="E179" r:id="rId2" xr:uid="{25A07E9B-8F5A-446E-B87E-CFFE2E774A29}"/>
    <hyperlink ref="E233" r:id="rId3" display="https://confluence.bri.co.id/x/a_WoXQ" xr:uid="{62FF5949-A59F-44DB-96A6-88D625770767}"/>
    <hyperlink ref="E216" r:id="rId4" display="https://confluence.bri.co.id/x/7z_sXQ" xr:uid="{7AB687BB-90BE-411B-AB1D-F2263E01597A}"/>
    <hyperlink ref="E194" r:id="rId5" display="https://confluence.bri.co.id/x/tHjlYQ" xr:uid="{04378FCA-7AC0-4E1C-B128-78C0F17F72AB}"/>
    <hyperlink ref="E166" r:id="rId6" display="https://confluence.bri.co.id/x/1H3lYQ" xr:uid="{D7BA94F5-C4C1-42BC-9EAD-3943183BFA60}"/>
    <hyperlink ref="E195" r:id="rId7" display="https://confluence.bri.co.id/x/53nlYQ" xr:uid="{1C17805A-82D3-4738-886A-C91436AC58DB}"/>
    <hyperlink ref="E193" r:id="rId8" display="https://confluence.bri.co.id/x/aWblYQ" xr:uid="{8E73C507-7A98-41BD-AB86-6BD83EC062CD}"/>
    <hyperlink ref="AV14" r:id="rId9" xr:uid="{F4899D6B-D390-4455-80B3-96E5F8FB9398}"/>
    <hyperlink ref="AV63" r:id="rId10" xr:uid="{8519E47D-B4FE-43A9-B5EC-39A925FE8216}"/>
    <hyperlink ref="AV17" r:id="rId11" xr:uid="{7CCA0C3E-E061-40D5-90BA-121822CAE3A7}"/>
    <hyperlink ref="AV49" r:id="rId12" xr:uid="{B712EC6A-F539-47B2-8498-DCF38FD50EA1}"/>
  </hyperlinks>
  <pageMargins left="0.7" right="0.7" top="0.75" bottom="0.75" header="0.3" footer="0.3"/>
  <legacy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BC9EE53D5B7641A6F3CCF4666B5444" ma:contentTypeVersion="14" ma:contentTypeDescription="Create a new document." ma:contentTypeScope="" ma:versionID="ffa533e8375c58e5001a0962ba53652e">
  <xsd:schema xmlns:xsd="http://www.w3.org/2001/XMLSchema" xmlns:xs="http://www.w3.org/2001/XMLSchema" xmlns:p="http://schemas.microsoft.com/office/2006/metadata/properties" xmlns:ns2="5411b1b3-554b-421f-9d26-4bc9bb201be6" xmlns:ns3="715faa9c-233f-4d04-b15a-a00c9a66e0bb" targetNamespace="http://schemas.microsoft.com/office/2006/metadata/properties" ma:root="true" ma:fieldsID="320c4dc76536b3ac1b185b33533d23bd" ns2:_="" ns3:_="">
    <xsd:import namespace="5411b1b3-554b-421f-9d26-4bc9bb201be6"/>
    <xsd:import namespace="715faa9c-233f-4d04-b15a-a00c9a66e0b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11b1b3-554b-421f-9d26-4bc9bb201b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07e95de-c682-4eae-b741-a0075ec85fc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5faa9c-233f-4d04-b15a-a00c9a66e0b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2bd4efd-483c-41af-96de-d8fe38990169}" ma:internalName="TaxCatchAll" ma:showField="CatchAllData" ma:web="715faa9c-233f-4d04-b15a-a00c9a66e0b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15faa9c-233f-4d04-b15a-a00c9a66e0bb" xsi:nil="true"/>
    <lcf76f155ced4ddcb4097134ff3c332f xmlns="5411b1b3-554b-421f-9d26-4bc9bb201b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2305D0-713E-4003-A461-C4A497DA21C4}"/>
</file>

<file path=customXml/itemProps2.xml><?xml version="1.0" encoding="utf-8"?>
<ds:datastoreItem xmlns:ds="http://schemas.openxmlformats.org/officeDocument/2006/customXml" ds:itemID="{409A3782-4A42-43E8-B236-980DFA9C5F96}"/>
</file>

<file path=customXml/itemProps3.xml><?xml version="1.0" encoding="utf-8"?>
<ds:datastoreItem xmlns:ds="http://schemas.openxmlformats.org/officeDocument/2006/customXml" ds:itemID="{2A525E27-BC51-4D4D-9084-A6A7F7C63E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2026-05-07T02:27:17Z</dcterms:created>
  <dcterms:modified xsi:type="dcterms:W3CDTF">2026-05-19T03:40:49Z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0x0101001ABC9EE53D5B7641A6F3CCF4666B5444</vt:lpwstr>
  </property>
  <property fmtid="{D5CDD505-2E9C-101B-9397-08002B2CF9AE}" pid="3" name="MediaServiceImageTags">
    <vt:lpwstr/>
  </property>
</Properties>
</file>